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ivot Table" sheetId="2" r:id="rId6"/>
    <sheet state="visible" name="Pivot Chart" sheetId="3" r:id="rId7"/>
    <sheet state="visible" name="Customers" sheetId="4" r:id="rId8"/>
    <sheet state="visible" name="Store" sheetId="5" r:id="rId9"/>
    <sheet state="visible" name="Staff" sheetId="6" r:id="rId10"/>
  </sheets>
  <definedNames>
    <definedName hidden="1" localSheetId="0" name="_xlnm._FilterDatabase">Orders!$A$1:$P$2616</definedName>
  </definedNames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<sst xmlns="http://schemas.openxmlformats.org/spreadsheetml/2006/main" count="12260" uniqueCount="5344">
  <si>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</si>
  <si>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</si>
  <si>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</si>
  <si>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</si>
  <si>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</si>
  <si>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</si>
  <si>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</si>
  <si>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</si>
  <si>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customer name</t>
  </si>
  <si>
    <t>customer state</t>
  </si>
  <si>
    <t xml:space="preserve">customer city </t>
  </si>
  <si>
    <t>staff name</t>
  </si>
  <si>
    <t>store name</t>
  </si>
  <si>
    <t xml:space="preserve">store city </t>
  </si>
  <si>
    <t>store state</t>
  </si>
  <si>
    <t>CA</t>
  </si>
  <si>
    <t>NY</t>
  </si>
  <si>
    <t>TX</t>
  </si>
  <si>
    <t>NULL</t>
  </si>
  <si>
    <t>Total Order Id by Customer State and City</t>
  </si>
  <si>
    <t>Customer State / City</t>
  </si>
  <si>
    <t>Total Order Id by Store Name / State</t>
  </si>
  <si>
    <t xml:space="preserve">Customer city </t>
  </si>
  <si>
    <t>Grand Total</t>
  </si>
  <si>
    <t>Store name</t>
  </si>
  <si>
    <t>Albany</t>
  </si>
  <si>
    <t>Baldwin Bikes</t>
  </si>
  <si>
    <t>Amarillo</t>
  </si>
  <si>
    <t>Rowlett Bikes</t>
  </si>
  <si>
    <t>Amityville</t>
  </si>
  <si>
    <t>Santa Cruz Bikes</t>
  </si>
  <si>
    <t>Amsterdam</t>
  </si>
  <si>
    <t>Anaheim</t>
  </si>
  <si>
    <t>Apple Valley</t>
  </si>
  <si>
    <t>Astoria</t>
  </si>
  <si>
    <t>Atwater</t>
  </si>
  <si>
    <t>order_date - Year-Month</t>
  </si>
  <si>
    <t>Total Order Id</t>
  </si>
  <si>
    <t>Auburn</t>
  </si>
  <si>
    <t>2016-Jan</t>
  </si>
  <si>
    <t>Bakersfield</t>
  </si>
  <si>
    <t>2016-Feb</t>
  </si>
  <si>
    <t>Baldwin</t>
  </si>
  <si>
    <t>2016-Mar</t>
  </si>
  <si>
    <t>Baldwinsville</t>
  </si>
  <si>
    <t>2016-Apr</t>
  </si>
  <si>
    <t>Ballston Spa</t>
  </si>
  <si>
    <t>2016-May</t>
  </si>
  <si>
    <t>Banning</t>
  </si>
  <si>
    <t>2016-Jun</t>
  </si>
  <si>
    <t>Bay Shore</t>
  </si>
  <si>
    <t>2016-Jul</t>
  </si>
  <si>
    <t>Bayside</t>
  </si>
  <si>
    <t>2016-Aug</t>
  </si>
  <si>
    <t>Bellmore</t>
  </si>
  <si>
    <t>2016-Sep</t>
  </si>
  <si>
    <t>Bethpage</t>
  </si>
  <si>
    <t>2016-Oct</t>
  </si>
  <si>
    <t>Brentwood</t>
  </si>
  <si>
    <t>2016-Nov</t>
  </si>
  <si>
    <t>Bronx</t>
  </si>
  <si>
    <t>2016-Dec</t>
  </si>
  <si>
    <t>Brooklyn</t>
  </si>
  <si>
    <t>2017-Jan</t>
  </si>
  <si>
    <t>Buffalo</t>
  </si>
  <si>
    <t>2017-Feb</t>
  </si>
  <si>
    <t>Campbell</t>
  </si>
  <si>
    <t>2017-Mar</t>
  </si>
  <si>
    <t>Canandaigua</t>
  </si>
  <si>
    <t>2017-Apr</t>
  </si>
  <si>
    <t>Canyon Country</t>
  </si>
  <si>
    <t>2017-May</t>
  </si>
  <si>
    <t>Carmel</t>
  </si>
  <si>
    <t>2017-Jun</t>
  </si>
  <si>
    <t>Centereach</t>
  </si>
  <si>
    <t>2017-Jul</t>
  </si>
  <si>
    <t>Central Islip</t>
  </si>
  <si>
    <t>2017-Aug</t>
  </si>
  <si>
    <t>Clifton Park</t>
  </si>
  <si>
    <t>2017-Sep</t>
  </si>
  <si>
    <t>Coachella</t>
  </si>
  <si>
    <t>2017-Oct</t>
  </si>
  <si>
    <t>Commack</t>
  </si>
  <si>
    <t>2017-Nov</t>
  </si>
  <si>
    <t>Copperas Cove</t>
  </si>
  <si>
    <t>2017-Dec</t>
  </si>
  <si>
    <t>Coram</t>
  </si>
  <si>
    <t>2018-Jan</t>
  </si>
  <si>
    <t>Corona</t>
  </si>
  <si>
    <t>2018-Feb</t>
  </si>
  <si>
    <t>Corpus Christi</t>
  </si>
  <si>
    <t>2018-Mar</t>
  </si>
  <si>
    <t>Deer Park</t>
  </si>
  <si>
    <t>2018-Apr</t>
  </si>
  <si>
    <t>Depew</t>
  </si>
  <si>
    <t>2018-Jun</t>
  </si>
  <si>
    <t>Desoto</t>
  </si>
  <si>
    <t>2018-Jul</t>
  </si>
  <si>
    <t>Duarte</t>
  </si>
  <si>
    <t>2018-Aug</t>
  </si>
  <si>
    <t>East Elmhurst</t>
  </si>
  <si>
    <t>2018-Sep</t>
  </si>
  <si>
    <t>East Meadow</t>
  </si>
  <si>
    <t>2018-Oct</t>
  </si>
  <si>
    <t>East Northport</t>
  </si>
  <si>
    <t>2018-Nov</t>
  </si>
  <si>
    <t>El Paso</t>
  </si>
  <si>
    <t>2018-Dec</t>
  </si>
  <si>
    <t>Elmhurst</t>
  </si>
  <si>
    <t>Elmont</t>
  </si>
  <si>
    <t>Encino</t>
  </si>
  <si>
    <t>Endicott</t>
  </si>
  <si>
    <t>Euless</t>
  </si>
  <si>
    <t>Fairport</t>
  </si>
  <si>
    <t>Far Rockaway</t>
  </si>
  <si>
    <t>Farmingdale</t>
  </si>
  <si>
    <t>Floral Park</t>
  </si>
  <si>
    <t>Flushing</t>
  </si>
  <si>
    <t>Forest Hills</t>
  </si>
  <si>
    <t>Forney</t>
  </si>
  <si>
    <t>Fort Worth</t>
  </si>
  <si>
    <t>Franklin Square</t>
  </si>
  <si>
    <t>Freeport</t>
  </si>
  <si>
    <t>Fresh Meadows</t>
  </si>
  <si>
    <t>Fresno</t>
  </si>
  <si>
    <t>Fullerton</t>
  </si>
  <si>
    <t>Garden City</t>
  </si>
  <si>
    <t>Garland</t>
  </si>
  <si>
    <t>Glen Cove</t>
  </si>
  <si>
    <t>Glendora</t>
  </si>
  <si>
    <t>Hamburg</t>
  </si>
  <si>
    <t>Harlingen</t>
  </si>
  <si>
    <t>Helotes</t>
  </si>
  <si>
    <t>Hempstead</t>
  </si>
  <si>
    <t>Hicksville</t>
  </si>
  <si>
    <t>Holbrook</t>
  </si>
  <si>
    <t>Hollis</t>
  </si>
  <si>
    <t>Hopewell Junction</t>
  </si>
  <si>
    <t>Houston</t>
  </si>
  <si>
    <t>Howard Beach</t>
  </si>
  <si>
    <t>Huntington</t>
  </si>
  <si>
    <t>Huntington Station</t>
  </si>
  <si>
    <t>Ithaca</t>
  </si>
  <si>
    <t>Jackson Heights</t>
  </si>
  <si>
    <t>Jamaica</t>
  </si>
  <si>
    <t>Jamestown</t>
  </si>
  <si>
    <t>Kingston</t>
  </si>
  <si>
    <t>Lake Jackson</t>
  </si>
  <si>
    <t>Lancaster</t>
  </si>
  <si>
    <t>Lawndale</t>
  </si>
  <si>
    <t>Levittown</t>
  </si>
  <si>
    <t>Lindenhurst</t>
  </si>
  <si>
    <t>Liverpool</t>
  </si>
  <si>
    <t>Lockport</t>
  </si>
  <si>
    <t>Long Beach</t>
  </si>
  <si>
    <t>Longview</t>
  </si>
  <si>
    <t>Los Angeles</t>
  </si>
  <si>
    <t>Los Banos</t>
  </si>
  <si>
    <t>Mahopac</t>
  </si>
  <si>
    <t>Maspeth</t>
  </si>
  <si>
    <t>Massapequa</t>
  </si>
  <si>
    <t>Massapequa Park</t>
  </si>
  <si>
    <t>Mcallen</t>
  </si>
  <si>
    <t>Merrick</t>
  </si>
  <si>
    <t>Middle Village</t>
  </si>
  <si>
    <t>Monroe</t>
  </si>
  <si>
    <t>Monsey</t>
  </si>
  <si>
    <t>Mount Vernon</t>
  </si>
  <si>
    <t>Mountain View</t>
  </si>
  <si>
    <t>Nanuet</t>
  </si>
  <si>
    <t>New City</t>
  </si>
  <si>
    <t>New Hyde Park</t>
  </si>
  <si>
    <t>New Rochelle</t>
  </si>
  <si>
    <t>New Windsor</t>
  </si>
  <si>
    <t>New York</t>
  </si>
  <si>
    <t>Newburgh</t>
  </si>
  <si>
    <t>Niagara Falls</t>
  </si>
  <si>
    <t>North Tonawanda</t>
  </si>
  <si>
    <t>Oakland</t>
  </si>
  <si>
    <t>Oakland Gardens</t>
  </si>
  <si>
    <t>Oceanside</t>
  </si>
  <si>
    <t>Ontario</t>
  </si>
  <si>
    <t>Orchard Park</t>
  </si>
  <si>
    <t>Ossining</t>
  </si>
  <si>
    <t>Oswego</t>
  </si>
  <si>
    <t>Oxnard</t>
  </si>
  <si>
    <t>Ozone Park</t>
  </si>
  <si>
    <t>Palos Verdes Peninsula</t>
  </si>
  <si>
    <t>Patchogue</t>
  </si>
  <si>
    <t>Pittsford</t>
  </si>
  <si>
    <t>Plainview</t>
  </si>
  <si>
    <t>Plattsburgh</t>
  </si>
  <si>
    <t>Pleasanton</t>
  </si>
  <si>
    <t>Pomona</t>
  </si>
  <si>
    <t>Port Chester</t>
  </si>
  <si>
    <t>Port Jefferson Station</t>
  </si>
  <si>
    <t>Port Washington</t>
  </si>
  <si>
    <t>Poughkeepsie</t>
  </si>
  <si>
    <t>Queensbury</t>
  </si>
  <si>
    <t>Redondo Beach</t>
  </si>
  <si>
    <t>Rego Park</t>
  </si>
  <si>
    <t>Richardson</t>
  </si>
  <si>
    <t>Richmond Hill</t>
  </si>
  <si>
    <t>Ridgecrest</t>
  </si>
  <si>
    <t>Rochester</t>
  </si>
  <si>
    <t>Rocklin</t>
  </si>
  <si>
    <t>Rockville Centre</t>
  </si>
  <si>
    <t>Rome</t>
  </si>
  <si>
    <t>Ronkonkoma</t>
  </si>
  <si>
    <t>Rosedale</t>
  </si>
  <si>
    <t>Rowlett</t>
  </si>
  <si>
    <t>Sacramento</t>
  </si>
  <si>
    <t>Saint Albans</t>
  </si>
  <si>
    <t>San Angelo</t>
  </si>
  <si>
    <t>San Antonio</t>
  </si>
  <si>
    <t>San Carlos</t>
  </si>
  <si>
    <t>San Diego</t>
  </si>
  <si>
    <t>San Jose</t>
  </si>
  <si>
    <t>San Lorenzo</t>
  </si>
  <si>
    <t>San Pablo</t>
  </si>
  <si>
    <t>Santa Clara</t>
  </si>
  <si>
    <t>Santa Cruz</t>
  </si>
  <si>
    <t>Santa Monica</t>
  </si>
  <si>
    <t>Saratoga Springs</t>
  </si>
  <si>
    <t>Scarsdale</t>
  </si>
  <si>
    <t>Schenectady</t>
  </si>
  <si>
    <t>Selden</t>
  </si>
  <si>
    <t>Shirley</t>
  </si>
  <si>
    <t>Smithtown</t>
  </si>
  <si>
    <t>South El Monte</t>
  </si>
  <si>
    <t>South Ozone Park</t>
  </si>
  <si>
    <t>South Richmond Hill</t>
  </si>
  <si>
    <t>Spring Valley</t>
  </si>
  <si>
    <t>Springfield Gardens</t>
  </si>
  <si>
    <t>Staten Island</t>
  </si>
  <si>
    <t>Sugar Land</t>
  </si>
  <si>
    <t>Sunnyside</t>
  </si>
  <si>
    <t>Syosset</t>
  </si>
  <si>
    <t>Tonawanda</t>
  </si>
  <si>
    <t>Torrance</t>
  </si>
  <si>
    <t>Troy</t>
  </si>
  <si>
    <t>Uniondale</t>
  </si>
  <si>
    <t>Upland</t>
  </si>
  <si>
    <t>Utica</t>
  </si>
  <si>
    <t>Valley Stream</t>
  </si>
  <si>
    <t>Victoria</t>
  </si>
  <si>
    <t>Vista</t>
  </si>
  <si>
    <t>Wantagh</t>
  </si>
  <si>
    <t>Wappingers Falls</t>
  </si>
  <si>
    <t>Webster</t>
  </si>
  <si>
    <t>West Babylon</t>
  </si>
  <si>
    <t>West Hempstead</t>
  </si>
  <si>
    <t>West Islip</t>
  </si>
  <si>
    <t>Westbury</t>
  </si>
  <si>
    <t>Whitestone</t>
  </si>
  <si>
    <t>Woodhaven</t>
  </si>
  <si>
    <t>Woodside</t>
  </si>
  <si>
    <t>Yonkers</t>
  </si>
  <si>
    <t>Yorktown Heights</t>
  </si>
  <si>
    <t>Yuba City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</si>
  <si>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</si>
  <si>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</si>
  <si>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</si>
  <si>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</si>
  <si>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</si>
  <si>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</si>
  <si>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</si>
  <si>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</si>
  <si>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</si>
  <si>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</si>
  <si>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</si>
  <si>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>9273 Thorne Ave.</t>
  </si>
  <si>
    <t>Kasha</t>
  </si>
  <si>
    <t>Todd</t>
  </si>
  <si>
    <t>kasha.todd@yahoo.com</t>
  </si>
  <si>
    <t>910 Vine Street</t>
  </si>
  <si>
    <t>Tameka</t>
  </si>
  <si>
    <t>Fisher</t>
  </si>
  <si>
    <t>tameka.fisher@aol.com</t>
  </si>
  <si>
    <t>769C Honey Creek St.</t>
  </si>
  <si>
    <t>Daryl</t>
  </si>
  <si>
    <t>Spence</t>
  </si>
  <si>
    <t>daryl.spence@aol.com</t>
  </si>
  <si>
    <t>988 Pearl Lane</t>
  </si>
  <si>
    <t>Charolette</t>
  </si>
  <si>
    <t>Rice</t>
  </si>
  <si>
    <t>(916) 381-6003</t>
  </si>
  <si>
    <t>charolette.rice@msn.com</t>
  </si>
  <si>
    <t>107 River Dr.</t>
  </si>
  <si>
    <t>Lyndsey</t>
  </si>
  <si>
    <t>Bean</t>
  </si>
  <si>
    <t>lyndsey.bean@hotmail.com</t>
  </si>
  <si>
    <t>769 West Road</t>
  </si>
  <si>
    <t>Latasha</t>
  </si>
  <si>
    <t>Hays</t>
  </si>
  <si>
    <t>(716) 986-3359</t>
  </si>
  <si>
    <t>latasha.hays@hotmail.com</t>
  </si>
  <si>
    <t>7014 Manor Station Rd.</t>
  </si>
  <si>
    <t>Jacquline</t>
  </si>
  <si>
    <t>Duncan</t>
  </si>
  <si>
    <t>jacquline.duncan@yahoo.com</t>
  </si>
  <si>
    <t>15 Brown St.</t>
  </si>
  <si>
    <t>Genoveva</t>
  </si>
  <si>
    <t>genoveva.baldwin@msn.com</t>
  </si>
  <si>
    <t>8550 Spruce Drive</t>
  </si>
  <si>
    <t>Pamelia</t>
  </si>
  <si>
    <t>Newman</t>
  </si>
  <si>
    <t>pamelia.newman@gmail.com</t>
  </si>
  <si>
    <t>476 Chestnut Ave.</t>
  </si>
  <si>
    <t>Deshawn</t>
  </si>
  <si>
    <t>Mendoza</t>
  </si>
  <si>
    <t>deshawn.mendoza@yahoo.com</t>
  </si>
  <si>
    <t>8790 Cobblestone Street</t>
  </si>
  <si>
    <t>Robby</t>
  </si>
  <si>
    <t>Sykes</t>
  </si>
  <si>
    <t>(516) 583-7761</t>
  </si>
  <si>
    <t>robby.sykes@hotmail.com</t>
  </si>
  <si>
    <t>486 Rock Maple Street</t>
  </si>
  <si>
    <t>Lashawn</t>
  </si>
  <si>
    <t>Ortiz</t>
  </si>
  <si>
    <t>lashawn.ortiz@msn.com</t>
  </si>
  <si>
    <t>27 Washington Rd.</t>
  </si>
  <si>
    <t>Garry</t>
  </si>
  <si>
    <t>Espinoza</t>
  </si>
  <si>
    <t>garry.espinoza@hotmail.com</t>
  </si>
  <si>
    <t>7858 Rockaway Court</t>
  </si>
  <si>
    <t>Linnie</t>
  </si>
  <si>
    <t>Branch</t>
  </si>
  <si>
    <t>linnie.branch@gmail.com</t>
  </si>
  <si>
    <t>314 South Columbia Ave.</t>
  </si>
  <si>
    <t>Emmitt</t>
  </si>
  <si>
    <t>Sanchez</t>
  </si>
  <si>
    <t>(212) 945-8823</t>
  </si>
  <si>
    <t>emmitt.sanchez@hotmail.com</t>
  </si>
  <si>
    <t>461 Squaw Creek Road</t>
  </si>
  <si>
    <t>Caren</t>
  </si>
  <si>
    <t>Stephens</t>
  </si>
  <si>
    <t>caren.stephens@msn.com</t>
  </si>
  <si>
    <t>914 Brook St.</t>
  </si>
  <si>
    <t>Georgetta</t>
  </si>
  <si>
    <t>Hardin</t>
  </si>
  <si>
    <t>georgetta.hardin@aol.com</t>
  </si>
  <si>
    <t>474 Chapel Dr.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</si>
  <si>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</si>
  <si>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</si>
  <si>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</si>
  <si>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</si>
  <si>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</si>
  <si>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</si>
  <si>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</si>
  <si>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</si>
  <si>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Tobie</t>
  </si>
  <si>
    <t>Little</t>
  </si>
  <si>
    <t>tobie.little@gmail.com</t>
  </si>
  <si>
    <t>10 Silver Spear Dr.</t>
  </si>
  <si>
    <t>Adelle</t>
  </si>
  <si>
    <t>Larsen</t>
  </si>
  <si>
    <t>adelle.larsen@gmail.com</t>
  </si>
  <si>
    <t>683 West Kirkland Dr.</t>
  </si>
  <si>
    <t>Kaylee</t>
  </si>
  <si>
    <t>English</t>
  </si>
  <si>
    <t>kaylee.english@msn.com</t>
  </si>
  <si>
    <t>8786 Fulton Rd.</t>
  </si>
  <si>
    <t>Corene</t>
  </si>
  <si>
    <t>Wall</t>
  </si>
  <si>
    <t>corene.wall@msn.com</t>
  </si>
  <si>
    <t>9601 Ocean Rd.</t>
  </si>
  <si>
    <t>Regenia</t>
  </si>
  <si>
    <t>Vaughan</t>
  </si>
  <si>
    <t>regenia.vaughan@gmail.com</t>
  </si>
  <si>
    <t>44 Stonybrook Street</t>
  </si>
  <si>
    <t>Theo</t>
  </si>
  <si>
    <t>Reese</t>
  </si>
  <si>
    <t>(562) 215-2907</t>
  </si>
  <si>
    <t>theo.reese@gmail.com</t>
  </si>
  <si>
    <t>8755 W. Wild Horse St.</t>
  </si>
  <si>
    <t>Santos</t>
  </si>
  <si>
    <t>Valencia</t>
  </si>
  <si>
    <t>santos.valencia@yahoo.com</t>
  </si>
  <si>
    <t>7479 Carpenter Street</t>
  </si>
  <si>
    <t>Jeanice</t>
  </si>
  <si>
    <t>Frost</t>
  </si>
  <si>
    <t>jeanice.frost@hotmail.com</t>
  </si>
  <si>
    <t>76 Devon Lane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</si>
  <si>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</si>
  <si>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</si>
  <si>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</si>
  <si>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</si>
  <si>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</si>
  <si>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</si>
  <si>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</si>
  <si>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</si>
  <si>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Williemae</t>
  </si>
  <si>
    <t>Holloway</t>
  </si>
  <si>
    <t>(510) 246-8375</t>
  </si>
  <si>
    <t>williemae.holloway@msn.com</t>
  </si>
  <si>
    <t>69 Cypress St.</t>
  </si>
  <si>
    <t>Araceli</t>
  </si>
  <si>
    <t>Golden</t>
  </si>
  <si>
    <t>araceli.golden@msn.com</t>
  </si>
  <si>
    <t>12 Ridgeview Ave.</t>
  </si>
  <si>
    <t>Deloris</t>
  </si>
  <si>
    <t>Burke</t>
  </si>
  <si>
    <t>deloris.burke@hotmail.com</t>
  </si>
  <si>
    <t>895 Edgemont Drive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</si>
  <si>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</si>
  <si>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</si>
  <si>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</si>
  <si>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</si>
  <si>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</si>
  <si>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</si>
  <si>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</si>
  <si>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</si>
  <si>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Bernita</t>
  </si>
  <si>
    <t>Mcdaniel</t>
  </si>
  <si>
    <t>bernita.mcdaniel@hotmail.com</t>
  </si>
  <si>
    <t>2 Peg Shop Ave.</t>
  </si>
  <si>
    <t>Melia</t>
  </si>
  <si>
    <t>Brady</t>
  </si>
  <si>
    <t>melia.brady@gmail.com</t>
  </si>
  <si>
    <t>907 Shirley Rd.</t>
  </si>
  <si>
    <t>Zelma</t>
  </si>
  <si>
    <t>Browning</t>
  </si>
  <si>
    <t>zelma.browning@aol.com</t>
  </si>
  <si>
    <t>296 Second Street</t>
  </si>
  <si>
    <t>Janetta</t>
  </si>
  <si>
    <t>Aguirre</t>
  </si>
  <si>
    <t>(717) 670-2634</t>
  </si>
  <si>
    <t>janetta.aguirre@aol.com</t>
  </si>
  <si>
    <t>214 Second Court</t>
  </si>
  <si>
    <t>Ronna</t>
  </si>
  <si>
    <t>Butler</t>
  </si>
  <si>
    <t>ronna.butler@gmail.com</t>
  </si>
  <si>
    <t>9438 Plymouth Court</t>
  </si>
  <si>
    <t>Kathie</t>
  </si>
  <si>
    <t>Freeman</t>
  </si>
  <si>
    <t>kathie.freeman@msn.com</t>
  </si>
  <si>
    <t>667 Temple Dr.</t>
  </si>
  <si>
    <t>Tangela</t>
  </si>
  <si>
    <t>Quinn</t>
  </si>
  <si>
    <t>tangela.quinn@aol.com</t>
  </si>
  <si>
    <t>4 S. Purple Finch Road</t>
  </si>
  <si>
    <t>Mozelle</t>
  </si>
  <si>
    <t>Carter</t>
  </si>
  <si>
    <t>(281) 489-9656</t>
  </si>
  <si>
    <t>mozelle.carter@aol.com</t>
  </si>
  <si>
    <t>895 Chestnut Ave.</t>
  </si>
  <si>
    <t>Onita</t>
  </si>
  <si>
    <t>Johns</t>
  </si>
  <si>
    <t>onita.johns@msn.com</t>
  </si>
  <si>
    <t>32 Glen Creek Lane</t>
  </si>
  <si>
    <t>Bennett</t>
  </si>
  <si>
    <t>Armstrong</t>
  </si>
  <si>
    <t>bennett.armstrong@aol.com</t>
  </si>
  <si>
    <t>688 Walnut Street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</si>
  <si>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</si>
  <si>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</si>
  <si>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</si>
  <si>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</si>
  <si>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</si>
  <si>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</si>
  <si>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</si>
  <si>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</si>
  <si>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Cesar</t>
  </si>
  <si>
    <t>Jackson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</si>
  <si>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</si>
  <si>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</si>
  <si>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</si>
  <si>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</si>
  <si>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</si>
  <si>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</si>
  <si>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</si>
  <si>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</si>
  <si>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</si>
  <si>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</si>
  <si>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</si>
  <si>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</si>
  <si>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</si>
  <si>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Tu</t>
  </si>
  <si>
    <t>Ramirez</t>
  </si>
  <si>
    <t>tu.ramirez@hotmail.com</t>
  </si>
  <si>
    <t>24 W. Courtland Street</t>
  </si>
  <si>
    <t>Saturnina</t>
  </si>
  <si>
    <t>Garner</t>
  </si>
  <si>
    <t>saturnina.garner@gmail.com</t>
  </si>
  <si>
    <t>8538 Fairground St.</t>
  </si>
  <si>
    <t>Fran</t>
  </si>
  <si>
    <t>Yang</t>
  </si>
  <si>
    <t>fran.yang@hotmail.com</t>
  </si>
  <si>
    <t>440 Pearl St.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</si>
  <si>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</si>
  <si>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</si>
  <si>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</si>
  <si>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</si>
  <si>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</si>
  <si>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</si>
  <si>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</si>
  <si>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</si>
  <si>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</si>
  <si>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</si>
  <si>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</si>
  <si>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</si>
  <si>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Damien</t>
  </si>
  <si>
    <t>Dorsey</t>
  </si>
  <si>
    <t>damien.dorsey@yahoo.com</t>
  </si>
  <si>
    <t>161 Old York Street</t>
  </si>
  <si>
    <t>Stanley</t>
  </si>
  <si>
    <t>latasha.stanley@gmail.com</t>
  </si>
  <si>
    <t>8068 Fordham Drive</t>
  </si>
  <si>
    <t>Neil</t>
  </si>
  <si>
    <t>Mccall</t>
  </si>
  <si>
    <t>neil.mccall@gmail.com</t>
  </si>
  <si>
    <t>7476 Oakland Dr.</t>
  </si>
  <si>
    <t>Elinore</t>
  </si>
  <si>
    <t>Aguilar</t>
  </si>
  <si>
    <t>elinore.aguilar@msn.com</t>
  </si>
  <si>
    <t>9766 Rockcrest Ave.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</si>
  <si>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</si>
  <si>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</si>
  <si>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</si>
  <si>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</si>
  <si>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</si>
  <si>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</si>
  <si>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</si>
  <si>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</si>
  <si>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Bobbie</t>
  </si>
  <si>
    <t>Foster</t>
  </si>
  <si>
    <t>bobbie.foster@yahoo.com</t>
  </si>
  <si>
    <t>988 Pineknoll Ave.</t>
  </si>
  <si>
    <t>Kanesha</t>
  </si>
  <si>
    <t>Vega</t>
  </si>
  <si>
    <t>kanesha.vega@gmail.com</t>
  </si>
  <si>
    <t>771 E. Oxford Drive</t>
  </si>
  <si>
    <t>Lorrie</t>
  </si>
  <si>
    <t>Becker</t>
  </si>
  <si>
    <t>lorrie.becker@yahoo.com</t>
  </si>
  <si>
    <t>19 North Court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</si>
  <si>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</si>
  <si>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</si>
  <si>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</si>
  <si>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</si>
  <si>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</si>
  <si>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</si>
  <si>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</si>
  <si>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</si>
  <si>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</si>
  <si>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Katelin</t>
  </si>
  <si>
    <t>Kennedy</t>
  </si>
  <si>
    <t>katelin.kennedy@gmail.com</t>
  </si>
  <si>
    <t>286 Myrtle Lane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</si>
  <si>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</si>
  <si>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</si>
  <si>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</si>
  <si>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</si>
  <si>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</si>
  <si>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</si>
  <si>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</si>
  <si>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</si>
  <si>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</si>
  <si>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</si>
  <si>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</si>
  <si>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</si>
  <si>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</si>
  <si>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</si>
  <si>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</si>
  <si>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</si>
  <si>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</si>
  <si>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</si>
  <si>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</si>
  <si>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</si>
  <si>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</si>
  <si>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</si>
  <si>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</si>
  <si>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</si>
  <si>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</si>
  <si>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</si>
  <si>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</si>
  <si>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</si>
  <si>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Keri</t>
  </si>
  <si>
    <t>Bridges</t>
  </si>
  <si>
    <t>keri.bridges@gmail.com</t>
  </si>
  <si>
    <t>8504 Brickell Ave.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</si>
  <si>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</si>
  <si>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</si>
  <si>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</si>
  <si>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</si>
  <si>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</si>
  <si>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</si>
  <si>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</si>
  <si>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</si>
  <si>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</si>
  <si>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</si>
  <si>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</si>
  <si>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</si>
  <si>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</si>
  <si>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</si>
  <si>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</si>
  <si>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</si>
  <si>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</si>
  <si>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</si>
  <si>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</si>
  <si>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</si>
  <si>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</si>
  <si>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Tiesha</t>
  </si>
  <si>
    <t>Daniel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</si>
  <si>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</si>
  <si>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</si>
  <si>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</si>
  <si>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</si>
  <si>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</si>
  <si>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</si>
  <si>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Teofila</t>
  </si>
  <si>
    <t>Fischer</t>
  </si>
  <si>
    <t>teofila.fischer@aol.com</t>
  </si>
  <si>
    <t>1 West Brickyard St.</t>
  </si>
  <si>
    <t>Lissa</t>
  </si>
  <si>
    <t>Vargas</t>
  </si>
  <si>
    <t>lissa.vargas@yahoo.com</t>
  </si>
  <si>
    <t>517 Victoria Ave.</t>
  </si>
  <si>
    <t>Yan</t>
  </si>
  <si>
    <t>Mcgowan</t>
  </si>
  <si>
    <t>yan.mcgowan@msn.com</t>
  </si>
  <si>
    <t>8960 Newport Ave.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</si>
  <si>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</si>
  <si>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</si>
  <si>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</si>
  <si>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</si>
  <si>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</si>
  <si>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</si>
  <si>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</si>
  <si>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</si>
  <si>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Marjorie</t>
  </si>
  <si>
    <t>Logan</t>
  </si>
  <si>
    <t>marjorie.logan@msn.com</t>
  </si>
  <si>
    <t>95 Grandrose St.</t>
  </si>
  <si>
    <t>Marvin</t>
  </si>
  <si>
    <t>Mullins</t>
  </si>
  <si>
    <t>(619) 635-2027</t>
  </si>
  <si>
    <t>marvin.mullins@aol.com</t>
  </si>
  <si>
    <t>7489 Redwood Drive</t>
  </si>
  <si>
    <t>Tena</t>
  </si>
  <si>
    <t>Cruz</t>
  </si>
  <si>
    <t>tena.cruz@yahoo.com</t>
  </si>
  <si>
    <t>1 South St.</t>
  </si>
  <si>
    <t>Corrina</t>
  </si>
  <si>
    <t>Sawyer</t>
  </si>
  <si>
    <t>(248) 370-1364</t>
  </si>
  <si>
    <t>corrina.sawyer@yahoo.com</t>
  </si>
  <si>
    <t>95 Briarwood Lane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</si>
  <si>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</si>
  <si>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</si>
  <si>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</si>
  <si>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</si>
  <si>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</si>
  <si>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</si>
  <si>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</si>
  <si>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</si>
  <si>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Floretta</t>
  </si>
  <si>
    <t>Higgins</t>
  </si>
  <si>
    <t>floretta.higgins@hotmail.com</t>
  </si>
  <si>
    <t>870 Lilac Dr.</t>
  </si>
  <si>
    <t>Louanne</t>
  </si>
  <si>
    <t>Martin</t>
  </si>
  <si>
    <t>louanne.martin@hotmail.com</t>
  </si>
  <si>
    <t>1 Campfire Ave.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</si>
  <si>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</si>
  <si>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</si>
  <si>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</si>
  <si>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</si>
  <si>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</si>
  <si>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</si>
  <si>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</si>
  <si>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</si>
  <si>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</si>
  <si>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</si>
  <si>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</si>
  <si>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</si>
  <si>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</si>
  <si>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</si>
  <si>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</si>
  <si>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</si>
  <si>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</si>
  <si>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</si>
  <si>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</si>
  <si>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</si>
  <si>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</si>
  <si>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</si>
  <si>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</si>
  <si>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</si>
  <si>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</si>
  <si>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</si>
  <si>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</si>
  <si>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</si>
  <si>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</si>
  <si>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</si>
  <si>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</si>
  <si>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Raul</t>
  </si>
  <si>
    <t>Melendez</t>
  </si>
  <si>
    <t>raul.melendez@hotmail.com</t>
  </si>
  <si>
    <t>9772 Manhattan St.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</si>
  <si>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</si>
  <si>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</si>
  <si>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</si>
  <si>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</si>
  <si>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</si>
  <si>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</si>
  <si>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</si>
  <si>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</si>
  <si>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Monica</t>
  </si>
  <si>
    <t>Sears</t>
  </si>
  <si>
    <t>(408) 704-8863</t>
  </si>
  <si>
    <t>monica.sears@aol.com</t>
  </si>
  <si>
    <t>57 Glenholme St.</t>
  </si>
  <si>
    <t>Ollie</t>
  </si>
  <si>
    <t>Zimmerman</t>
  </si>
  <si>
    <t>(657) 648-2863</t>
  </si>
  <si>
    <t>ollie.zimmerman@yahoo.com</t>
  </si>
  <si>
    <t>69 Wood Rd.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</si>
  <si>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</si>
  <si>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</si>
  <si>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</si>
  <si>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</si>
  <si>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</si>
  <si>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</si>
  <si>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</si>
  <si>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</si>
  <si>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</si>
  <si>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</si>
  <si>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</si>
  <si>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</si>
  <si>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</si>
  <si>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</si>
  <si>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</si>
  <si>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</si>
  <si>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</si>
  <si>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</si>
  <si>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</si>
  <si>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</si>
  <si>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</si>
  <si>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</si>
  <si>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</si>
  <si>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</si>
  <si>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</si>
  <si>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</si>
  <si>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</si>
  <si>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</si>
  <si>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</si>
  <si>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</si>
  <si>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</si>
  <si>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</si>
  <si>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</si>
  <si>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</si>
  <si>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</si>
  <si>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</si>
  <si>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</si>
  <si>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</si>
  <si>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</si>
  <si>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</si>
  <si>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</si>
  <si>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</si>
  <si>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</si>
  <si>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</si>
  <si>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</si>
  <si>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</si>
  <si>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Robena</t>
  </si>
  <si>
    <t>Hill</t>
  </si>
  <si>
    <t>(361) 598-4414</t>
  </si>
  <si>
    <t>robena.hill@hotmail.com</t>
  </si>
  <si>
    <t>263 Cross St.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</si>
  <si>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</si>
  <si>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</si>
  <si>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</si>
  <si>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</si>
  <si>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</si>
  <si>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</si>
  <si>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</si>
  <si>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</si>
  <si>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</si>
  <si>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</si>
  <si>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</si>
  <si>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</si>
  <si>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</si>
  <si>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</si>
  <si>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</si>
  <si>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</si>
  <si>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</si>
  <si>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</si>
  <si>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</si>
  <si>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</si>
  <si>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</si>
  <si>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</si>
  <si>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</si>
  <si>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</si>
  <si>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</si>
  <si>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</si>
  <si>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</si>
  <si>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</si>
  <si>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</si>
  <si>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</si>
  <si>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</si>
  <si>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</si>
  <si>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</si>
  <si>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</si>
  <si>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</si>
  <si>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</si>
  <si>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Delbert</t>
  </si>
  <si>
    <t>Wilkins</t>
  </si>
  <si>
    <t>delbert.wilkins@aol.com</t>
  </si>
  <si>
    <t>420 Greenview St.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</si>
  <si>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</si>
  <si>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</si>
  <si>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</si>
  <si>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</si>
  <si>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</si>
  <si>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</si>
  <si>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</si>
  <si>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</si>
  <si>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</si>
  <si>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</si>
  <si>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</si>
  <si>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</si>
  <si>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</si>
  <si>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</si>
  <si>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</si>
  <si>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</si>
  <si>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</si>
  <si>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</si>
  <si>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</si>
  <si>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</si>
  <si>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</si>
  <si>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</si>
  <si>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</si>
  <si>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</si>
  <si>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</si>
  <si>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</si>
  <si>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</si>
  <si>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</si>
  <si>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</si>
  <si>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</si>
  <si>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</si>
  <si>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</si>
  <si>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</si>
  <si>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</si>
  <si>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</si>
  <si>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</si>
  <si>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</si>
  <si>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</si>
  <si>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</si>
  <si>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</si>
  <si>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</si>
  <si>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</si>
  <si>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</si>
  <si>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</si>
  <si>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</si>
  <si>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Miquel</t>
  </si>
  <si>
    <t>Neal</t>
  </si>
  <si>
    <t>miquel.neal@hotmail.com</t>
  </si>
  <si>
    <t>9564 Deerfield Lane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</si>
  <si>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</si>
  <si>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</si>
  <si>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</si>
  <si>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</si>
  <si>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</si>
  <si>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</si>
  <si>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</si>
  <si>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</si>
  <si>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</si>
  <si>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</si>
  <si>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</si>
  <si>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</si>
  <si>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</si>
  <si>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</si>
  <si>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</si>
  <si>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</si>
  <si>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</si>
  <si>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</si>
  <si>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</si>
  <si>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</si>
  <si>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</si>
  <si>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</si>
  <si>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</si>
  <si>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</si>
  <si>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</si>
  <si>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</si>
  <si>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</si>
  <si>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</si>
  <si>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</si>
  <si>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</si>
  <si>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</si>
  <si>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</si>
  <si>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</si>
  <si>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</si>
  <si>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</si>
  <si>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</si>
  <si>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Lory</t>
  </si>
  <si>
    <t>Page</t>
  </si>
  <si>
    <t>lory.page@hotmail.com</t>
  </si>
  <si>
    <t>58 Summerhouse Street</t>
  </si>
  <si>
    <t>Charlyn</t>
  </si>
  <si>
    <t>Cantrell</t>
  </si>
  <si>
    <t>charlyn.cantrell@yahoo.com</t>
  </si>
  <si>
    <t>8756 Euclid St.</t>
  </si>
  <si>
    <t>Carola</t>
  </si>
  <si>
    <t>Rodriquez</t>
  </si>
  <si>
    <t>carola.rodriquez@hotmail.com</t>
  </si>
  <si>
    <t>9433 Heritage Lane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</si>
  <si>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</si>
  <si>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</si>
  <si>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</si>
  <si>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</si>
  <si>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</si>
  <si>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</si>
  <si>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</si>
  <si>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</si>
  <si>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</si>
  <si>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</si>
  <si>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</si>
  <si>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</si>
  <si>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</si>
  <si>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</si>
  <si>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</si>
  <si>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</si>
  <si>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</si>
  <si>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</si>
  <si>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</si>
  <si>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</si>
  <si>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</si>
  <si>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</si>
  <si>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</si>
  <si>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</si>
  <si>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</si>
  <si>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</si>
  <si>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</si>
  <si>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</si>
  <si>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</si>
  <si>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</si>
  <si>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</si>
  <si>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</si>
  <si>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</si>
  <si>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</si>
  <si>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</si>
  <si>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</si>
  <si>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</si>
  <si>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</si>
  <si>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</si>
  <si>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</si>
  <si>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</si>
  <si>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</si>
  <si>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</si>
  <si>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</si>
  <si>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</si>
  <si>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</si>
  <si>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</si>
  <si>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</si>
  <si>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</si>
  <si>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</si>
  <si>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</si>
  <si>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</si>
  <si>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</si>
  <si>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</si>
  <si>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</si>
  <si>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</si>
  <si>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</si>
  <si>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</si>
  <si>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</si>
  <si>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</si>
  <si>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</si>
  <si>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</si>
  <si>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</si>
  <si>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</si>
  <si>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</si>
  <si>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</si>
  <si>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</si>
  <si>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</si>
  <si>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</si>
  <si>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</si>
  <si>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</si>
  <si>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</si>
  <si>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</si>
  <si>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</si>
  <si>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</si>
  <si>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</si>
  <si>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</si>
  <si>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</si>
  <si>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</si>
  <si>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</si>
  <si>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</si>
  <si>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</si>
  <si>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</si>
  <si>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</si>
  <si>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</si>
  <si>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</si>
  <si>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</si>
  <si>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</si>
  <si>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</si>
  <si>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</si>
  <si>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</si>
  <si>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</si>
  <si>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</si>
  <si>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</si>
  <si>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</si>
  <si>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</si>
  <si>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</si>
  <si>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</si>
  <si>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</si>
  <si>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</si>
  <si>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</si>
  <si>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</si>
  <si>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</si>
  <si>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</si>
  <si>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</si>
  <si>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</si>
  <si>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</si>
  <si>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</si>
  <si>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</si>
  <si>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</si>
  <si>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</si>
  <si>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</si>
  <si>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</si>
  <si>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</si>
  <si>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</si>
  <si>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</si>
  <si>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</si>
  <si>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</si>
  <si>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</si>
  <si>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</si>
  <si>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</si>
  <si>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</si>
  <si>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</si>
  <si>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</si>
  <si>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</si>
  <si>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</si>
  <si>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</si>
  <si>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</si>
  <si>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</si>
  <si>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</si>
  <si>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</si>
  <si>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</si>
  <si>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</si>
  <si>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</si>
  <si>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</si>
  <si>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</si>
  <si>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</si>
  <si>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</si>
  <si>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</si>
  <si>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</si>
  <si>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</si>
  <si>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Dorine</t>
  </si>
  <si>
    <t>Roberson</t>
  </si>
  <si>
    <t>dorine.roberson@msn.com</t>
  </si>
  <si>
    <t>396 Meadowbrook Lane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</si>
  <si>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</si>
  <si>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</si>
  <si>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</si>
  <si>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</si>
  <si>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</si>
  <si>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</si>
  <si>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</si>
  <si>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</si>
  <si>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</si>
  <si>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</si>
  <si>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</si>
  <si>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Luis</t>
  </si>
  <si>
    <t>luis.tyler@gmail.com</t>
  </si>
  <si>
    <t>9568 Campfire Circle</t>
  </si>
  <si>
    <t>Clelia</t>
  </si>
  <si>
    <t>Workman</t>
  </si>
  <si>
    <t>clelia.workman@yahoo.com</t>
  </si>
  <si>
    <t>620 North Somerset St.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</si>
  <si>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</si>
  <si>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</si>
  <si>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</si>
  <si>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</si>
  <si>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</si>
  <si>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</si>
  <si>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</si>
  <si>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</si>
  <si>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</si>
  <si>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</si>
  <si>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</si>
  <si>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</si>
  <si>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</si>
  <si>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</si>
  <si>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</si>
  <si>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</si>
  <si>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</si>
  <si>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</si>
  <si>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</si>
  <si>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</si>
  <si>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</si>
  <si>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</si>
  <si>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</si>
  <si>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</si>
  <si>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</si>
  <si>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</si>
  <si>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Stephaine</t>
  </si>
  <si>
    <t>Riddle</t>
  </si>
  <si>
    <t>stephaine.riddle@hotmail.com</t>
  </si>
  <si>
    <t>199 Vermont Court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</si>
  <si>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</si>
  <si>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</si>
  <si>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</si>
  <si>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</si>
  <si>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</si>
  <si>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</si>
  <si>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</si>
  <si>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Jutta</t>
  </si>
  <si>
    <t>Everett</t>
  </si>
  <si>
    <t>jutta.everett@gmail.com</t>
  </si>
  <si>
    <t>27 Taylor Ave.</t>
  </si>
  <si>
    <t>Priscilla</t>
  </si>
  <si>
    <t>(229) 322-2269</t>
  </si>
  <si>
    <t>priscilla.wilkins@aol.com</t>
  </si>
  <si>
    <t>653 Pawnee Rd.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</si>
  <si>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</si>
  <si>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</si>
  <si>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</si>
  <si>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</si>
  <si>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</si>
  <si>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</si>
  <si>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</si>
  <si>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</si>
  <si>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</si>
  <si>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</si>
  <si>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</si>
  <si>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</si>
  <si>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</si>
  <si>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</si>
  <si>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</si>
  <si>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</si>
  <si>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</si>
  <si>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</si>
  <si>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</si>
  <si>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</si>
  <si>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</si>
  <si>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</si>
  <si>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</si>
  <si>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</si>
  <si>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</si>
  <si>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</si>
  <si>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</si>
  <si>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</si>
  <si>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</si>
  <si>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</si>
  <si>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</si>
  <si>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</si>
  <si>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</si>
  <si>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</si>
  <si>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</si>
  <si>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</si>
  <si>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</si>
  <si>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</si>
  <si>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</si>
  <si>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</si>
  <si>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</si>
  <si>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</si>
  <si>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</si>
  <si>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</si>
  <si>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</si>
  <si>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</si>
  <si>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</si>
  <si>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</si>
  <si>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</si>
  <si>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</si>
  <si>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</si>
  <si>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</si>
  <si>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Moses</t>
  </si>
  <si>
    <t>Pope</t>
  </si>
  <si>
    <t>moses.pope@yahoo.com</t>
  </si>
  <si>
    <t>654 Theatre Street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</si>
  <si>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</si>
  <si>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</si>
  <si>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</si>
  <si>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</si>
  <si>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</si>
  <si>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</si>
  <si>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</si>
  <si>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</si>
  <si>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</si>
  <si>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</si>
  <si>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</si>
  <si>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</si>
  <si>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</si>
  <si>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</si>
  <si>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</si>
  <si>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</si>
  <si>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</si>
  <si>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Molly</t>
  </si>
  <si>
    <t>Langley</t>
  </si>
  <si>
    <t>molly.langley@aol.com</t>
  </si>
  <si>
    <t>63 Bridgeton Street</t>
  </si>
  <si>
    <t>Chelsey</t>
  </si>
  <si>
    <t>chelsey.hardin@hotmail.com</t>
  </si>
  <si>
    <t>13 Brickyard Street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</si>
  <si>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</si>
  <si>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</si>
  <si>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</si>
  <si>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</si>
  <si>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</si>
  <si>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</si>
  <si>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</si>
  <si>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</si>
  <si>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</si>
  <si>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</si>
  <si>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</si>
  <si>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</si>
  <si>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</si>
  <si>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</si>
  <si>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</si>
  <si>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</si>
  <si>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</si>
  <si>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</si>
  <si>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</si>
  <si>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</si>
  <si>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</si>
  <si>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</si>
  <si>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</si>
  <si>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</si>
  <si>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</si>
  <si>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</si>
  <si>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</si>
  <si>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</si>
  <si>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</si>
  <si>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</si>
  <si>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</si>
  <si>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</si>
  <si>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</si>
  <si>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</si>
  <si>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</si>
  <si>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</si>
  <si>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</si>
  <si>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</si>
  <si>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</si>
  <si>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</si>
  <si>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</si>
  <si>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</si>
  <si>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</si>
  <si>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</si>
  <si>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</si>
  <si>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</si>
  <si>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</si>
  <si>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</si>
  <si>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</si>
  <si>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</si>
  <si>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</si>
  <si>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</si>
  <si>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</si>
  <si>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</si>
  <si>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</si>
  <si>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</si>
  <si>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</si>
  <si>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</si>
  <si>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</si>
  <si>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</si>
  <si>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</si>
  <si>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</si>
  <si>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</si>
  <si>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</si>
  <si>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</si>
  <si>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</si>
  <si>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</si>
  <si>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</si>
  <si>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</si>
  <si>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</si>
  <si>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</si>
  <si>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</si>
  <si>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</si>
  <si>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</si>
  <si>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</si>
  <si>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</si>
  <si>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</si>
  <si>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</si>
  <si>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</si>
  <si>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</si>
  <si>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</si>
  <si>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</si>
  <si>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</si>
  <si>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</si>
  <si>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</si>
  <si>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</si>
  <si>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</si>
  <si>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</si>
  <si>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</si>
  <si>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</si>
  <si>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</si>
  <si>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</si>
  <si>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</si>
  <si>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</si>
  <si>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</si>
  <si>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</si>
  <si>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</si>
  <si>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</si>
  <si>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</si>
  <si>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</si>
  <si>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</si>
  <si>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</si>
  <si>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</si>
  <si>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</si>
  <si>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</si>
  <si>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</si>
  <si>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</si>
  <si>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</si>
  <si>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</si>
  <si>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</si>
  <si>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</si>
  <si>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</si>
  <si>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</si>
  <si>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</si>
  <si>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</si>
  <si>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</si>
  <si>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</si>
  <si>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</si>
  <si>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</si>
  <si>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</si>
  <si>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</si>
  <si>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</si>
  <si>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</si>
  <si>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</si>
  <si>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</si>
  <si>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</si>
  <si>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</si>
  <si>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</si>
  <si>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</si>
  <si>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</si>
  <si>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</si>
  <si>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</si>
  <si>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</si>
  <si>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</si>
  <si>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</si>
  <si>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</si>
  <si>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</si>
  <si>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</si>
  <si>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</si>
  <si>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</si>
  <si>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</si>
  <si>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</si>
  <si>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</si>
  <si>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</si>
  <si>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</si>
  <si>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Claudio</t>
  </si>
  <si>
    <t>Wise</t>
  </si>
  <si>
    <t>claudio.wise@hotmail.com</t>
  </si>
  <si>
    <t>810 Oxford Ave.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</si>
  <si>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</si>
  <si>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</si>
  <si>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</si>
  <si>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</si>
  <si>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</si>
  <si>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</si>
  <si>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</si>
  <si>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</si>
  <si>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</si>
  <si>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</si>
  <si>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</si>
  <si>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</si>
  <si>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Josh</t>
  </si>
  <si>
    <t>Shaw</t>
  </si>
  <si>
    <t>josh.shaw@gmail.com</t>
  </si>
  <si>
    <t>212 North Leeton Ridge Street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</si>
  <si>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</si>
  <si>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</si>
  <si>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</si>
  <si>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</si>
  <si>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</si>
  <si>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</si>
  <si>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</si>
  <si>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</si>
  <si>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</si>
  <si>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</si>
  <si>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</si>
  <si>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</si>
  <si>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</si>
  <si>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</si>
  <si>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</si>
  <si>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</si>
  <si>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</si>
  <si>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</si>
  <si>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</si>
  <si>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</si>
  <si>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</si>
  <si>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</si>
  <si>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</si>
  <si>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</si>
  <si>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</si>
  <si>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</si>
  <si>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</si>
  <si>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</si>
  <si>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</si>
  <si>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</si>
  <si>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</si>
  <si>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</si>
  <si>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</si>
  <si>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</si>
  <si>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</si>
  <si>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</si>
  <si>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</si>
  <si>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</si>
  <si>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</si>
  <si>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</si>
  <si>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</si>
  <si>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</si>
  <si>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</si>
  <si>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</si>
  <si>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</si>
  <si>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</si>
  <si>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</si>
  <si>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</si>
  <si>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</si>
  <si>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</si>
  <si>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</si>
  <si>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</si>
  <si>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</si>
  <si>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</si>
  <si>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</si>
  <si>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</si>
  <si>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</si>
  <si>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</si>
  <si>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</si>
  <si>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</si>
  <si>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</si>
  <si>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</si>
  <si>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</si>
  <si>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</si>
  <si>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</si>
  <si>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</si>
  <si>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</si>
  <si>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</si>
  <si>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</si>
  <si>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</si>
  <si>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</si>
  <si>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</si>
  <si>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</si>
  <si>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</si>
  <si>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</si>
  <si>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</si>
  <si>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</si>
  <si>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</si>
  <si>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</si>
  <si>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</si>
  <si>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</si>
  <si>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</si>
  <si>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</si>
  <si>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</si>
  <si>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</si>
  <si>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</si>
  <si>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</si>
  <si>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</si>
  <si>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</si>
  <si>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</si>
  <si>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</si>
  <si>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</si>
  <si>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</si>
  <si>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</si>
  <si>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</si>
  <si>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</si>
  <si>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</si>
  <si>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</si>
  <si>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</si>
  <si>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</si>
  <si>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</si>
  <si>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</si>
  <si>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</si>
  <si>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</si>
  <si>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</si>
  <si>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</si>
  <si>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</si>
  <si>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</si>
  <si>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</si>
  <si>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</si>
  <si>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</si>
  <si>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</si>
  <si>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</si>
  <si>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</si>
  <si>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</si>
  <si>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</si>
  <si>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</si>
  <si>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</si>
  <si>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</si>
  <si>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</si>
  <si>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</si>
  <si>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</si>
  <si>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</si>
  <si>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</si>
  <si>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</si>
  <si>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</si>
  <si>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</si>
  <si>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</si>
  <si>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</si>
  <si>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</si>
  <si>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</si>
  <si>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</si>
  <si>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</si>
  <si>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</si>
  <si>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</si>
  <si>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</si>
  <si>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</si>
  <si>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</si>
  <si>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</si>
  <si>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</si>
  <si>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</si>
  <si>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</si>
  <si>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</si>
  <si>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</si>
  <si>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</si>
  <si>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</si>
  <si>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</si>
  <si>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</si>
  <si>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</si>
  <si>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</si>
  <si>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</si>
  <si>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</si>
  <si>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</si>
  <si>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</si>
  <si>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</si>
  <si>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</si>
  <si>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</si>
  <si>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</si>
  <si>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</si>
  <si>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</si>
  <si>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</si>
  <si>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</si>
  <si>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</si>
  <si>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</si>
  <si>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</si>
  <si>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</si>
  <si>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</si>
  <si>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</si>
  <si>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Wiggins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</si>
  <si>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</si>
  <si>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</si>
  <si>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</si>
  <si>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</si>
  <si>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</si>
  <si>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</si>
  <si>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</si>
  <si>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</si>
  <si>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</si>
  <si>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</si>
  <si>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</si>
  <si>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</si>
  <si>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</si>
  <si>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</si>
  <si>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</si>
  <si>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</si>
  <si>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</si>
  <si>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</si>
  <si>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</si>
  <si>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</si>
  <si>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</si>
  <si>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</si>
  <si>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</si>
  <si>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</si>
  <si>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</si>
  <si>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</si>
  <si>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</si>
  <si>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</si>
  <si>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</si>
  <si>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</si>
  <si>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</si>
  <si>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</si>
  <si>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</si>
  <si>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</si>
  <si>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</si>
  <si>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</si>
  <si>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</si>
  <si>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</si>
  <si>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</si>
  <si>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</si>
  <si>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</si>
  <si>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</si>
  <si>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</si>
  <si>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</si>
  <si>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</si>
  <si>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</si>
  <si>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</si>
  <si>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</si>
  <si>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</si>
  <si>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</si>
  <si>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</si>
  <si>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</si>
  <si>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</si>
  <si>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</si>
  <si>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</si>
  <si>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</si>
  <si>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</si>
  <si>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</si>
  <si>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</si>
  <si>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</si>
  <si>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</si>
  <si>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</si>
  <si>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</si>
  <si>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</si>
  <si>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</si>
  <si>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</si>
  <si>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</si>
  <si>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</si>
  <si>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</si>
  <si>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</si>
  <si>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</si>
  <si>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</si>
  <si>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</si>
  <si>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</si>
  <si>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</si>
  <si>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</si>
  <si>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</si>
  <si>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</si>
  <si>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</si>
  <si>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</si>
  <si>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</si>
  <si>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</si>
  <si>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</si>
  <si>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</si>
  <si>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</si>
  <si>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</si>
  <si>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</si>
  <si>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</si>
  <si>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</si>
  <si>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</si>
  <si>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</si>
  <si>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</si>
  <si>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</si>
  <si>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</si>
  <si>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</si>
  <si>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</si>
  <si>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</si>
  <si>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</si>
  <si>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</si>
  <si>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</si>
  <si>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</si>
  <si>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</si>
  <si>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</si>
  <si>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</si>
  <si>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</si>
  <si>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</si>
  <si>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</si>
  <si>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</si>
  <si>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</si>
  <si>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</si>
  <si>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</si>
  <si>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</si>
  <si>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</si>
  <si>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</si>
  <si>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</si>
  <si>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</si>
  <si>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</si>
  <si>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</si>
  <si>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</si>
  <si>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</si>
  <si>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</si>
  <si>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</si>
  <si>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</si>
  <si>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</si>
  <si>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</si>
  <si>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</si>
  <si>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</si>
  <si>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</si>
  <si>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</si>
  <si>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</si>
  <si>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</si>
  <si>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</si>
  <si>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</si>
  <si>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</si>
  <si>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</si>
  <si>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</si>
  <si>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</si>
  <si>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</si>
  <si>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</si>
  <si>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</si>
  <si>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</si>
  <si>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</si>
  <si>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</si>
  <si>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</si>
  <si>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</si>
  <si>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</si>
  <si>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Angie</t>
  </si>
  <si>
    <t>Powers</t>
  </si>
  <si>
    <t>angie.powers@aol.com</t>
  </si>
  <si>
    <t>6 Rockland Dr.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</si>
  <si>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</si>
  <si>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</si>
  <si>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</si>
  <si>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</si>
  <si>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</si>
  <si>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</si>
  <si>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</si>
  <si>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</si>
  <si>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</si>
  <si>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</si>
  <si>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</si>
  <si>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</si>
  <si>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</si>
  <si>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</si>
  <si>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</si>
  <si>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</si>
  <si>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</si>
  <si>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</si>
  <si>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</si>
  <si>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</si>
  <si>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</si>
  <si>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</si>
  <si>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</si>
  <si>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</si>
  <si>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</si>
  <si>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</si>
  <si>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</si>
  <si>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</si>
  <si>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</si>
  <si>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</si>
  <si>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</si>
  <si>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</si>
  <si>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</si>
  <si>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</si>
  <si>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</si>
  <si>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</si>
  <si>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</si>
  <si>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</si>
  <si>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</si>
  <si>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</si>
  <si>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</si>
  <si>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</si>
  <si>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</si>
  <si>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Collene</t>
  </si>
  <si>
    <t>Roman</t>
  </si>
  <si>
    <t>collene.roman@aol.com</t>
  </si>
  <si>
    <t>30 North Argyle Dr.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</si>
  <si>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</si>
  <si>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</si>
  <si>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</si>
  <si>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</si>
  <si>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</si>
  <si>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</si>
  <si>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</si>
  <si>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</si>
  <si>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</si>
  <si>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</si>
  <si>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</si>
  <si>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</si>
  <si>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</si>
  <si>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</si>
  <si>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</si>
  <si>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</si>
  <si>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</si>
  <si>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</si>
  <si>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</si>
  <si>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</si>
  <si>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</si>
  <si>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</si>
  <si>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</si>
  <si>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</si>
  <si>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</si>
  <si>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</si>
  <si>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</si>
  <si>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</si>
  <si>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</si>
  <si>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</si>
  <si>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</si>
  <si>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</si>
  <si>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</si>
  <si>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</si>
  <si>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</si>
  <si>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</si>
  <si>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</si>
  <si>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</si>
  <si>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</si>
  <si>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</si>
  <si>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</si>
  <si>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</si>
  <si>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</si>
  <si>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</si>
  <si>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</si>
  <si>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</si>
  <si>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</si>
  <si>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</si>
  <si>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</si>
  <si>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</si>
  <si>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</si>
  <si>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</si>
  <si>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</si>
  <si>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</si>
  <si>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</si>
  <si>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</si>
  <si>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</si>
  <si>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</si>
  <si>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</si>
  <si>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</si>
  <si>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</si>
  <si>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</si>
  <si>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</si>
  <si>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</si>
  <si>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</si>
  <si>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</si>
  <si>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</si>
  <si>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</si>
  <si>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</si>
  <si>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</si>
  <si>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</si>
  <si>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</si>
  <si>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</si>
  <si>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</si>
  <si>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</si>
  <si>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</si>
  <si>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</si>
  <si>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</si>
  <si>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</si>
  <si>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</si>
  <si>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</si>
  <si>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</si>
  <si>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</si>
  <si>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</si>
  <si>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</si>
  <si>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</si>
  <si>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</si>
  <si>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</si>
  <si>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</si>
  <si>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</si>
  <si>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</si>
  <si>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</si>
  <si>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</si>
  <si>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</si>
  <si>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</si>
  <si>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</si>
  <si>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</si>
  <si>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</si>
  <si>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</si>
  <si>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</si>
  <si>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</si>
  <si>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</si>
  <si>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</si>
  <si>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</si>
  <si>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</si>
  <si>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</si>
  <si>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</si>
  <si>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</si>
  <si>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</si>
  <si>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</si>
  <si>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</si>
  <si>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</si>
  <si>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</si>
  <si>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</si>
  <si>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</si>
  <si>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</si>
  <si>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</si>
  <si>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</si>
  <si>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</si>
  <si>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</si>
  <si>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</si>
  <si>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</si>
  <si>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</si>
  <si>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</si>
  <si>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</si>
  <si>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</si>
  <si>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</si>
  <si>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</si>
  <si>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</si>
  <si>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</si>
  <si>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</si>
  <si>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</si>
  <si>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</si>
  <si>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</si>
  <si>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</si>
  <si>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</si>
  <si>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</si>
  <si>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</si>
  <si>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</si>
  <si>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</si>
  <si>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</si>
  <si>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</si>
  <si>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</si>
  <si>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</si>
  <si>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</si>
  <si>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</si>
  <si>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</si>
  <si>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</si>
  <si>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</si>
  <si>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</si>
  <si>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</si>
  <si>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</si>
  <si>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</si>
  <si>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</si>
  <si>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</si>
  <si>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</si>
  <si>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</si>
  <si>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</si>
  <si>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</si>
  <si>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</si>
  <si>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</si>
  <si>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</si>
  <si>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</si>
  <si>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</si>
  <si>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</si>
  <si>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</si>
  <si>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</si>
  <si>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</si>
  <si>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</si>
  <si>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</si>
  <si>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</si>
  <si>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</si>
  <si>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</si>
  <si>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</si>
  <si>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</si>
  <si>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</si>
  <si>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</si>
  <si>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</si>
  <si>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</si>
  <si>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</si>
  <si>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</si>
  <si>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</si>
  <si>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</si>
  <si>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</si>
  <si>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</si>
  <si>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</si>
  <si>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</si>
  <si>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</si>
  <si>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</si>
  <si>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</si>
  <si>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</si>
  <si>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</si>
  <si>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</si>
  <si>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</si>
  <si>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</si>
  <si>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</si>
  <si>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</si>
  <si>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</si>
  <si>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</si>
  <si>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</si>
  <si>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</si>
  <si>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</si>
  <si>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</si>
  <si>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</si>
  <si>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</si>
  <si>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</si>
  <si>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</si>
  <si>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</si>
  <si>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</si>
  <si>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</si>
  <si>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</si>
  <si>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</si>
  <si>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</si>
  <si>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</si>
  <si>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</si>
  <si>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</si>
  <si>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</si>
  <si>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</si>
  <si>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</si>
  <si>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</si>
  <si>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</si>
  <si>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</si>
  <si>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</si>
  <si>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</si>
  <si>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</si>
  <si>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</si>
  <si>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</si>
  <si>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</si>
  <si>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</si>
  <si>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</si>
  <si>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</si>
  <si>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</si>
  <si>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</si>
  <si>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</si>
  <si>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</si>
  <si>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</si>
  <si>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</si>
  <si>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</si>
  <si>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</si>
  <si>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</si>
  <si>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</si>
  <si>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</si>
  <si>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</si>
  <si>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</si>
  <si>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</si>
  <si>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</si>
  <si>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</si>
  <si>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</si>
  <si>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</si>
  <si>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</si>
  <si>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</si>
  <si>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</si>
  <si>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</si>
  <si>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</si>
  <si>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</si>
  <si>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</si>
  <si>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</si>
  <si>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</si>
  <si>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</si>
  <si>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</si>
  <si>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</si>
  <si>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</si>
  <si>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</si>
  <si>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</si>
  <si>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</si>
  <si>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</si>
  <si>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</si>
  <si>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</si>
  <si>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</si>
  <si>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</si>
  <si>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Chasidy</t>
  </si>
  <si>
    <t>Tran</t>
  </si>
  <si>
    <t>chasidy.tran@msn.com</t>
  </si>
  <si>
    <t>9286 Anderson Street</t>
  </si>
  <si>
    <t>Janella</t>
  </si>
  <si>
    <t>Bright</t>
  </si>
  <si>
    <t>(507) 616-2958</t>
  </si>
  <si>
    <t>janella.bright@aol.com</t>
  </si>
  <si>
    <t>7317 Tower Dr.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</si>
  <si>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</si>
  <si>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</si>
  <si>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</si>
  <si>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</si>
  <si>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</si>
  <si>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</si>
  <si>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</si>
  <si>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</si>
  <si>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</si>
  <si>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</si>
  <si>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</si>
  <si>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</si>
  <si>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</si>
  <si>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</si>
  <si>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</si>
  <si>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</si>
  <si>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</si>
  <si>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</si>
  <si>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</si>
  <si>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</si>
  <si>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</si>
  <si>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</si>
  <si>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</si>
  <si>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</si>
  <si>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</si>
  <si>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</si>
  <si>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</si>
  <si>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</si>
  <si>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</si>
  <si>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</si>
  <si>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</si>
  <si>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</si>
  <si>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</si>
  <si>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</si>
  <si>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</si>
  <si>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</si>
  <si>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</si>
  <si>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</si>
  <si>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</si>
  <si>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</si>
  <si>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</si>
  <si>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</si>
  <si>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</si>
  <si>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</si>
  <si>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</si>
  <si>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</si>
  <si>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</si>
  <si>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</si>
  <si>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</si>
  <si>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</si>
  <si>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</si>
  <si>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</si>
  <si>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</si>
  <si>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</si>
  <si>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</si>
  <si>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</si>
  <si>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</si>
  <si>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</si>
  <si>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</si>
  <si>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</si>
  <si>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</si>
  <si>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</si>
  <si>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</si>
  <si>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</si>
  <si>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</si>
  <si>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</si>
  <si>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</si>
  <si>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</si>
  <si>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</si>
  <si>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</si>
  <si>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</si>
  <si>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</si>
  <si>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</si>
  <si>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</si>
  <si>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</si>
  <si>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</si>
  <si>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</si>
  <si>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</si>
  <si>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</si>
  <si>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</si>
  <si>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</si>
  <si>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</si>
  <si>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</si>
  <si>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</si>
  <si>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</si>
  <si>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</si>
  <si>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</si>
  <si>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</si>
  <si>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</si>
  <si>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</si>
  <si>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</si>
  <si>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</si>
  <si>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</si>
  <si>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</si>
  <si>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</si>
  <si>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</si>
  <si>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</si>
  <si>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</si>
  <si>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</si>
  <si>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</si>
  <si>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</si>
  <si>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</si>
  <si>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</si>
  <si>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</si>
  <si>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</si>
  <si>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</si>
  <si>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</si>
  <si>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</si>
  <si>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</si>
  <si>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</si>
  <si>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</si>
  <si>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</si>
  <si>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</si>
  <si>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</si>
  <si>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</si>
  <si>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</si>
  <si>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</si>
  <si>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</si>
  <si>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</si>
  <si>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</si>
  <si>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</si>
  <si>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</si>
  <si>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</si>
  <si>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</si>
  <si>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</si>
  <si>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</si>
  <si>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</si>
  <si>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</si>
  <si>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</si>
  <si>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</si>
  <si>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</si>
  <si>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</si>
  <si>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</si>
  <si>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</si>
  <si>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</si>
  <si>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</si>
  <si>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</si>
  <si>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</si>
  <si>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</si>
  <si>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</si>
  <si>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</si>
  <si>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</si>
  <si>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</si>
  <si>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</si>
  <si>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</si>
  <si>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</si>
  <si>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</si>
  <si>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</si>
  <si>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</si>
  <si>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</si>
  <si>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</si>
  <si>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</si>
  <si>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</si>
  <si>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</si>
  <si>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</si>
  <si>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</si>
  <si>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</si>
  <si>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</si>
  <si>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</si>
  <si>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</si>
  <si>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</si>
  <si>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</si>
  <si>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</si>
  <si>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</si>
  <si>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</si>
  <si>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</si>
  <si>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</si>
  <si>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</si>
  <si>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</si>
  <si>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</si>
  <si>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</si>
  <si>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</si>
  <si>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</si>
  <si>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</si>
  <si>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</si>
  <si>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</si>
  <si>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</si>
  <si>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</si>
  <si>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</si>
  <si>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</si>
  <si>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</si>
  <si>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</si>
  <si>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</si>
  <si>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</si>
  <si>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</si>
  <si>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</si>
  <si>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</si>
  <si>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</si>
  <si>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</si>
  <si>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</si>
  <si>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</si>
  <si>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</si>
  <si>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</si>
  <si>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</si>
  <si>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</si>
  <si>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</si>
  <si>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</si>
  <si>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</si>
  <si>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</si>
  <si>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</si>
  <si>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</si>
  <si>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</si>
  <si>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</si>
  <si>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</si>
  <si>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</si>
  <si>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</si>
  <si>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</si>
  <si>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</si>
  <si>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</si>
  <si>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</si>
  <si>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</si>
  <si>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</si>
  <si>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</si>
  <si>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</si>
  <si>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</si>
  <si>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</si>
  <si>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</si>
  <si>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</si>
  <si>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</si>
  <si>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</si>
  <si>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</si>
  <si>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</si>
  <si>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</si>
  <si>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</si>
  <si>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</si>
  <si>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Julienne</t>
  </si>
  <si>
    <t>Moody</t>
  </si>
  <si>
    <t>(682) 841-4643</t>
  </si>
  <si>
    <t>julienne.moody@hotmail.com</t>
  </si>
  <si>
    <t>35 South Oxford Rd.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</si>
  <si>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</si>
  <si>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</si>
  <si>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</si>
  <si>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</si>
  <si>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</si>
  <si>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</si>
  <si>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</si>
  <si>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</si>
  <si>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</si>
  <si>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</si>
  <si>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</si>
  <si>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</si>
  <si>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</si>
  <si>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</si>
  <si>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</si>
  <si>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</si>
  <si>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</si>
  <si>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</si>
  <si>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</si>
  <si>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</si>
  <si>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</si>
  <si>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</si>
  <si>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</si>
  <si>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</si>
  <si>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</si>
  <si>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</si>
  <si>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</si>
  <si>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</si>
  <si>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</si>
  <si>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</si>
  <si>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</si>
  <si>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</si>
  <si>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</si>
  <si>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</si>
  <si>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</si>
  <si>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</si>
  <si>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</si>
  <si>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</si>
  <si>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</si>
  <si>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</si>
  <si>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</si>
  <si>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</si>
  <si>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</si>
  <si>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</si>
  <si>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</si>
  <si>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</si>
  <si>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</si>
  <si>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</si>
  <si>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</si>
  <si>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</si>
  <si>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</si>
  <si>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</si>
  <si>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</si>
  <si>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</si>
  <si>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</si>
  <si>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</si>
  <si>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</si>
  <si>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</si>
  <si>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</si>
  <si>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</si>
  <si>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Ellena</t>
  </si>
  <si>
    <t>Clements</t>
  </si>
  <si>
    <t>ellena.clements@aol.com</t>
  </si>
  <si>
    <t>7918 Mulberry Street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</si>
  <si>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</si>
  <si>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</si>
  <si>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</si>
  <si>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</si>
  <si>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</si>
  <si>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</si>
  <si>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</si>
  <si>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</si>
  <si>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</si>
  <si>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</si>
  <si>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</si>
  <si>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</si>
  <si>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</si>
  <si>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</si>
  <si>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</si>
  <si>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</si>
  <si>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</si>
  <si>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</si>
  <si>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</si>
  <si>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</si>
  <si>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</si>
  <si>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</si>
  <si>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</si>
  <si>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</si>
  <si>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</si>
  <si>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</si>
  <si>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</si>
  <si>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</si>
  <si>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</si>
  <si>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</si>
  <si>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</si>
  <si>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</si>
  <si>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</si>
  <si>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</si>
  <si>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</si>
  <si>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</si>
  <si>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</si>
  <si>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</si>
  <si>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</si>
  <si>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</si>
  <si>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</si>
  <si>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</si>
  <si>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</si>
  <si>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</si>
  <si>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</si>
  <si>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</si>
  <si>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</si>
  <si>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</si>
  <si>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</si>
  <si>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</si>
  <si>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</si>
  <si>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</si>
  <si>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</si>
  <si>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</si>
  <si>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</si>
  <si>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</si>
  <si>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</si>
  <si>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</si>
  <si>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</si>
  <si>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</si>
  <si>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</si>
  <si>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</si>
  <si>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</si>
  <si>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</si>
  <si>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</si>
  <si>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</si>
  <si>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</si>
  <si>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</si>
  <si>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</si>
  <si>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</si>
  <si>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</si>
  <si>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</si>
  <si>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</si>
  <si>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</si>
  <si>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</si>
  <si>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</si>
  <si>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</si>
  <si>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</si>
  <si>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</si>
  <si>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</si>
  <si>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</si>
  <si>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</si>
  <si>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</si>
  <si>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</si>
  <si>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</si>
  <si>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</si>
  <si>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</si>
  <si>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</si>
  <si>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</si>
  <si>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</si>
  <si>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</si>
  <si>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</si>
  <si>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</si>
  <si>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</si>
  <si>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</si>
  <si>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</si>
  <si>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</si>
  <si>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</si>
  <si>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</si>
  <si>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</si>
  <si>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</si>
  <si>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</si>
  <si>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</si>
  <si>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</si>
  <si>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</si>
  <si>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</si>
  <si>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</si>
  <si>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</si>
  <si>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</si>
  <si>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</si>
  <si>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</si>
  <si>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</si>
  <si>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</si>
  <si>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</si>
  <si>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</si>
  <si>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</si>
  <si>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</si>
  <si>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</si>
  <si>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</si>
  <si>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</si>
  <si>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</si>
  <si>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</si>
  <si>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</si>
  <si>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</si>
  <si>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</si>
  <si>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</si>
  <si>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</si>
  <si>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</si>
  <si>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</si>
  <si>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</si>
  <si>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</si>
  <si>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</si>
  <si>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</si>
  <si>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</si>
  <si>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</si>
  <si>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</si>
  <si>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</si>
  <si>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</si>
  <si>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</si>
  <si>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</si>
  <si>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</si>
  <si>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</si>
  <si>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</si>
  <si>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</si>
  <si>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</si>
  <si>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</si>
  <si>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</si>
  <si>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</si>
  <si>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</si>
  <si>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</si>
  <si>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</si>
  <si>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</si>
  <si>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</si>
  <si>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</si>
  <si>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</si>
  <si>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</si>
  <si>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</si>
  <si>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</si>
  <si>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</si>
  <si>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</si>
  <si>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</si>
  <si>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</si>
  <si>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</si>
  <si>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</si>
  <si>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</si>
  <si>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</si>
  <si>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</si>
  <si>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</si>
  <si>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</si>
  <si>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</si>
  <si>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</si>
  <si>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</si>
  <si>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</si>
  <si>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</si>
  <si>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</si>
  <si>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</si>
  <si>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</si>
  <si>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</si>
  <si>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</si>
  <si>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</si>
  <si>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</si>
  <si>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</si>
  <si>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</si>
  <si>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</si>
  <si>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</si>
  <si>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</si>
  <si>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</si>
  <si>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</si>
  <si>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</si>
  <si>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</si>
  <si>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</si>
  <si>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</si>
  <si>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</si>
  <si>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</si>
  <si>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</si>
  <si>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</si>
  <si>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</si>
  <si>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</si>
  <si>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</si>
  <si>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</si>
  <si>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</si>
  <si>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</si>
  <si>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</si>
  <si>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</si>
  <si>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</si>
  <si>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</si>
  <si>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</si>
  <si>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</si>
  <si>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</si>
  <si>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</si>
  <si>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</si>
  <si>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</si>
  <si>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</si>
  <si>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</si>
  <si>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</si>
  <si>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</si>
  <si>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</si>
  <si>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</si>
  <si>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</si>
  <si>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</si>
  <si>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</si>
  <si>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</si>
  <si>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</si>
  <si>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</si>
  <si>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</si>
  <si>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</si>
  <si>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</si>
  <si>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</si>
  <si>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</si>
  <si>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</si>
  <si>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</si>
  <si>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</si>
  <si>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</si>
  <si>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</si>
  <si>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</si>
  <si>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</si>
  <si>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</si>
  <si>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</si>
  <si>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</si>
  <si>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</si>
  <si>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</si>
  <si>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</si>
  <si>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</si>
  <si>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</si>
  <si>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</si>
  <si>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</si>
  <si>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</si>
  <si>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</si>
  <si>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</si>
  <si>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</si>
  <si>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</si>
  <si>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</si>
  <si>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</si>
  <si>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</si>
  <si>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</si>
  <si>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</si>
  <si>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</si>
  <si>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</si>
  <si>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</si>
  <si>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</si>
  <si>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</si>
  <si>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</si>
  <si>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</si>
  <si>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</si>
  <si>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</si>
  <si>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</si>
  <si>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</si>
  <si>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</si>
  <si>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</si>
  <si>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</si>
  <si>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</si>
  <si>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</si>
  <si>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</si>
  <si>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</si>
  <si>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</si>
  <si>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</si>
  <si>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</si>
  <si>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</si>
  <si>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</si>
  <si>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</si>
  <si>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</si>
  <si>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</si>
  <si>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</si>
  <si>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</si>
  <si>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</si>
  <si>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</si>
  <si>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</si>
  <si>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</si>
  <si>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</si>
  <si>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</si>
  <si>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</si>
  <si>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</si>
  <si>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</si>
  <si>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</si>
  <si>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</si>
  <si>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</si>
  <si>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</si>
  <si>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</si>
  <si>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</si>
  <si>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</si>
  <si>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</si>
  <si>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</si>
  <si>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</si>
  <si>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Acosta</t>
  </si>
  <si>
    <t>shery.acosta@yahoo.com</t>
  </si>
  <si>
    <t>17 Canal Ave.</t>
  </si>
  <si>
    <t>Jenna</t>
  </si>
  <si>
    <t>jenna.saunders@aol.com</t>
  </si>
  <si>
    <t>4 Young St.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</si>
  <si>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</si>
  <si>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</si>
  <si>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</si>
  <si>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</si>
  <si>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</si>
  <si>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</si>
  <si>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</si>
  <si>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</si>
  <si>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</si>
  <si>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</si>
  <si>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</si>
  <si>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</si>
  <si>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</si>
  <si>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</si>
  <si>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</si>
  <si>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</si>
  <si>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</si>
  <si>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</si>
  <si>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</si>
  <si>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</si>
  <si>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</si>
  <si>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</si>
  <si>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</si>
  <si>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</si>
  <si>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</si>
  <si>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</si>
  <si>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</si>
  <si>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</si>
  <si>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</si>
  <si>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</si>
  <si>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</si>
  <si>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</si>
  <si>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</si>
  <si>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</si>
  <si>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</si>
  <si>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</si>
  <si>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</si>
  <si>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</si>
  <si>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</si>
  <si>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</si>
  <si>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</si>
  <si>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</si>
  <si>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</si>
  <si>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</si>
  <si>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</si>
  <si>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</si>
  <si>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</si>
  <si>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</si>
  <si>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</si>
  <si>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</si>
  <si>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</si>
  <si>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</si>
  <si>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</si>
  <si>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</si>
  <si>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</si>
  <si>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</si>
  <si>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</si>
  <si>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</si>
  <si>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</si>
  <si>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</si>
  <si>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</si>
  <si>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</si>
  <si>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</si>
  <si>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</si>
  <si>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</si>
  <si>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</si>
  <si>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</si>
  <si>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</si>
  <si>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</si>
  <si>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</si>
  <si>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</si>
  <si>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</si>
  <si>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</si>
  <si>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</si>
  <si>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</si>
  <si>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</si>
  <si>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</si>
  <si>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</si>
  <si>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</si>
  <si>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</si>
  <si>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</si>
  <si>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</si>
  <si>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</si>
  <si>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</si>
  <si>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</si>
  <si>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</si>
  <si>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</si>
  <si>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</si>
  <si>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</si>
  <si>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</si>
  <si>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</si>
  <si>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</si>
  <si>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</si>
  <si>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</si>
  <si>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</si>
  <si>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</si>
  <si>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</si>
  <si>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</si>
  <si>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</si>
  <si>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</si>
  <si>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</si>
  <si>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</si>
  <si>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</si>
  <si>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</si>
  <si>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</si>
  <si>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</si>
  <si>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</si>
  <si>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</si>
  <si>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</si>
  <si>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</si>
  <si>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</si>
  <si>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</si>
  <si>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</si>
  <si>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</si>
  <si>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</si>
  <si>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</si>
  <si>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</si>
  <si>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</si>
  <si>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</si>
  <si>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</si>
  <si>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</si>
  <si>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</si>
  <si>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</si>
  <si>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</si>
  <si>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</si>
  <si>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</si>
  <si>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</si>
  <si>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</si>
  <si>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</si>
  <si>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</si>
  <si>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</si>
  <si>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</si>
  <si>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</si>
  <si>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</si>
  <si>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</si>
  <si>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</si>
  <si>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</si>
  <si>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</si>
  <si>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</si>
  <si>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</si>
  <si>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</si>
  <si>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</si>
  <si>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</si>
  <si>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</si>
  <si>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</si>
  <si>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</si>
  <si>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</si>
  <si>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</si>
  <si>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</si>
  <si>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</si>
  <si>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</si>
  <si>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</si>
  <si>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</si>
  <si>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</si>
  <si>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</si>
  <si>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</si>
  <si>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</si>
  <si>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</si>
  <si>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</si>
  <si>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</si>
  <si>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</si>
  <si>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</si>
  <si>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</si>
  <si>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</si>
  <si>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</si>
  <si>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</si>
  <si>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</si>
  <si>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</si>
  <si>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</si>
  <si>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</si>
  <si>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</si>
  <si>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</si>
  <si>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</si>
  <si>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</si>
  <si>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</si>
  <si>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</si>
  <si>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</si>
  <si>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</si>
  <si>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</si>
  <si>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</si>
  <si>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</si>
  <si>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</si>
  <si>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</si>
  <si>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</si>
  <si>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</si>
  <si>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</si>
  <si>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</si>
  <si>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</si>
  <si>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</si>
  <si>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</si>
  <si>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</si>
  <si>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</si>
  <si>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</si>
  <si>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</si>
  <si>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</si>
  <si>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</si>
  <si>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</si>
  <si>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</si>
  <si>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</si>
  <si>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</si>
  <si>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</si>
  <si>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</si>
  <si>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</si>
  <si>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</si>
  <si>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</si>
  <si>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</si>
  <si>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</si>
  <si>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</si>
  <si>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</si>
  <si>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</si>
  <si>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</si>
  <si>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</si>
  <si>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</si>
  <si>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</si>
  <si>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</si>
  <si>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</si>
  <si>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</si>
  <si>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</si>
  <si>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</si>
  <si>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</si>
  <si>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</si>
  <si>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</si>
  <si>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</si>
  <si>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</si>
  <si>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</si>
  <si>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</si>
  <si>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</si>
  <si>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</si>
  <si>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</si>
  <si>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</si>
  <si>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</si>
  <si>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</si>
  <si>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</si>
  <si>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</si>
  <si>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</si>
  <si>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</si>
  <si>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</si>
  <si>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</si>
  <si>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</si>
  <si>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</si>
  <si>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</si>
  <si>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</si>
  <si>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</si>
  <si>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</si>
  <si>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</si>
  <si>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</si>
  <si>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</si>
  <si>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</si>
  <si>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</si>
  <si>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</si>
  <si>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</si>
  <si>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</si>
  <si>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</si>
  <si>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</si>
  <si>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</si>
  <si>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</si>
  <si>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</si>
  <si>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</si>
  <si>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</si>
  <si>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</si>
  <si>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</si>
  <si>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</si>
  <si>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</si>
  <si>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</si>
  <si>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</si>
  <si>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</si>
  <si>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</si>
  <si>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</si>
  <si>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</si>
  <si>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</si>
  <si>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</si>
  <si>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</si>
  <si>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</si>
  <si>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</si>
  <si>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</si>
  <si>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</si>
  <si>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</si>
  <si>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</si>
  <si>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</si>
  <si>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</si>
  <si>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</si>
  <si>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</si>
  <si>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</si>
  <si>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</si>
  <si>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</si>
  <si>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</si>
  <si>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</si>
  <si>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</si>
  <si>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</si>
  <si>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</si>
  <si>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</si>
  <si>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</si>
  <si>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</si>
  <si>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</si>
  <si>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</si>
  <si>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</si>
  <si>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</si>
  <si>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</si>
  <si>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</si>
  <si>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</si>
  <si>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</si>
  <si>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</si>
  <si>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</si>
  <si>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</si>
  <si>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</si>
  <si>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</si>
  <si>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</si>
  <si>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</si>
  <si>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</si>
  <si>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</si>
  <si>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</si>
  <si>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</si>
  <si>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</si>
  <si>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</si>
  <si>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</si>
  <si>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</si>
  <si>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</si>
  <si>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</si>
  <si>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</si>
  <si>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</si>
  <si>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</si>
  <si>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</si>
  <si>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</si>
  <si>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</si>
  <si>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</si>
  <si>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</si>
  <si>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</si>
  <si>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</si>
  <si>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</si>
  <si>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</si>
  <si>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</si>
  <si>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</si>
  <si>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</si>
  <si>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</si>
  <si>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</si>
  <si>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</si>
  <si>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</si>
  <si>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</si>
  <si>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</si>
  <si>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</si>
  <si>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</si>
  <si>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</si>
  <si>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</si>
  <si>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</si>
  <si>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</si>
  <si>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</si>
  <si>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</si>
  <si>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</si>
  <si>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</si>
  <si>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</si>
  <si>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</si>
  <si>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</si>
  <si>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</si>
  <si>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</si>
  <si>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</si>
  <si>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</si>
  <si>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</si>
  <si>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</si>
  <si>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</si>
  <si>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</si>
  <si>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</si>
  <si>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</si>
  <si>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</si>
  <si>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</si>
  <si>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</si>
  <si>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</si>
  <si>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</si>
  <si>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</si>
  <si>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</si>
  <si>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</si>
  <si>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</si>
  <si>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</si>
  <si>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</si>
  <si>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</si>
  <si>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</si>
  <si>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</si>
  <si>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</si>
  <si>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</si>
  <si>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</si>
  <si>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</si>
  <si>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</si>
  <si>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</si>
  <si>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</si>
  <si>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</si>
  <si>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</si>
  <si>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</si>
  <si>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</si>
  <si>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</si>
  <si>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</si>
  <si>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</si>
  <si>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</si>
  <si>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</si>
  <si>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</si>
  <si>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</si>
  <si>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</si>
  <si>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</si>
  <si>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</si>
  <si>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</si>
  <si>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</si>
  <si>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</si>
  <si>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</si>
  <si>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</si>
  <si>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</si>
  <si>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</si>
  <si>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</si>
  <si>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</si>
  <si>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</si>
  <si>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</si>
  <si>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</si>
  <si>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</si>
  <si>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</si>
  <si>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</si>
  <si>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</si>
  <si>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</si>
  <si>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</si>
  <si>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</si>
  <si>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</si>
  <si>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</si>
  <si>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</si>
  <si>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</si>
  <si>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</si>
  <si>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</si>
  <si>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</si>
  <si>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</si>
  <si>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</si>
  <si>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</si>
  <si>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</si>
  <si>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</si>
  <si>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</si>
  <si>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</si>
  <si>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</si>
  <si>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</si>
  <si>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</si>
  <si>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</si>
  <si>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</si>
  <si>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</si>
  <si>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</si>
  <si>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</si>
  <si>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</si>
  <si>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</si>
  <si>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</si>
  <si>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</si>
  <si>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</si>
  <si>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</si>
  <si>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</si>
  <si>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</si>
  <si>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</si>
  <si>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</si>
  <si>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</si>
  <si>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</si>
  <si>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</si>
  <si>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</si>
  <si>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</si>
  <si>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</si>
  <si>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</si>
  <si>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</si>
  <si>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</si>
  <si>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</si>
  <si>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</si>
  <si>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</si>
  <si>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</si>
  <si>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</si>
  <si>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</si>
  <si>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</si>
  <si>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</si>
  <si>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</si>
  <si>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</si>
  <si>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</si>
  <si>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</si>
  <si>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</si>
  <si>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</si>
  <si>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</si>
  <si>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</si>
  <si>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</si>
  <si>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</si>
  <si>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</si>
  <si>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</si>
  <si>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</si>
  <si>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</si>
  <si>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</si>
  <si>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</si>
  <si>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</si>
  <si>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</si>
  <si>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</si>
  <si>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</si>
  <si>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</si>
  <si>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</si>
  <si>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</si>
  <si>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</si>
  <si>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</si>
  <si>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</si>
  <si>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</si>
  <si>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</si>
  <si>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</si>
  <si>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</si>
  <si>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</si>
  <si>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</si>
  <si>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</si>
  <si>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</si>
  <si>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</si>
  <si>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</si>
  <si>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</si>
  <si>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</si>
  <si>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</si>
  <si>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</si>
  <si>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</si>
  <si>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</si>
  <si>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</si>
  <si>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</si>
  <si>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</si>
  <si>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</si>
  <si>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</si>
  <si>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</si>
  <si>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</si>
  <si>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</si>
  <si>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</si>
  <si>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</si>
  <si>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</si>
  <si>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</si>
  <si>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</si>
  <si>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</si>
  <si>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</si>
  <si>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</si>
  <si>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</si>
  <si>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</si>
  <si>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</si>
  <si>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</si>
  <si>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</si>
  <si>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</si>
  <si>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</si>
  <si>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</si>
  <si>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</si>
  <si>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</si>
  <si>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</si>
  <si>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</si>
  <si>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</si>
  <si>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</si>
  <si>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</si>
  <si>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</si>
  <si>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</si>
  <si>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</si>
  <si>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</si>
  <si>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</si>
  <si>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</si>
  <si>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</si>
  <si>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</si>
  <si>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</si>
  <si>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</si>
  <si>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</si>
  <si>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</si>
  <si>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</si>
  <si>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</si>
  <si>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</si>
  <si>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</si>
  <si>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</si>
  <si>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</si>
  <si>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</si>
  <si>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</si>
  <si>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</si>
  <si>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</si>
  <si>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</si>
  <si>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</si>
  <si>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</si>
  <si>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</si>
  <si>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</si>
  <si>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</si>
  <si>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</si>
  <si>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</si>
  <si>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</si>
  <si>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</si>
  <si>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</si>
  <si>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</si>
  <si>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</si>
  <si>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</si>
  <si>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</si>
  <si>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</si>
  <si>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</si>
  <si>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</si>
  <si>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</si>
  <si>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</si>
  <si>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</si>
  <si>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</si>
  <si>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</si>
  <si>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</si>
  <si>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</si>
  <si>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</si>
  <si>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</si>
  <si>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</si>
  <si>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</si>
  <si>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</si>
  <si>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</si>
  <si>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</si>
  <si>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</si>
  <si>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</si>
  <si>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</si>
  <si>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</si>
  <si>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</si>
  <si>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</si>
  <si>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</si>
  <si>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</si>
  <si>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</si>
  <si>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</si>
  <si>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</si>
  <si>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</si>
  <si>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</si>
  <si>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</si>
  <si>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</si>
  <si>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</si>
  <si>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</si>
  <si>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</si>
  <si>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</si>
  <si>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</si>
  <si>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</si>
  <si>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</si>
  <si>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</si>
  <si>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</si>
  <si>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</si>
  <si>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</si>
  <si>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</si>
  <si>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</si>
  <si>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</si>
  <si>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</si>
  <si>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</si>
  <si>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</si>
  <si>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</si>
  <si>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</si>
  <si>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</si>
  <si>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</si>
  <si>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</si>
  <si>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</si>
  <si>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</si>
  <si>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</si>
  <si>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</si>
  <si>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</si>
  <si>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</si>
  <si>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</si>
  <si>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</si>
  <si>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</si>
  <si>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</si>
  <si>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</si>
  <si>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</si>
  <si>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</si>
  <si>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</si>
  <si>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</si>
  <si>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</si>
  <si>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</si>
  <si>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</si>
  <si>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</si>
  <si>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</si>
  <si>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</si>
  <si>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</si>
  <si>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</si>
  <si>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</si>
  <si>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</si>
  <si>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</si>
  <si>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</si>
  <si>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</si>
  <si>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</si>
  <si>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</si>
  <si>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</si>
  <si>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</si>
  <si>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</si>
  <si>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</si>
  <si>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</si>
  <si>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</si>
  <si>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</si>
  <si>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</si>
  <si>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</si>
  <si>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</si>
  <si>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</si>
  <si>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</si>
  <si>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</si>
  <si>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</si>
  <si>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</si>
  <si>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</si>
  <si>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</si>
  <si>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</si>
  <si>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</si>
  <si>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</si>
  <si>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</si>
  <si>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</si>
  <si>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</si>
  <si>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</si>
  <si>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</si>
  <si>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</si>
  <si>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</si>
  <si>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</si>
  <si>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</si>
  <si>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</si>
  <si>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</si>
  <si>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</si>
  <si>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</si>
  <si>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</si>
  <si>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</si>
  <si>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</si>
  <si>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</si>
  <si>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</si>
  <si>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</si>
  <si>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</si>
  <si>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</si>
  <si>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</si>
  <si>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</si>
  <si>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</si>
  <si>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</si>
  <si>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</si>
  <si>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</si>
  <si>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</si>
  <si>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</si>
  <si>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</si>
  <si>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</si>
  <si>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</si>
  <si>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</si>
  <si>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</si>
  <si>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</si>
  <si>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</si>
  <si>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</si>
  <si>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</si>
  <si>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</si>
  <si>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</si>
  <si>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</si>
  <si>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</si>
  <si>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</si>
  <si>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</si>
  <si>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</si>
  <si>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</si>
  <si>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</si>
  <si>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</si>
  <si>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</si>
  <si>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</si>
  <si>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</si>
  <si>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</si>
  <si>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</si>
  <si>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</si>
  <si>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</si>
  <si>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</si>
  <si>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</si>
  <si>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</si>
  <si>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</si>
  <si>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</si>
  <si>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</si>
  <si>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</si>
  <si>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</si>
  <si>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</si>
  <si>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</si>
  <si>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</si>
  <si>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</si>
  <si>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</si>
  <si>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</si>
  <si>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</si>
  <si>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</si>
  <si>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</si>
  <si>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</si>
  <si>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</si>
  <si>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</si>
  <si>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</si>
  <si>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</si>
  <si>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</si>
  <si>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</si>
  <si>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</si>
  <si>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</si>
  <si>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</si>
  <si>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</si>
  <si>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</si>
  <si>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</si>
  <si>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</si>
  <si>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</si>
  <si>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</si>
  <si>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</si>
  <si>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</si>
  <si>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</si>
  <si>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</si>
  <si>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</si>
  <si>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</si>
  <si>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</si>
  <si>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</si>
  <si>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</si>
  <si>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</si>
  <si>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</si>
  <si>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</si>
  <si>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</si>
  <si>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</si>
  <si>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</si>
  <si>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</si>
  <si>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</si>
  <si>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</si>
  <si>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</si>
  <si>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</si>
  <si>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</si>
  <si>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</si>
  <si>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</si>
  <si>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</si>
  <si>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</si>
  <si>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</si>
  <si>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</si>
  <si>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</si>
  <si>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</si>
  <si>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</si>
  <si>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</si>
  <si>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</si>
  <si>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</si>
  <si>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</si>
  <si>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</si>
  <si>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</si>
  <si>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</si>
  <si>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</si>
  <si>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</si>
  <si>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</si>
  <si>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</si>
  <si>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</si>
  <si>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</si>
  <si>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</si>
  <si>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</si>
  <si>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</si>
  <si>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</si>
  <si>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</si>
  <si>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</si>
  <si>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</si>
  <si>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</si>
  <si>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</si>
  <si>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</si>
  <si>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</si>
  <si>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</si>
  <si>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</si>
  <si>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</si>
  <si>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</si>
  <si>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</si>
  <si>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</si>
  <si>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</si>
  <si>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</si>
  <si>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</si>
  <si>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</si>
  <si>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</si>
  <si>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</si>
  <si>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</si>
  <si>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</si>
  <si>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</si>
  <si>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</si>
  <si>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</si>
  <si>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</si>
  <si>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</si>
  <si>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</si>
  <si>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</si>
  <si>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</si>
  <si>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</si>
  <si>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</si>
  <si>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</si>
  <si>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</si>
  <si>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</si>
  <si>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</si>
  <si>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</si>
  <si>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</si>
  <si>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</si>
  <si>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</si>
  <si>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</si>
  <si>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</si>
  <si>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</si>
  <si>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</si>
  <si>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</si>
  <si>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</si>
  <si>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</si>
  <si>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</si>
  <si>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</si>
  <si>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</si>
  <si>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</si>
  <si>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</si>
  <si>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</si>
  <si>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</si>
  <si>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</si>
  <si>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</si>
  <si>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</si>
  <si>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</si>
  <si>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</si>
  <si>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</si>
  <si>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</si>
  <si>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</si>
  <si>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</si>
  <si>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</si>
  <si>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</si>
  <si>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</si>
  <si>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</si>
  <si>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</si>
  <si>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</si>
  <si>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</si>
  <si>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</si>
  <si>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</si>
  <si>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</si>
  <si>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</si>
  <si>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</si>
  <si>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</si>
  <si>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</si>
  <si>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</si>
  <si>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</si>
  <si>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</si>
  <si>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</si>
  <si>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</si>
  <si>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</si>
  <si>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</si>
  <si>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</si>
  <si>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</si>
  <si>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</si>
  <si>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</si>
  <si>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</si>
  <si>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</si>
  <si>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</si>
  <si>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</si>
  <si>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</si>
  <si>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</si>
  <si>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</si>
  <si>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</si>
  <si>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</si>
  <si>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</si>
  <si>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</si>
  <si>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</si>
  <si>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</si>
  <si>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</si>
  <si>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</si>
  <si>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</si>
  <si>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</si>
  <si>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</si>
  <si>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</si>
  <si>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</si>
  <si>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</si>
  <si>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</si>
  <si>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</si>
  <si>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</si>
  <si>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</si>
  <si>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</si>
  <si>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</si>
  <si>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</si>
  <si>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</si>
  <si>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</si>
  <si>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</si>
  <si>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</si>
  <si>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</si>
  <si>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</si>
  <si>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</si>
  <si>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</si>
  <si>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</si>
  <si>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</si>
  <si>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</si>
  <si>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</si>
  <si>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</si>
  <si>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</si>
  <si>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</si>
  <si>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</si>
  <si>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</si>
  <si>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</si>
  <si>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</si>
  <si>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</si>
  <si>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</si>
  <si>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</si>
  <si>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</si>
  <si>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</si>
  <si>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</si>
  <si>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</si>
  <si>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</si>
  <si>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</si>
  <si>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</si>
  <si>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</si>
  <si>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</si>
  <si>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</si>
  <si>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</si>
  <si>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</si>
  <si>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</si>
  <si>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</si>
  <si>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</si>
  <si>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</si>
  <si>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</si>
  <si>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</si>
  <si>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</si>
  <si>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</si>
  <si>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</si>
  <si>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</si>
  <si>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</si>
  <si>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</si>
  <si>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</si>
  <si>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</si>
  <si>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</si>
  <si>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</si>
  <si>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</si>
  <si>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</si>
  <si>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</si>
  <si>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</si>
  <si>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</si>
  <si>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</si>
  <si>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</si>
  <si>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</si>
  <si>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</si>
  <si>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</si>
  <si>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</si>
  <si>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</si>
  <si>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</si>
  <si>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</si>
  <si>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</si>
  <si>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</si>
  <si>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</si>
  <si>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</si>
  <si>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</si>
  <si>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</si>
  <si>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</si>
  <si>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</si>
  <si>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</si>
  <si>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</si>
  <si>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</si>
  <si>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</si>
  <si>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</si>
  <si>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</si>
  <si>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</si>
  <si>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</si>
  <si>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</si>
  <si>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</si>
  <si>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</si>
  <si>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</si>
  <si>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</si>
  <si>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</si>
  <si>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</si>
  <si>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</si>
  <si>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</si>
  <si>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</si>
  <si>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</si>
  <si>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</si>
  <si>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</si>
  <si>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</si>
  <si>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</si>
  <si>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</si>
  <si>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</si>
  <si>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</si>
  <si>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</si>
  <si>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</si>
  <si>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</si>
  <si>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</si>
  <si>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</si>
  <si>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</si>
  <si>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</si>
  <si>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</si>
  <si>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</si>
  <si>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</si>
  <si>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</si>
  <si>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</si>
  <si>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</si>
  <si>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</si>
  <si>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</si>
  <si>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</si>
  <si>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</si>
  <si>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</si>
  <si>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</si>
  <si>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</si>
  <si>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</si>
  <si>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</si>
  <si>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</si>
  <si>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</si>
  <si>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</si>
  <si>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</si>
  <si>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</si>
  <si>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</si>
  <si>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</si>
  <si>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</si>
  <si>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</si>
  <si>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</si>
  <si>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</si>
  <si>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</si>
  <si>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</si>
  <si>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</si>
  <si>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</si>
  <si>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</si>
  <si>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</si>
  <si>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</si>
  <si>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</si>
  <si>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</si>
  <si>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</si>
  <si>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</si>
  <si>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</si>
  <si>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</si>
  <si>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</si>
  <si>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</si>
  <si>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</si>
  <si>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</si>
  <si>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</si>
  <si>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</si>
  <si>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</si>
  <si>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</si>
  <si>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</si>
  <si>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</si>
  <si>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</si>
  <si>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</si>
  <si>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</si>
  <si>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</si>
  <si>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</si>
  <si>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</si>
  <si>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</si>
  <si>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</si>
  <si>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</si>
  <si>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</si>
  <si>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</si>
  <si>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</si>
  <si>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</si>
  <si>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</si>
  <si>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</si>
  <si>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</si>
  <si>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</si>
  <si>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</si>
  <si>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</si>
  <si>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</si>
  <si>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</si>
  <si>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</si>
  <si>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</si>
  <si>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</si>
  <si>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</si>
  <si>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</si>
  <si>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</si>
  <si>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</si>
  <si>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</si>
  <si>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</si>
  <si>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</si>
  <si>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</si>
  <si>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</si>
  <si>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</si>
  <si>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</si>
  <si>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</si>
  <si>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</si>
  <si>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</si>
  <si>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</si>
  <si>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</si>
  <si>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</si>
  <si>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</si>
  <si>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</si>
  <si>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</si>
  <si>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</si>
  <si>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</si>
  <si>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</si>
  <si>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</si>
  <si>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</si>
  <si>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</si>
  <si>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</si>
  <si>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</si>
  <si>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</si>
  <si>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</si>
  <si>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</si>
  <si>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</si>
  <si>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</si>
  <si>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</si>
  <si>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</si>
  <si>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</si>
  <si>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</si>
  <si>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</si>
  <si>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</si>
  <si>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</si>
  <si>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</si>
  <si>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</si>
  <si>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</si>
  <si>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</si>
  <si>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</si>
  <si>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</si>
  <si>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</si>
  <si>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</si>
  <si>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</si>
  <si>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</si>
  <si>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</si>
  <si>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</si>
  <si>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</si>
  <si>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</si>
  <si>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</si>
  <si>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</si>
  <si>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</si>
  <si>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</si>
  <si>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</si>
  <si>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</si>
  <si>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</si>
  <si>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</si>
  <si>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</si>
  <si>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</si>
  <si>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</si>
  <si>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</si>
  <si>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</si>
  <si>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</si>
  <si>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</si>
  <si>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</si>
  <si>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</si>
  <si>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</si>
  <si>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</si>
  <si>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</si>
  <si>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</si>
  <si>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</si>
  <si>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</si>
  <si>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</si>
  <si>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</si>
  <si>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</si>
  <si>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</si>
  <si>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</si>
  <si>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</si>
  <si>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</si>
  <si>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</si>
  <si>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</si>
  <si>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</si>
  <si>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</si>
  <si>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</si>
  <si>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</si>
  <si>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</si>
  <si>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</si>
  <si>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</si>
  <si>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</si>
  <si>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</si>
  <si>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</si>
  <si>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</si>
  <si>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</si>
  <si>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</si>
  <si>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</si>
  <si>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</si>
  <si>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</si>
  <si>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</si>
  <si>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</si>
  <si>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</si>
  <si>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</si>
  <si>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</si>
  <si>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</si>
  <si>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</si>
  <si>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</si>
  <si>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</si>
  <si>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</si>
  <si>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</si>
  <si>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</si>
  <si>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</si>
  <si>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</si>
  <si>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</si>
  <si>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</si>
  <si>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</si>
  <si>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</si>
  <si>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</si>
  <si>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</si>
  <si>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</si>
  <si>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</si>
  <si>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</si>
  <si>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</si>
  <si>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</si>
  <si>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</si>
  <si>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</si>
  <si>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</si>
  <si>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</si>
  <si>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</si>
  <si>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</si>
  <si>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</si>
  <si>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</si>
  <si>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</si>
  <si>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</si>
  <si>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</si>
  <si>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</si>
  <si>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</si>
  <si>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</si>
  <si>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</si>
  <si>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</si>
  <si>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</si>
  <si>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</si>
  <si>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</si>
  <si>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</si>
  <si>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</si>
  <si>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</si>
  <si>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</si>
  <si>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</si>
  <si>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</si>
  <si>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</si>
  <si>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</si>
  <si>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</si>
  <si>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</si>
  <si>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</si>
  <si>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</si>
  <si>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</si>
  <si>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</si>
  <si>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</si>
  <si>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</si>
  <si>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</si>
  <si>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</si>
  <si>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</si>
  <si>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</si>
  <si>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</si>
  <si>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</si>
  <si>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</si>
  <si>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</si>
  <si>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</si>
  <si>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</si>
  <si>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</si>
  <si>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</si>
  <si>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</si>
  <si>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</si>
  <si>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</si>
  <si>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</si>
  <si>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</si>
  <si>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</si>
  <si>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</si>
  <si>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</si>
  <si>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</si>
  <si>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</si>
  <si>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</si>
  <si>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</si>
  <si>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</si>
  <si>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</si>
  <si>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</si>
  <si>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</si>
  <si>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</si>
  <si>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</si>
  <si>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</si>
  <si>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</si>
  <si>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</si>
  <si>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</si>
  <si>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</si>
  <si>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</si>
  <si>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</si>
  <si>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</si>
  <si>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</si>
  <si>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</si>
  <si>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</si>
  <si>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</si>
  <si>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</si>
  <si>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</si>
  <si>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</si>
  <si>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</si>
  <si>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</si>
  <si>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</si>
  <si>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</si>
  <si>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</si>
  <si>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</si>
  <si>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</si>
  <si>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</si>
  <si>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</si>
  <si>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</si>
  <si>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</si>
  <si>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</si>
  <si>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</si>
  <si>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</si>
  <si>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</si>
  <si>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</si>
  <si>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</si>
  <si>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</si>
  <si>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</si>
  <si>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</si>
  <si>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</si>
  <si>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</si>
  <si>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</si>
  <si>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</si>
  <si>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</si>
  <si>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</si>
  <si>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</si>
  <si>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</si>
  <si>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</si>
  <si>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</si>
  <si>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</si>
  <si>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</si>
  <si>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</si>
  <si>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</si>
  <si>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</si>
  <si>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</si>
  <si>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</si>
  <si>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</si>
  <si>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</si>
  <si>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</si>
  <si>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</si>
  <si>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</si>
  <si>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</si>
  <si>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</si>
  <si>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</si>
  <si>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</si>
  <si>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</si>
  <si>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</si>
  <si>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</si>
  <si>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</si>
  <si>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</si>
  <si>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</si>
  <si>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</si>
  <si>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</si>
  <si>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</si>
  <si>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</si>
  <si>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</si>
  <si>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</si>
  <si>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</si>
  <si>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</si>
  <si>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</si>
  <si>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</si>
  <si>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</si>
  <si>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</si>
  <si>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</si>
  <si>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</si>
  <si>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</si>
  <si>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</si>
  <si>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</si>
  <si>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</si>
  <si>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</si>
  <si>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</si>
  <si>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</si>
  <si>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</si>
  <si>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</si>
  <si>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</si>
  <si>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</si>
  <si>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</si>
  <si>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</si>
  <si>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</si>
  <si>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</si>
  <si>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</si>
  <si>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</si>
  <si>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</si>
  <si>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</si>
  <si>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</si>
  <si>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</si>
  <si>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</si>
  <si>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</si>
  <si>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</si>
  <si>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</si>
  <si>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</si>
  <si>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</si>
  <si>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</si>
  <si>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</si>
  <si>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</si>
  <si>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</si>
  <si>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</si>
  <si>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</si>
  <si>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</si>
  <si>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</si>
  <si>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</si>
  <si>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</si>
  <si>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</si>
  <si>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</si>
  <si>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</si>
  <si>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</si>
  <si>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</si>
  <si>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</si>
  <si>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</si>
  <si>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</si>
  <si>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</si>
  <si>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</si>
  <si>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</si>
  <si>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</si>
  <si>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</si>
  <si>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</si>
  <si>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</si>
  <si>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</si>
  <si>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</si>
  <si>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</si>
  <si>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</si>
  <si>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</si>
  <si>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</si>
  <si>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</si>
  <si>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</si>
  <si>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</si>
  <si>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</si>
  <si>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</si>
  <si>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</si>
  <si>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</si>
  <si>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</si>
  <si>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</si>
  <si>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</si>
  <si>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</si>
  <si>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</si>
  <si>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</si>
  <si>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</si>
  <si>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</si>
  <si>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</si>
  <si>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</si>
  <si>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</si>
  <si>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</si>
  <si>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</si>
  <si>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</si>
  <si>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</si>
  <si>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</si>
  <si>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</si>
  <si>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</si>
  <si>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</si>
  <si>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</si>
  <si>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</si>
  <si>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</si>
  <si>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</si>
  <si>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</si>
  <si>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</si>
  <si>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</si>
  <si>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</si>
  <si>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</si>
  <si>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</si>
  <si>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</si>
  <si>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</si>
  <si>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</si>
  <si>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</si>
  <si>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</si>
  <si>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</si>
  <si>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</si>
  <si>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</si>
  <si>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</si>
  <si>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</si>
  <si>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</si>
  <si>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</si>
  <si>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</si>
  <si>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</si>
  <si>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</si>
  <si>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</si>
  <si>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</si>
  <si>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</si>
  <si>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</si>
  <si>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</si>
  <si>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</si>
  <si>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</si>
  <si>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</si>
  <si>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</si>
  <si>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</si>
  <si>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</si>
  <si>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</si>
  <si>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</si>
  <si>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</si>
  <si>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</si>
  <si>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</si>
  <si>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</si>
  <si>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</si>
  <si>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</si>
  <si>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</si>
  <si>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</si>
  <si>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</si>
  <si>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</si>
  <si>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</si>
  <si>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</si>
  <si>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</si>
  <si>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</si>
  <si>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</si>
  <si>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</si>
  <si>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</si>
  <si>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</si>
  <si>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</si>
  <si>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</si>
  <si>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</si>
  <si>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</si>
  <si>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</si>
  <si>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</si>
  <si>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</si>
  <si>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</si>
  <si>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</si>
  <si>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</si>
  <si>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</si>
  <si>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</si>
  <si>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</si>
  <si>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</si>
  <si>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</si>
  <si>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</si>
  <si>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</si>
  <si>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</si>
  <si>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</si>
  <si>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</si>
  <si>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</si>
  <si>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</si>
  <si>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</si>
  <si>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</si>
  <si>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</si>
  <si>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</si>
  <si>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</si>
  <si>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</si>
  <si>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</si>
  <si>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</si>
  <si>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</si>
  <si>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</si>
  <si>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</si>
  <si>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</si>
  <si>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</si>
  <si>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</si>
  <si>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</si>
  <si>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</si>
  <si>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</si>
  <si>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</si>
  <si>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</si>
  <si>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</si>
  <si>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</si>
  <si>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</si>
  <si>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</si>
  <si>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</si>
  <si>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</si>
  <si>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</si>
  <si>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</si>
  <si>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</si>
  <si>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</si>
  <si>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</si>
  <si>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</si>
  <si>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</si>
  <si>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</si>
  <si>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</si>
  <si>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</si>
  <si>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</si>
  <si>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</si>
  <si>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</si>
  <si>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</si>
  <si>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</si>
  <si>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</si>
  <si>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</si>
  <si>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</si>
  <si>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</si>
  <si>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</si>
  <si>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</si>
  <si>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</si>
  <si>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</si>
  <si>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</si>
  <si>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</si>
  <si>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</si>
  <si>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</si>
  <si>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</si>
  <si>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</si>
  <si>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</si>
  <si>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</si>
  <si>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</si>
  <si>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</si>
  <si>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</si>
  <si>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</si>
  <si>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</si>
  <si>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</si>
  <si>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</si>
  <si>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</si>
  <si>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</si>
  <si>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</si>
  <si>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</si>
  <si>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</si>
  <si>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</si>
  <si>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</si>
  <si>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</si>
  <si>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</si>
  <si>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</si>
  <si>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</si>
  <si>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</si>
  <si>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</si>
  <si>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</si>
  <si>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</si>
  <si>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</si>
  <si>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</si>
  <si>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</si>
  <si>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</si>
  <si>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</si>
  <si>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</si>
  <si>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</si>
  <si>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</si>
  <si>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</si>
  <si>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</si>
  <si>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</si>
  <si>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</si>
  <si>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</si>
  <si>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</si>
  <si>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</si>
  <si>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</si>
  <si>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</si>
  <si>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</si>
  <si>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</si>
  <si>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</si>
  <si>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</si>
  <si>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</si>
  <si>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</si>
  <si>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</si>
  <si>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</si>
  <si>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</si>
  <si>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</si>
  <si>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</si>
  <si>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</si>
  <si>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</si>
  <si>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</si>
  <si>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</si>
  <si>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</si>
  <si>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</si>
  <si>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</si>
  <si>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</si>
  <si>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</si>
  <si>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</si>
  <si>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</si>
  <si>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</si>
  <si>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</si>
  <si>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</si>
  <si>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</si>
  <si>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</si>
  <si>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</si>
  <si>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</si>
  <si>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</si>
  <si>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</si>
  <si>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</si>
  <si>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</si>
  <si>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</si>
  <si>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</si>
  <si>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</si>
  <si>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</si>
  <si>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</si>
  <si>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</si>
  <si>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</si>
  <si>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</si>
  <si>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</si>
  <si>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</si>
  <si>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</si>
  <si>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</si>
  <si>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</si>
  <si>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</si>
  <si>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</si>
  <si>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</si>
  <si>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</si>
  <si>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</si>
  <si>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</si>
  <si>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</si>
  <si>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</si>
  <si>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</si>
  <si>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</si>
  <si>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</si>
  <si>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</si>
  <si>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</si>
  <si>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</si>
  <si>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</si>
  <si>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</si>
  <si>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</si>
  <si>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</si>
  <si>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</si>
  <si>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</si>
  <si>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</si>
  <si>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</si>
  <si>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</si>
  <si>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</si>
  <si>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</si>
  <si>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</si>
  <si>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</si>
  <si>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</si>
  <si>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</si>
  <si>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</si>
  <si>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</si>
  <si>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</si>
  <si>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</si>
  <si>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</si>
  <si>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</si>
  <si>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</si>
  <si>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</si>
  <si>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</si>
  <si>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</si>
  <si>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</si>
  <si>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</si>
  <si>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</si>
  <si>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</si>
  <si>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</si>
  <si>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</si>
  <si>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</si>
  <si>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</si>
  <si>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</si>
  <si>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</si>
  <si>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</si>
  <si>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</si>
  <si>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</si>
  <si>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</si>
  <si>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</si>
  <si>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</si>
  <si>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</si>
  <si>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</si>
  <si>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</si>
  <si>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</si>
  <si>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</si>
  <si>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</si>
  <si>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</si>
  <si>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</si>
  <si>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</si>
  <si>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</si>
  <si>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</si>
  <si>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</si>
  <si>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</si>
  <si>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</si>
  <si>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</si>
  <si>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</si>
  <si>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</si>
  <si>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</si>
  <si>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</si>
  <si>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</si>
  <si>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</si>
  <si>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</si>
  <si>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</si>
  <si>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</si>
  <si>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</si>
  <si>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</si>
  <si>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</si>
  <si>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</si>
  <si>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</si>
  <si>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</si>
  <si>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</si>
  <si>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</si>
  <si>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</si>
  <si>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</si>
  <si>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</si>
  <si>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</si>
  <si>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</si>
  <si>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</si>
  <si>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</si>
  <si>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</si>
  <si>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</si>
  <si>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</si>
  <si>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</si>
  <si>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</si>
  <si>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</si>
  <si>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</si>
  <si>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</si>
  <si>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</si>
  <si>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</si>
  <si>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</si>
  <si>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</si>
  <si>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</si>
  <si>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</si>
  <si>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</si>
  <si>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</si>
  <si>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</si>
  <si>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</si>
  <si>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</si>
  <si>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</si>
  <si>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</si>
  <si>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</si>
  <si>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</si>
  <si>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</si>
  <si>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</si>
  <si>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</si>
  <si>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</si>
  <si>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</si>
  <si>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</si>
  <si>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</si>
  <si>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</si>
  <si>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</si>
  <si>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</si>
  <si>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</si>
  <si>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</si>
  <si>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</si>
  <si>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</si>
  <si>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</si>
  <si>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</si>
  <si>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</si>
  <si>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</si>
  <si>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</si>
  <si>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</si>
  <si>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</si>
  <si>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</si>
  <si>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</si>
  <si>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</si>
  <si>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</si>
  <si>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</si>
  <si>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</si>
  <si>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</si>
  <si>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</si>
  <si>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</si>
  <si>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</si>
  <si>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</si>
  <si>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</si>
  <si>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</si>
  <si>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</si>
  <si>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</si>
  <si>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</si>
  <si>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</si>
  <si>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</si>
  <si>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</si>
  <si>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</si>
  <si>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</si>
  <si>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</si>
  <si>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</si>
  <si>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</si>
  <si>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</si>
  <si>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</si>
  <si>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</si>
  <si>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</si>
  <si>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</si>
  <si>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</si>
  <si>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</si>
  <si>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</si>
  <si>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</si>
  <si>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</si>
  <si>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</si>
  <si>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</si>
  <si>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</si>
  <si>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</si>
  <si>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</si>
  <si>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</si>
  <si>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</si>
  <si>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</si>
  <si>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</si>
  <si>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</si>
  <si>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</si>
  <si>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</si>
  <si>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</si>
  <si>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</si>
  <si>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</si>
  <si>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</si>
  <si>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</si>
  <si>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</si>
  <si>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</si>
  <si>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</si>
  <si>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</si>
  <si>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</si>
  <si>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</si>
  <si>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</si>
  <si>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</si>
  <si>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</si>
  <si>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</si>
  <si>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</si>
  <si>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</si>
  <si>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</si>
  <si>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</si>
  <si>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</si>
  <si>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</si>
  <si>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</si>
  <si>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</si>
  <si>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</si>
  <si>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</si>
  <si>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</si>
  <si>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</si>
  <si>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</si>
  <si>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</si>
  <si>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</si>
  <si>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</si>
  <si>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</si>
  <si>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</si>
  <si>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</si>
  <si>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</si>
  <si>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</si>
  <si>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</si>
  <si>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</si>
  <si>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</si>
  <si>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</si>
  <si>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</si>
  <si>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</si>
  <si>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</si>
  <si>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</si>
  <si>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</si>
  <si>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</si>
  <si>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</si>
  <si>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</si>
  <si>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</si>
  <si>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</si>
  <si>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</si>
  <si>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</si>
  <si>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</si>
  <si>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</si>
  <si>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</si>
  <si>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</si>
  <si>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</si>
  <si>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</si>
  <si>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</si>
  <si>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</si>
  <si>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</si>
  <si>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</si>
  <si>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</si>
  <si>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</si>
  <si>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</si>
  <si>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</si>
  <si>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</si>
  <si>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</si>
  <si>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</si>
  <si>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</si>
  <si>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</si>
  <si>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</si>
  <si>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</si>
  <si>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</si>
  <si>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</si>
  <si>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</si>
  <si>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</si>
  <si>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</si>
  <si>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</si>
  <si>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</si>
  <si>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</si>
  <si>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</si>
  <si>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</si>
  <si>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</si>
  <si>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</si>
  <si>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</si>
  <si>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</si>
  <si>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</si>
  <si>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</si>
  <si>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</si>
  <si>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</si>
  <si>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</si>
  <si>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</si>
  <si>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</si>
  <si>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</si>
  <si>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</si>
  <si>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</si>
  <si>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</si>
  <si>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</si>
  <si>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</si>
  <si>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</si>
  <si>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</si>
  <si>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</si>
  <si>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</si>
  <si>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</si>
  <si>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</si>
  <si>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</si>
  <si>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</si>
  <si>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</si>
  <si>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</si>
  <si>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</si>
  <si>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</si>
  <si>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</si>
  <si>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</si>
  <si>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</si>
  <si>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</si>
  <si>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</si>
  <si>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</si>
  <si>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</si>
  <si>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</si>
  <si>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</si>
  <si>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</si>
  <si>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</si>
  <si>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</si>
  <si>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</si>
  <si>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</si>
  <si>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</si>
  <si>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</si>
  <si>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</si>
  <si>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</si>
  <si>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</si>
  <si>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</si>
  <si>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</si>
  <si>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</si>
  <si>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</si>
  <si>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</si>
  <si>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</si>
  <si>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</si>
  <si>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</si>
  <si>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</si>
  <si>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</si>
  <si>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</si>
  <si>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</si>
  <si>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</si>
  <si>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</si>
  <si>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Copeland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</si>
  <si>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</si>
  <si>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</si>
  <si>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</si>
  <si>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</si>
  <si>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</si>
  <si>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</si>
  <si>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</si>
  <si>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</si>
  <si>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</si>
  <si>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</si>
  <si>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</si>
  <si>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</si>
  <si>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</si>
  <si>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</si>
  <si>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</si>
  <si>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</si>
  <si>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</si>
  <si>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</si>
  <si>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</si>
  <si>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</si>
  <si>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</si>
  <si>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</si>
  <si>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</si>
  <si>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</si>
  <si>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</si>
  <si>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</si>
  <si>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</si>
  <si>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</si>
  <si>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</si>
  <si>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</si>
  <si>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</si>
  <si>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</si>
  <si>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</si>
  <si>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</si>
  <si>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</si>
  <si>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</si>
  <si>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</si>
  <si>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</si>
  <si>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</si>
  <si>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</si>
  <si>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</si>
  <si>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</si>
  <si>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</si>
  <si>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</si>
  <si>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</si>
  <si>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</si>
  <si>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</si>
  <si>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</si>
  <si>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</si>
  <si>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</si>
  <si>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</si>
  <si>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</si>
  <si>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</si>
  <si>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</si>
  <si>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</si>
  <si>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</si>
  <si>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</si>
  <si>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</si>
  <si>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</si>
  <si>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</si>
  <si>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</si>
  <si>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</si>
  <si>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</si>
  <si>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</si>
  <si>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</si>
  <si>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</si>
  <si>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</si>
  <si>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</si>
  <si>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</si>
  <si>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</si>
  <si>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</si>
  <si>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</si>
  <si>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</si>
  <si>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</si>
  <si>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</si>
  <si>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</si>
  <si>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</si>
  <si>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</si>
  <si>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</si>
  <si>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</si>
  <si>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</si>
  <si>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</si>
  <si>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</si>
  <si>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</si>
  <si>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</si>
  <si>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</si>
  <si>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</si>
  <si>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</si>
  <si>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</si>
  <si>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</si>
  <si>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</si>
  <si>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</si>
  <si>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</si>
  <si>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</si>
  <si>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</si>
  <si>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</si>
  <si>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</si>
  <si>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</si>
  <si>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</si>
  <si>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</si>
  <si>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</si>
  <si>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</si>
  <si>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</si>
  <si>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</si>
  <si>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</si>
  <si>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</si>
  <si>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</si>
  <si>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</si>
  <si>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</si>
  <si>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</si>
  <si>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</si>
  <si>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</si>
  <si>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</si>
  <si>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</si>
  <si>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</si>
  <si>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</si>
  <si>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</si>
  <si>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</si>
  <si>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</si>
  <si>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</si>
  <si>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</si>
  <si>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</si>
  <si>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</si>
  <si>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</si>
  <si>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</si>
  <si>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</si>
  <si>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</si>
  <si>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</si>
  <si>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</si>
  <si>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</si>
  <si>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</si>
  <si>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</si>
  <si>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</si>
  <si>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</si>
  <si>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</si>
  <si>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</si>
  <si>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</si>
  <si>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</si>
  <si>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</si>
  <si>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</si>
  <si>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</si>
  <si>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</si>
  <si>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</si>
  <si>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</si>
  <si>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</si>
  <si>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</si>
  <si>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</si>
  <si>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</si>
  <si>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</si>
  <si>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</si>
  <si>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</si>
  <si>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</si>
  <si>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</si>
  <si>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</si>
  <si>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</si>
  <si>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</si>
  <si>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</si>
  <si>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</si>
  <si>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</si>
  <si>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</si>
  <si>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</si>
  <si>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</si>
  <si>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</si>
  <si>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</si>
  <si>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</si>
  <si>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</si>
  <si>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</si>
  <si>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</si>
  <si>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</si>
  <si>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</si>
  <si>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</si>
  <si>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</si>
  <si>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</si>
  <si>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</si>
  <si>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</si>
  <si>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</si>
  <si>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</si>
  <si>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</si>
  <si>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</si>
  <si>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</si>
  <si>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</si>
  <si>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</si>
  <si>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</si>
  <si>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</si>
  <si>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</si>
  <si>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</si>
  <si>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</si>
  <si>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</si>
  <si>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</si>
  <si>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</si>
  <si>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</si>
  <si>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</si>
  <si>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</si>
  <si>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</si>
  <si>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</si>
  <si>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</si>
  <si>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</si>
  <si>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</si>
  <si>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</si>
  <si>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</si>
  <si>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</si>
  <si>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</si>
  <si>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</si>
  <si>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</si>
  <si>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</si>
  <si>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</si>
  <si>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</si>
  <si>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</si>
  <si>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</si>
  <si>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</si>
  <si>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</si>
  <si>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</si>
  <si>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</si>
  <si>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</si>
  <si>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</si>
  <si>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</si>
  <si>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</si>
  <si>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</si>
  <si>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</si>
  <si>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</si>
  <si>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</si>
  <si>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</si>
  <si>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</si>
  <si>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</si>
  <si>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</si>
  <si>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</si>
  <si>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</si>
  <si>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</si>
  <si>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</si>
  <si>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</si>
  <si>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</si>
  <si>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</si>
  <si>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</si>
  <si>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</si>
  <si>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</si>
  <si>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</si>
  <si>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</si>
  <si>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</si>
  <si>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</si>
  <si>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</si>
  <si>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</si>
  <si>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</si>
  <si>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</si>
  <si>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</si>
  <si>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</si>
  <si>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</si>
  <si>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</si>
  <si>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</si>
  <si>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</si>
  <si>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</si>
  <si>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</si>
  <si>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</si>
  <si>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</si>
  <si>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</si>
  <si>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</si>
  <si>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</si>
  <si>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</si>
  <si>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</si>
  <si>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</si>
  <si>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</si>
  <si>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</si>
  <si>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</si>
  <si>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</si>
  <si>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</si>
  <si>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</si>
  <si>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</si>
  <si>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</si>
  <si>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</si>
  <si>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</si>
  <si>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</si>
  <si>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</si>
  <si>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</si>
  <si>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</si>
  <si>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</si>
  <si>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</si>
  <si>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</si>
  <si>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</si>
  <si>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</si>
  <si>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</si>
  <si>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</si>
  <si>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</si>
  <si>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</si>
  <si>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</si>
  <si>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</si>
  <si>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</si>
  <si>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</si>
  <si>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</si>
  <si>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</si>
  <si>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</si>
  <si>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</si>
  <si>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</si>
  <si>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</si>
  <si>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</si>
  <si>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</si>
  <si>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</si>
  <si>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</si>
  <si>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</si>
  <si>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</si>
  <si>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</si>
  <si>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</si>
  <si>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</si>
  <si>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</si>
  <si>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</si>
  <si>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</si>
  <si>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</si>
  <si>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</si>
  <si>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</si>
  <si>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</si>
  <si>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</si>
  <si>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</si>
  <si>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</si>
  <si>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</si>
  <si>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</si>
  <si>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</si>
  <si>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</si>
  <si>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</si>
  <si>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</si>
  <si>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</si>
  <si>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</si>
  <si>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</si>
  <si>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</si>
  <si>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</si>
  <si>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</si>
  <si>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</si>
  <si>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</si>
  <si>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</si>
  <si>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</si>
  <si>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</si>
  <si>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</si>
  <si>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</si>
  <si>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</si>
  <si>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</si>
  <si>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</si>
  <si>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</si>
  <si>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</si>
  <si>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</si>
  <si>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</si>
  <si>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</si>
  <si>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</si>
  <si>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</si>
  <si>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</si>
  <si>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</si>
  <si>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</si>
  <si>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</si>
  <si>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</si>
  <si>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</si>
  <si>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</si>
  <si>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</si>
  <si>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</si>
  <si>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</si>
  <si>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</si>
  <si>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</si>
  <si>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</si>
  <si>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</si>
  <si>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</si>
  <si>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</si>
  <si>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</si>
  <si>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</si>
  <si>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</si>
  <si>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</si>
  <si>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</si>
  <si>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</si>
  <si>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</si>
  <si>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</si>
  <si>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</si>
  <si>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</si>
  <si>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</si>
  <si>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</si>
  <si>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</si>
  <si>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</si>
  <si>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</si>
  <si>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</si>
  <si>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</si>
  <si>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</si>
  <si>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</si>
  <si>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</si>
  <si>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</si>
  <si>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</si>
  <si>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</si>
  <si>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</si>
  <si>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</si>
  <si>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</si>
  <si>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</si>
  <si>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</si>
  <si>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</si>
  <si>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</si>
  <si>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</si>
  <si>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</si>
  <si>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</si>
  <si>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</si>
  <si>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</si>
  <si>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</si>
  <si>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</si>
  <si>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</si>
  <si>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</si>
  <si>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</si>
  <si>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</si>
  <si>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</si>
  <si>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</si>
  <si>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</si>
  <si>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</si>
  <si>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</si>
  <si>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</si>
  <si>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</si>
  <si>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</si>
  <si>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</si>
  <si>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</si>
  <si>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</si>
  <si>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</si>
  <si>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</si>
  <si>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</si>
  <si>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</si>
  <si>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</si>
  <si>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</si>
  <si>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</si>
  <si>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</si>
  <si>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</si>
  <si>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</si>
  <si>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</si>
  <si>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</si>
  <si>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</si>
  <si>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</si>
  <si>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</si>
  <si>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</si>
  <si>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</si>
  <si>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</si>
  <si>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</si>
  <si>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</si>
  <si>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</si>
  <si>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</si>
  <si>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</si>
  <si>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</si>
  <si>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</si>
  <si>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</si>
  <si>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</si>
  <si>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</si>
  <si>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</si>
  <si>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</si>
  <si>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</si>
  <si>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</si>
  <si>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</si>
  <si>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</si>
  <si>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</si>
  <si>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</si>
  <si>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</si>
  <si>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</si>
  <si>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</si>
  <si>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</si>
  <si>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</si>
  <si>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</si>
  <si>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</si>
  <si>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</si>
  <si>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</si>
  <si>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</si>
  <si>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</si>
  <si>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</si>
  <si>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</si>
  <si>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</si>
  <si>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</si>
  <si>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</si>
  <si>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</si>
  <si>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</si>
  <si>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</si>
  <si>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</si>
  <si>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</si>
  <si>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</si>
  <si>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</si>
  <si>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</si>
  <si>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</si>
  <si>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</si>
  <si>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</si>
  <si>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</si>
  <si>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</si>
  <si>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</si>
  <si>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</si>
  <si>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</si>
  <si>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</si>
  <si>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</si>
  <si>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</si>
  <si>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</si>
  <si>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</si>
  <si>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</si>
  <si>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</si>
  <si>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</si>
  <si>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</si>
  <si>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</si>
  <si>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</si>
  <si>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</si>
  <si>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</si>
  <si>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</si>
  <si>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</si>
  <si>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</si>
  <si>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</si>
  <si>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</si>
  <si>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</si>
  <si>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</si>
  <si>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</si>
  <si>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</si>
  <si>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</si>
  <si>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</si>
  <si>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</si>
  <si>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</si>
  <si>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</si>
  <si>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</si>
  <si>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</si>
  <si>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</si>
  <si>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</si>
  <si>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</si>
  <si>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</si>
  <si>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</si>
  <si>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</si>
  <si>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</si>
  <si>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</si>
  <si>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</si>
  <si>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</si>
  <si>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</si>
  <si>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</si>
  <si>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</si>
  <si>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</si>
  <si>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</si>
  <si>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</si>
  <si>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</si>
  <si>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</si>
  <si>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</si>
  <si>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</si>
  <si>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</si>
  <si>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</si>
  <si>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</si>
  <si>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</si>
  <si>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</si>
  <si>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</si>
  <si>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</si>
  <si>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</si>
  <si>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</si>
  <si>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</si>
  <si>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</si>
  <si>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</si>
  <si>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</si>
  <si>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</si>
  <si>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</si>
  <si>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</si>
  <si>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</si>
  <si>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</si>
  <si>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</si>
  <si>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</si>
  <si>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</si>
  <si>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</si>
  <si>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</si>
  <si>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</si>
  <si>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</si>
  <si>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</si>
  <si>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</si>
  <si>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</si>
  <si>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</si>
  <si>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</si>
  <si>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</si>
  <si>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</si>
  <si>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</si>
  <si>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</si>
  <si>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</si>
  <si>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</si>
  <si>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</si>
  <si>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</si>
  <si>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</si>
  <si>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</si>
  <si>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</si>
  <si>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</si>
  <si>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</si>
  <si>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</si>
  <si>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</si>
  <si>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</si>
  <si>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</si>
  <si>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</si>
  <si>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</si>
  <si>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</si>
  <si>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</si>
  <si>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</si>
  <si>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</si>
  <si>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</si>
  <si>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</si>
  <si>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</si>
  <si>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</si>
  <si>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</si>
  <si>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</si>
  <si>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</si>
  <si>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</si>
  <si>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</si>
  <si>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</si>
  <si>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</si>
  <si>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</si>
  <si>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</si>
  <si>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</si>
  <si>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</si>
  <si>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</si>
  <si>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</si>
  <si>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</si>
  <si>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</si>
  <si>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</si>
  <si>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</si>
  <si>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</si>
  <si>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</si>
  <si>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</si>
  <si>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</si>
  <si>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</si>
  <si>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</si>
  <si>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</si>
  <si>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</si>
  <si>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</si>
  <si>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</si>
  <si>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</si>
  <si>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</si>
  <si>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</si>
  <si>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</si>
  <si>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</si>
  <si>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</si>
  <si>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</si>
  <si>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</si>
  <si>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</si>
  <si>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</si>
  <si>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</si>
  <si>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</si>
  <si>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</si>
  <si>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</si>
  <si>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</si>
  <si>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</si>
  <si>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</si>
  <si>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</si>
  <si>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</si>
  <si>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</si>
  <si>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</si>
  <si>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</si>
  <si>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</si>
  <si>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</si>
  <si>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</si>
  <si>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</si>
  <si>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</si>
  <si>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</si>
  <si>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</si>
  <si>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</si>
  <si>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</si>
  <si>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</si>
  <si>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</si>
  <si>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</si>
  <si>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</si>
  <si>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</si>
  <si>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</si>
  <si>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</si>
  <si>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</si>
  <si>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</si>
  <si>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</si>
  <si>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</si>
  <si>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</si>
  <si>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</si>
  <si>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</si>
  <si>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</si>
  <si>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</si>
  <si>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</si>
  <si>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</si>
  <si>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</si>
  <si>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</si>
  <si>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</si>
  <si>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</si>
  <si>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</si>
  <si>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</si>
  <si>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</si>
  <si>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</si>
  <si>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</si>
  <si>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</si>
  <si>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</si>
  <si>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</si>
  <si>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</si>
  <si>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</si>
  <si>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</si>
  <si>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</si>
  <si>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</si>
  <si>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</si>
  <si>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</si>
  <si>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</si>
  <si>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</si>
  <si>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</si>
  <si>
    <t>store_name</t>
  </si>
  <si>
    <t>(831) 476-4321</t>
  </si>
  <si>
    <t>santacruz@bikes.shop</t>
  </si>
  <si>
    <t>3700 Portola Drive</t>
  </si>
  <si>
    <t>(516) 379-8888</t>
  </si>
  <si>
    <t>baldwin@bikes.shop</t>
  </si>
  <si>
    <t>4200 Chestnut Lane</t>
  </si>
  <si>
    <t>(972) 530-5555</t>
  </si>
  <si>
    <t>rowlett@bikes.shop</t>
  </si>
  <si>
    <t>8000 Fairway Avenue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</si>
  <si>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</si>
  <si>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</si>
  <si>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</si>
  <si>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</si>
  <si>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</si>
  <si>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</si>
  <si>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</si>
  <si>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</si>
  <si>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</si>
  <si>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</si>
  <si>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</si>
  <si>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</si>
  <si>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</si>
  <si>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</si>
  <si>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</si>
  <si>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</si>
  <si>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</si>
  <si>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</si>
  <si>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</si>
  <si>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</si>
  <si>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</si>
  <si>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</si>
  <si>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</si>
  <si>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</si>
  <si>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</si>
  <si>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</si>
  <si>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</si>
  <si>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</si>
  <si>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Layla</t>
  </si>
  <si>
    <t>layla.terrell@bikes.shop</t>
  </si>
  <si>
    <t>(972) 530-5556</t>
  </si>
  <si>
    <t>Bernardine</t>
  </si>
  <si>
    <t>bernardine.houston@bikes.shop</t>
  </si>
  <si>
    <t>(972) 530-5557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</si>
</sst>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horizontal="left" vertical="bottom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Fill="1" applyFont="1"/>
    <xf borderId="0" fillId="4" fontId="3" numFmtId="0" xfId="0" applyFill="1" applyFont="1"/>
    <xf borderId="0" fillId="5" fontId="2" numFmtId="0" xfId="0" applyFill="1" applyFont="1"/>
    <xf borderId="0" fillId="0" fontId="2" numFmtId="165" xfId="0" applyFont="1" applyNumberFormat="1"/>
    <xf borderId="0" fillId="0" fontId="2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Table'!$Q$4:$Q$6</c:f>
            </c:strRef>
          </c:cat>
          <c:val>
            <c:numRef>
              <c:f>'Pivot Table'!$R$4:$R$6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Table'!$Q$4:$Q$6</c:f>
            </c:strRef>
          </c:cat>
          <c:val>
            <c:numRef>
              <c:f>'Pivot Table'!$S$4:$S$6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Table'!$Q$4:$Q$6</c:f>
            </c:strRef>
          </c:cat>
          <c:val>
            <c:numRef>
              <c:f>'Pivot Table'!$T$4:$T$6</c:f>
              <c:numCache/>
            </c:numRef>
          </c:val>
        </c:ser>
        <c:axId val="557209306"/>
        <c:axId val="1207924350"/>
      </c:barChart>
      <c:catAx>
        <c:axId val="557209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924350"/>
      </c:catAx>
      <c:valAx>
        <c:axId val="1207924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2093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Order Id vs. order_date - Year-Month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Table'!$K$11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Table'!$J$12:$J$46</c:f>
            </c:strRef>
          </c:cat>
          <c:val>
            <c:numRef>
              <c:f>'Pivot Table'!$K$12:$K$46</c:f>
              <c:numCache/>
            </c:numRef>
          </c:val>
          <c:smooth val="0"/>
        </c:ser>
        <c:axId val="1209242497"/>
        <c:axId val="757564662"/>
      </c:lineChart>
      <c:catAx>
        <c:axId val="1209242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order_date - 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564662"/>
      </c:catAx>
      <c:valAx>
        <c:axId val="757564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242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962025</xdr:colOff>
      <xdr:row>7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962025</xdr:colOff>
      <xdr:row>26</xdr:row>
      <xdr:rowOff>85725</xdr:rowOff>
    </xdr:from>
    <xdr:ext cx="8162925" cy="5048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616" sheet="Orders"/>
  </cacheSource>
  <cacheFields>
    <cacheField name="order_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m/>
      </sharedItems>
    </cacheField>
    <cacheField name="customer_id" numFmtId="0">
      <sharedItems containsString="0" containsBlank="1" containsNumber="1" containsInteger="1">
        <n v="259.0"/>
        <n v="1212.0"/>
        <n v="523.0"/>
        <n v="175.0"/>
        <n v="1324.0"/>
        <n v="94.0"/>
        <n v="324.0"/>
        <n v="1204.0"/>
        <n v="60.0"/>
        <n v="442.0"/>
        <n v="1326.0"/>
        <n v="91.0"/>
        <n v="873.0"/>
        <n v="258.0"/>
        <n v="450.0"/>
        <n v="552.0"/>
        <n v="1175.0"/>
        <n v="541.0"/>
        <n v="696.0"/>
        <n v="923.0"/>
        <n v="1250.0"/>
        <n v="1035.0"/>
        <n v="1149.0"/>
        <n v="636.0"/>
        <n v="657.0"/>
        <n v="1280.0"/>
        <n v="57.0"/>
        <n v="252.0"/>
        <n v="437.0"/>
        <n v="1348.0"/>
        <n v="1238.0"/>
        <n v="1259.0"/>
        <n v="236.0"/>
        <n v="80.0"/>
        <n v="813.0"/>
        <n v="1321.0"/>
        <n v="164.0"/>
        <n v="583.0"/>
        <n v="1296.0"/>
        <n v="348.0"/>
        <n v="979.0"/>
        <n v="1095.0"/>
        <n v="1434.0"/>
        <n v="861.0"/>
        <n v="1220.0"/>
        <n v="746.0"/>
        <n v="1234.0"/>
        <n v="1012.0"/>
        <n v="608.0"/>
        <n v="872.0"/>
        <n v="1047.0"/>
        <n v="767.0"/>
        <n v="965.0"/>
        <n v="535.0"/>
        <n v="1173.0"/>
        <n v="1241.0"/>
        <n v="1305.0"/>
        <n v="504.0"/>
        <n v="563.0"/>
        <n v="151.0"/>
        <n v="277.0"/>
        <n v="208.0"/>
        <n v="1075.0"/>
        <n v="1185.0"/>
        <n v="996.0"/>
        <n v="1253.0"/>
        <n v="526.0"/>
        <n v="381.0"/>
        <n v="1413.0"/>
        <n v="50.0"/>
        <n v="797.0"/>
        <n v="1386.0"/>
        <n v="612.0"/>
        <n v="264.0"/>
        <n v="587.0"/>
        <n v="9.0"/>
        <n v="385.0"/>
        <n v="1182.0"/>
        <n v="529.0"/>
        <n v="397.0"/>
        <n v="521.0"/>
        <n v="1223.0"/>
        <n v="393.0"/>
        <n v="317.0"/>
        <n v="1174.0"/>
        <n v="276.0"/>
        <n v="516.0"/>
        <n v="1069.0"/>
        <n v="668.0"/>
        <n v="414.0"/>
        <n v="648.0"/>
        <n v="1309.0"/>
        <n v="1328.0"/>
        <n v="929.0"/>
        <n v="218.0"/>
        <n v="1094.0"/>
        <n v="204.0"/>
        <n v="1194.0"/>
        <n v="1165.0"/>
        <n v="1237.0"/>
        <n v="271.0"/>
        <n v="336.0"/>
        <n v="991.0"/>
        <n v="7.0"/>
        <n v="306.0"/>
        <n v="422.0"/>
        <n v="633.0"/>
        <n v="12.0"/>
        <n v="1255.0"/>
        <n v="677.0"/>
        <n v="630.0"/>
        <n v="469.0"/>
        <n v="1078.0"/>
        <n v="1431.0"/>
        <n v="1369.0"/>
        <n v="471.0"/>
        <n v="740.0"/>
        <n v="577.0"/>
        <n v="925.0"/>
        <n v="327.0"/>
        <n v="755.0"/>
        <n v="786.0"/>
        <n v="766.0"/>
        <n v="403.0"/>
        <n v="685.0"/>
        <n v="1365.0"/>
        <n v="484.0"/>
        <n v="86.0"/>
        <n v="84.0"/>
        <n v="1049.0"/>
        <n v="316.0"/>
        <n v="46.0"/>
        <n v="409.0"/>
        <n v="679.0"/>
        <n v="1354.0"/>
        <n v="1192.0"/>
        <n v="370.0"/>
        <n v="438.0"/>
        <n v="710.0"/>
        <n v="1264.0"/>
        <n v="557.0"/>
        <n v="170.0"/>
        <n v="693.0"/>
        <n v="1124.0"/>
        <n v="366.0"/>
        <n v="288.0"/>
        <n v="55.0"/>
        <n v="714.0"/>
        <n v="763.0"/>
        <n v="332.0"/>
        <n v="926.0"/>
        <n v="76.0"/>
        <n v="498.0"/>
        <n v="1286.0"/>
        <n v="371.0"/>
        <n v="357.0"/>
        <n v="43.0"/>
        <n v="117.0"/>
        <n v="32.0"/>
        <n v="205.0"/>
        <n v="251.0"/>
        <n v="31.0"/>
        <n v="1325.0"/>
        <n v="610.0"/>
        <n v="574.0"/>
        <n v="338.0"/>
        <n v="1034.0"/>
        <n v="1147.0"/>
        <n v="99.0"/>
        <n v="1200.0"/>
        <n v="237.0"/>
        <n v="1079.0"/>
        <n v="1361.0"/>
        <n v="951.0"/>
        <n v="643.0"/>
        <n v="121.0"/>
        <n v="756.0"/>
        <n v="616.0"/>
        <n v="918.0"/>
        <n v="459.0"/>
        <n v="854.0"/>
        <n v="22.0"/>
        <n v="134.0"/>
        <n v="24.0"/>
        <n v="1127.0"/>
        <n v="183.0"/>
        <n v="390.0"/>
        <n v="1288.0"/>
        <n v="98.0"/>
        <n v="919.0"/>
        <n v="728.0"/>
        <n v="1366.0"/>
        <n v="558.0"/>
        <n v="727.0"/>
        <n v="1247.0"/>
        <n v="127.0"/>
        <n v="640.0"/>
        <n v="760.0"/>
        <n v="1074.0"/>
        <n v="280.0"/>
        <n v="600.0"/>
        <n v="1102.0"/>
        <n v="591.0"/>
        <n v="635.0"/>
        <n v="743.0"/>
        <n v="105.0"/>
        <n v="815.0"/>
        <n v="514.0"/>
        <n v="943.0"/>
        <n v="1140.0"/>
        <n v="1373.0"/>
        <n v="788.0"/>
        <n v="363.0"/>
        <n v="1420.0"/>
        <n v="267.0"/>
        <n v="716.0"/>
        <n v="1179.0"/>
        <n v="1338.0"/>
        <n v="1358.0"/>
        <n v="1218.0"/>
        <n v="51.0"/>
        <n v="1368.0"/>
        <n v="157.0"/>
        <n v="307.0"/>
        <n v="501.0"/>
        <n v="489.0"/>
        <n v="615.0"/>
        <n v="742.0"/>
        <n v="1167.0"/>
        <n v="1257.0"/>
        <n v="1360.0"/>
        <n v="737.0"/>
        <n v="1435.0"/>
        <n v="649.0"/>
        <n v="206.0"/>
        <n v="1351.0"/>
        <n v="1350.0"/>
        <n v="13.0"/>
        <n v="65.0"/>
        <n v="1082.0"/>
        <n v="1168.0"/>
        <n v="802.0"/>
        <n v="956.0"/>
        <n v="223.0"/>
        <n v="17.0"/>
        <n v="928.0"/>
        <n v="1376.0"/>
        <n v="145.0"/>
        <n v="150.0"/>
        <n v="851.0"/>
        <n v="66.0"/>
        <n v="1267.0"/>
        <n v="510.0"/>
        <n v="801.0"/>
        <n v="26.0"/>
        <n v="1314.0"/>
        <n v="107.0"/>
        <n v="413.0"/>
        <n v="632.0"/>
        <n v="1045.0"/>
        <n v="579.0"/>
        <n v="1322.0"/>
        <n v="5.0"/>
        <n v="682.0"/>
        <n v="933.0"/>
        <n v="282.0"/>
        <n v="540.0"/>
        <n v="764.0"/>
        <n v="879.0"/>
        <n v="350.0"/>
        <n v="497.0"/>
        <n v="1340.0"/>
        <n v="411.0"/>
        <n v="1341.0"/>
        <n v="1227.0"/>
        <n v="546.0"/>
        <n v="1301.0"/>
        <n v="378.0"/>
        <n v="638.0"/>
        <n v="800.0"/>
        <n v="159.0"/>
        <n v="181.0"/>
        <n v="1356.0"/>
        <n v="319.0"/>
        <n v="59.0"/>
        <n v="133.0"/>
        <n v="780.0"/>
        <n v="849.0"/>
        <n v="202.0"/>
        <n v="158.0"/>
        <n v="360.0"/>
        <n v="573.0"/>
        <n v="732.0"/>
        <n v="1130.0"/>
        <n v="1245.0"/>
        <n v="1425.0"/>
        <n v="885.0"/>
        <n v="281.0"/>
        <n v="1205.0"/>
        <n v="1375.0"/>
        <n v="36.0"/>
        <n v="230.0"/>
        <n v="705.0"/>
        <n v="424.0"/>
        <n v="695.0"/>
        <n v="156.0"/>
        <n v="211.0"/>
        <n v="627.0"/>
        <n v="1400.0"/>
        <n v="299.0"/>
        <n v="565.0"/>
        <n v="1019.0"/>
        <n v="1263.0"/>
        <n v="670.0"/>
        <n v="795.0"/>
        <n v="1141.0"/>
        <n v="941.0"/>
        <n v="1428.0"/>
        <n v="568.0"/>
        <n v="924.0"/>
        <n v="1243.0"/>
        <n v="480.0"/>
        <n v="848.0"/>
        <n v="1337.0"/>
        <n v="83.0"/>
        <n v="528.0"/>
        <n v="274.0"/>
        <n v="622.0"/>
        <n v="642.0"/>
        <n v="659.0"/>
        <n v="779.0"/>
        <n v="1112.0"/>
        <n v="1193.0"/>
        <n v="1030.0"/>
        <n v="1252.0"/>
        <n v="1333.0"/>
        <n v="1110.0"/>
        <n v="963.0"/>
        <n v="1357.0"/>
        <n v="806.0"/>
        <n v="961.0"/>
        <n v="750.0"/>
        <n v="1299.0"/>
        <n v="584.0"/>
        <n v="1004.0"/>
        <n v="907.0"/>
        <n v="30.0"/>
        <n v="1307.0"/>
        <n v="16.0"/>
        <n v="1387.0"/>
        <n v="551.0"/>
        <n v="1011.0"/>
        <n v="1189.0"/>
        <n v="14.0"/>
        <n v="1042.0"/>
        <n v="441.0"/>
        <n v="1300.0"/>
        <n v="994.0"/>
        <n v="187.0"/>
        <n v="834.0"/>
        <n v="373.0"/>
        <n v="981.0"/>
        <n v="1054.0"/>
        <n v="527.0"/>
        <n v="995.0"/>
        <n v="1285.0"/>
        <n v="758.0"/>
        <n v="891.0"/>
        <n v="132.0"/>
        <n v="337.0"/>
        <n v="1313.0"/>
        <n v="536.0"/>
        <n v="825.0"/>
        <n v="1355.0"/>
        <n v="475.0"/>
        <n v="954.0"/>
        <n v="1156.0"/>
        <n v="1297.0"/>
        <n v="199.0"/>
        <n v="331.0"/>
        <n v="410.0"/>
        <n v="1274.0"/>
        <n v="1362.0"/>
        <n v="451.0"/>
        <n v="1080.0"/>
        <n v="53.0"/>
        <n v="576.0"/>
        <n v="61.0"/>
        <n v="176.0"/>
        <n v="368.0"/>
        <n v="522.0"/>
        <n v="144.0"/>
        <n v="542.0"/>
        <n v="1437.0"/>
        <n v="447.0"/>
        <n v="1001.0"/>
        <n v="1295.0"/>
        <n v="103.0"/>
        <n v="1335.0"/>
        <n v="578.0"/>
        <n v="396.0"/>
        <n v="603.0"/>
        <n v="1380.0"/>
        <n v="77.0"/>
        <n v="1071.0"/>
        <n v="416.0"/>
        <n v="1151.0"/>
        <n v="261.0"/>
        <n v="1202.0"/>
        <n v="717.0"/>
        <n v="917.0"/>
        <n v="1265.0"/>
        <n v="1377.0"/>
        <n v="359.0"/>
        <n v="88.0"/>
        <n v="72.0"/>
        <n v="240.0"/>
        <n v="398.0"/>
        <n v="1397.0"/>
        <n v="67.0"/>
        <n v="843.0"/>
        <n v="944.0"/>
        <n v="434.0"/>
        <n v="1039.0"/>
        <n v="153.0"/>
        <n v="272.0"/>
        <n v="1217.0"/>
        <n v="169.0"/>
        <n v="1062.0"/>
        <n v="726.0"/>
        <n v="791.0"/>
        <n v="1085.0"/>
        <n v="314.0"/>
        <n v="149.0"/>
        <n v="882.0"/>
        <n v="704.0"/>
        <n v="667.0"/>
        <n v="1371.0"/>
        <n v="362.0"/>
        <n v="399.0"/>
        <n v="808.0"/>
        <n v="101.0"/>
        <n v="492.0"/>
        <n v="575.0"/>
        <n v="1146.0"/>
        <n v="997.0"/>
        <n v="1028.0"/>
        <n v="988.0"/>
        <n v="1055.0"/>
        <n v="1061.0"/>
        <n v="1349.0"/>
        <n v="197.0"/>
        <n v="874.0"/>
        <n v="691.0"/>
        <n v="853.0"/>
        <n v="852.0"/>
        <n v="964.0"/>
        <n v="74.0"/>
        <n v="1198.0"/>
        <n v="1440.0"/>
        <n v="555.0"/>
        <n v="1261.0"/>
        <n v="1089.0"/>
        <n v="641.0"/>
        <n v="697.0"/>
        <n v="468.0"/>
        <n v="549.0"/>
        <n v="553.0"/>
        <n v="241.0"/>
        <n v="559.0"/>
        <n v="449.0"/>
        <n v="304.0"/>
        <n v="984.0"/>
        <n v="686.0"/>
        <n v="481.0"/>
        <n v="513.0"/>
        <n v="703.0"/>
        <n v="421.0"/>
        <n v="465.0"/>
        <n v="709.0"/>
        <n v="827.0"/>
        <n v="921.0"/>
        <n v="899.0"/>
        <n v="876.0"/>
        <n v="1048.0"/>
        <n v="191.0"/>
        <n v="796.0"/>
        <n v="875.0"/>
        <n v="712.0"/>
        <n v="193.0"/>
        <n v="785.0"/>
        <n v="1331.0"/>
        <n v="260.0"/>
        <n v="148.0"/>
        <n v="977.0"/>
        <n v="401.0"/>
        <n v="932.0"/>
        <n v="1381.0"/>
        <n v="721.0"/>
        <n v="831.0"/>
        <n v="1378.0"/>
        <n v="1359.0"/>
        <n v="235.0"/>
        <n v="586.0"/>
        <n v="377.0"/>
        <n v="8.0"/>
        <n v="155.0"/>
        <n v="927.0"/>
        <n v="986.0"/>
        <n v="111.0"/>
        <n v="613.0"/>
        <n v="1374.0"/>
        <n v="54.0"/>
        <n v="639.0"/>
        <n v="664.0"/>
        <n v="724.0"/>
        <n v="1056.0"/>
        <n v="569.0"/>
        <n v="1315.0"/>
        <n v="1096.0"/>
        <n v="506.0"/>
        <n v="676.0"/>
        <n v="753.0"/>
        <n v="773.0"/>
        <n v="116.0"/>
        <n v="817.0"/>
        <n v="1334.0"/>
        <n v="1406.0"/>
        <n v="835.0"/>
        <n v="759.0"/>
        <n v="1353.0"/>
        <n v="341.0"/>
        <n v="1144.0"/>
        <n v="1429.0"/>
        <n v="1228.0"/>
        <n v="313.0"/>
        <n v="62.0"/>
        <n v="321.0"/>
        <n v="1108.0"/>
        <n v="470.0"/>
        <n v="20.0"/>
        <n v="739.0"/>
        <n v="64.0"/>
        <n v="892.0"/>
        <n v="1169.0"/>
        <n v="1282.0"/>
        <n v="913.0"/>
        <n v="104.0"/>
        <n v="212.0"/>
        <n v="1248.0"/>
        <n v="1443.0"/>
        <n v="959.0"/>
        <n v="1405.0"/>
        <n v="90.0"/>
        <n v="942.0"/>
        <n v="365.0"/>
        <n v="1058.0"/>
        <n v="894.0"/>
        <n v="298.0"/>
        <n v="1430.0"/>
        <n v="1275.0"/>
        <n v="707.0"/>
        <n v="989.0"/>
        <n v="178.0"/>
        <n v="423.0"/>
        <n v="833.0"/>
        <n v="33.0"/>
        <n v="1272.0"/>
        <n v="445.0"/>
        <n v="819.0"/>
        <n v="160.0"/>
        <n v="581.0"/>
        <n v="688.0"/>
        <n v="792.0"/>
        <n v="1209.0"/>
        <n v="1219.0"/>
        <n v="1306.0"/>
        <n v="487.0"/>
        <n v="102.0"/>
        <n v="719.0"/>
        <n v="990.0"/>
        <n v="1211.0"/>
        <n v="1232.0"/>
        <n v="1318.0"/>
        <n v="538.0"/>
        <n v="952.0"/>
        <n v="1121.0"/>
        <n v="40.0"/>
        <n v="1.0"/>
        <n v="624.0"/>
        <n v="683.0"/>
        <n v="823.0"/>
        <n v="1032.0"/>
        <n v="96.0"/>
        <n v="1208.0"/>
        <n v="18.0"/>
        <n v="309.0"/>
        <n v="1103.0"/>
        <n v="896.0"/>
        <n v="711.0"/>
        <n v="1073.0"/>
        <n v="634.0"/>
        <n v="1159.0"/>
        <n v="654.0"/>
        <n v="560.0"/>
        <n v="1444.0"/>
        <n v="118.0"/>
        <n v="131.0"/>
        <n v="454.0"/>
        <n v="466.0"/>
        <n v="1157.0"/>
        <n v="1398.0"/>
        <n v="678.0"/>
        <n v="814.0"/>
        <n v="1163.0"/>
        <n v="130.0"/>
        <n v="1119.0"/>
        <n v="561.0"/>
        <n v="973.0"/>
        <n v="1404.0"/>
        <n v="855.0"/>
        <n v="163.0"/>
        <n v="1040.0"/>
        <n v="27.0"/>
        <n v="520.0"/>
        <n v="532.0"/>
        <n v="512.0"/>
        <n v="1302.0"/>
        <n v="550.0"/>
        <n v="1093.0"/>
        <n v="673.0"/>
        <n v="847.0"/>
        <n v="901.0"/>
        <n v="439.0"/>
        <n v="1199.0"/>
        <n v="975.0"/>
        <n v="283.0"/>
        <n v="684.0"/>
        <n v="1153.0"/>
        <n v="729.0"/>
        <n v="190.0"/>
        <n v="985.0"/>
        <n v="1249.0"/>
        <n v="1129.0"/>
        <n v="347.0"/>
        <n v="949.0"/>
        <n v="349.0"/>
        <n v="1051.0"/>
        <n v="1391.0"/>
        <n v="383.0"/>
        <n v="626.0"/>
        <n v="1125.0"/>
        <n v="344.0"/>
        <n v="681.0"/>
        <n v="29.0"/>
        <n v="770.0"/>
        <n v="858.0"/>
        <n v="297.0"/>
        <n v="745.0"/>
        <n v="361.0"/>
        <n v="922.0"/>
        <n v="908.0"/>
        <n v="733.0"/>
        <n v="291.0"/>
        <n v="790.0"/>
        <n v="809.0"/>
        <n v="250.0"/>
        <n v="81.0"/>
        <n v="245.0"/>
        <n v="499.0"/>
        <n v="614.0"/>
        <n v="741.0"/>
        <n v="762.0"/>
        <n v="976.0"/>
        <n v="380.0"/>
        <n v="530.0"/>
        <n v="343.0"/>
        <n v="884.0"/>
        <n v="1097.0"/>
        <n v="1081.0"/>
        <n v="2.0"/>
        <n v="1233.0"/>
        <n v="58.0"/>
        <n v="606.0"/>
        <n v="1242.0"/>
        <n v="562.0"/>
        <n v="543.0"/>
        <n v="958.0"/>
        <n v="4.0"/>
        <n v="850.0"/>
        <n v="1352.0"/>
        <n v="417.0"/>
        <n v="1137.0"/>
        <n v="1196.0"/>
        <n v="1271.0"/>
        <n v="79.0"/>
        <n v="660.0"/>
        <n v="1162.0"/>
        <n v="295.0"/>
        <n v="1246.0"/>
        <n v="173.0"/>
        <n v="207.0"/>
        <n v="805.0"/>
        <n v="672.0"/>
        <n v="1312.0"/>
        <n v="38.0"/>
        <n v="200.0"/>
        <n v="382.0"/>
        <n v="625.0"/>
        <n v="1399.0"/>
        <n v="845.0"/>
        <n v="864.0"/>
        <n v="870.0"/>
        <n v="969.0"/>
        <n v="962.0"/>
        <n v="1138.0"/>
        <n v="897.0"/>
        <n v="500.0"/>
        <n v="910.0"/>
        <n v="147.0"/>
        <n v="832.0"/>
        <n v="939.0"/>
        <n v="184.0"/>
        <n v="694.0"/>
        <n v="124.0"/>
        <n v="49.0"/>
        <n v="1113.0"/>
        <n v="119.0"/>
        <n v="433.0"/>
        <n v="137.0"/>
        <n v="166.0"/>
        <n v="698.0"/>
        <n v="391.0"/>
        <n v="87.0"/>
        <n v="1072.0"/>
        <n v="255.0"/>
        <n v="232.0"/>
        <n v="731.0"/>
        <n v="335.0"/>
        <n v="1201.0"/>
        <n v="646.0"/>
        <n v="531.0"/>
        <n v="1143.0"/>
        <n v="1336.0"/>
        <n v="953.0"/>
        <n v="284.0"/>
        <n v="1104.0"/>
        <n v="1291.0"/>
        <n v="572.0"/>
        <n v="842.0"/>
        <n v="701.0"/>
        <n v="1152.0"/>
        <n v="141.0"/>
        <n v="564.0"/>
        <n v="841.0"/>
        <n v="946.0"/>
        <n v="135.0"/>
        <n v="671.0"/>
        <n v="448.0"/>
        <n v="1385.0"/>
        <n v="690.0"/>
        <n v="968.0"/>
        <n v="490.0"/>
        <n v="496.0"/>
        <n v="56.0"/>
        <n v="367.0"/>
        <n v="592.0"/>
        <n v="1018.0"/>
        <n v="1298.0"/>
        <n v="1343.0"/>
        <n v="430.0"/>
        <n v="794.0"/>
        <n v="249.0"/>
        <n v="700.0"/>
        <n v="1363.0"/>
        <n v="772.0"/>
        <n v="1015.0"/>
        <n v="432.0"/>
        <n v="479.0"/>
        <n v="653.0"/>
        <n v="863.0"/>
        <n v="992.0"/>
        <n v="154.0"/>
        <n v="374.0"/>
        <n v="619.0"/>
        <n v="607.0"/>
        <n v="1057.0"/>
        <n v="78.0"/>
        <n v="340.0"/>
        <n v="1105.0"/>
        <n v="95.0"/>
        <n v="420.0"/>
        <n v="234.0"/>
        <n v="1148.0"/>
        <n v="315.0"/>
        <n v="1222.0"/>
        <n v="524.0"/>
        <n v="1164.0"/>
        <n v="1203.0"/>
        <n v="629.0"/>
        <n v="1251.0"/>
        <n v="811.0"/>
        <n v="301.0"/>
        <n v="1319.0"/>
        <n v="221.0"/>
        <n v="725.0"/>
        <n v="1181.0"/>
        <n v="294.0"/>
        <n v="415.0"/>
        <n v="993.0"/>
        <n v="10.0"/>
        <n v="45.0"/>
        <n v="666.0"/>
        <n v="246.0"/>
        <n v="674.0"/>
        <n v="431.0"/>
        <n v="1000.0"/>
        <n v="1215.0"/>
        <n v="406.0"/>
        <n v="890.0"/>
        <n v="940.0"/>
        <n v="455.0"/>
        <n v="948.0"/>
        <n v="1395.0"/>
        <n v="1332.0"/>
        <n v="372.0"/>
        <n v="428.0"/>
        <n v="1133.0"/>
        <n v="1059.0"/>
        <n v="1436.0"/>
        <n v="662.0"/>
        <n v="715.0"/>
        <n v="329.0"/>
        <n v="597.0"/>
        <n v="776.0"/>
        <n v="1346.0"/>
        <n v="1139.0"/>
        <n v="883.0"/>
        <n v="177.0"/>
        <n v="775.0"/>
        <n v="477.0"/>
        <n v="1402.0"/>
        <n v="162.0"/>
        <n v="644.0"/>
        <n v="473.0"/>
        <n v="1177.0"/>
        <n v="1230.0"/>
        <n v="446.0"/>
        <n v="902.0"/>
        <n v="974.0"/>
        <n v="1410.0"/>
        <n v="97.0"/>
        <n v="868.0"/>
        <n v="844.0"/>
        <n v="1416.0"/>
        <n v="358.0"/>
        <n v="394.0"/>
        <n v="829.0"/>
        <n v="661.0"/>
        <n v="386.0"/>
        <n v="1046.0"/>
        <n v="784.0"/>
        <n v="224.0"/>
        <n v="214.0"/>
        <n v="1206.0"/>
        <n v="1024.0"/>
        <n v="196.0"/>
        <n v="507.0"/>
        <n v="871.0"/>
        <n v="1396.0"/>
        <n v="1195.0"/>
        <n v="1038.0"/>
        <n v="830.0"/>
        <n v="171.0"/>
        <n v="384.0"/>
        <n v="651.0"/>
        <n v="1293.0"/>
        <n v="1320.0"/>
        <n v="857.0"/>
        <n v="376.0"/>
        <n v="47.0"/>
        <n v="352.0"/>
        <n v="605.0"/>
        <n v="971.0"/>
        <n v="345.0"/>
        <n v="1278.0"/>
        <n v="179.0"/>
        <n v="1020.0"/>
        <n v="609.0"/>
        <n v="877.0"/>
        <n v="120.0"/>
        <n v="402.0"/>
        <n v="188.0"/>
        <n v="342.0"/>
        <n v="887.0"/>
        <n v="519.0"/>
        <n v="699.0"/>
        <n v="1068.0"/>
        <n v="215.0"/>
        <n v="718.0"/>
        <n v="881.0"/>
        <n v="242.0"/>
        <n v="781.0"/>
        <n v="966.0"/>
        <n v="628.0"/>
        <n v="656.0"/>
        <n v="769.0"/>
        <n v="68.0"/>
        <n v="1316.0"/>
        <n v="233.0"/>
        <n v="1438.0"/>
        <n v="957.0"/>
        <n v="472.0"/>
        <n v="1224.0"/>
        <n v="631.0"/>
        <n v="804.0"/>
        <n v="909.0"/>
        <n v="93.0"/>
        <n v="265.0"/>
        <n v="73.0"/>
        <n v="129.0"/>
        <n v="1407.0"/>
        <n v="585.0"/>
        <n v="736.0"/>
        <n v="537.0"/>
        <n v="1025.0"/>
        <n v="138.0"/>
        <n v="167.0"/>
        <n v="525.0"/>
        <n v="278.0"/>
        <n v="618.0"/>
        <n v="867.0"/>
        <n v="142.0"/>
        <n v="339.0"/>
        <n v="355.0"/>
        <n v="658.0"/>
        <n v="611.0"/>
        <n v="880.0"/>
        <n v="1184.0"/>
        <n v="722.0"/>
        <n v="1276.0"/>
        <n v="650.0"/>
        <n v="1390.0"/>
        <n v="82.0"/>
        <n v="570.0"/>
        <n v="1432.0"/>
        <n v="404.0"/>
        <n v="457.0"/>
        <n v="389.0"/>
        <n v="1323.0"/>
        <n v="1403.0"/>
        <n v="248.0"/>
        <n v="836.0"/>
        <n v="1426.0"/>
        <n v="270.0"/>
        <n v="238.0"/>
        <n v="511.0"/>
        <n v="1092.0"/>
        <n v="1266.0"/>
        <n v="400.0"/>
        <n v="1123.0"/>
        <n v="1190.0"/>
        <n v="328.0"/>
        <n v="687.0"/>
        <n v="1423.0"/>
        <n v="1158.0"/>
        <n v="1287.0"/>
        <n v="461.0"/>
        <n v="556.0"/>
        <n v="172.0"/>
        <n v="436.0"/>
        <n v="1145.0"/>
        <n v="706.0"/>
        <n v="751.0"/>
        <n v="723.0"/>
        <n v="1415.0"/>
        <n v="419.0"/>
        <n v="621.0"/>
        <n v="915.0"/>
        <n v="485.0"/>
        <n v="219.0"/>
        <n v="590.0"/>
        <n v="645.0"/>
        <n v="354.0"/>
        <n v="1418.0"/>
        <n v="503.0"/>
        <n v="1389.0"/>
        <n v="266.0"/>
        <n v="1070.0"/>
        <n v="1115.0"/>
        <n v="1345.0"/>
        <n v="1064.0"/>
        <n v="495.0"/>
        <n v="620.0"/>
        <n v="174.0"/>
        <n v="748.0"/>
        <n v="799.0"/>
        <n v="1417.0"/>
        <n v="168.0"/>
        <n v="290.0"/>
        <n v="408.0"/>
        <n v="125.0"/>
        <n v="353.0"/>
        <n v="356.0"/>
        <n v="837.0"/>
        <n v="1304.0"/>
        <n v="1370.0"/>
        <n v="588.0"/>
        <n v="1273.0"/>
        <n v="407.0"/>
        <n v="161.0"/>
        <n v="1308.0"/>
        <n v="429.0"/>
        <n v="582.0"/>
        <n v="895.0"/>
        <n v="1283.0"/>
        <n v="1442.0"/>
        <n v="1229.0"/>
        <n v="1281.0"/>
        <n v="1077.0"/>
        <n v="1225.0"/>
        <n v="70.0"/>
        <n v="539.0"/>
        <n v="1235.0"/>
        <n v="1270.0"/>
        <n v="185.0"/>
        <n v="1134.0"/>
        <n v="777.0"/>
        <n v="194.0"/>
        <n v="239.0"/>
        <n v="209.0"/>
        <n v="460.0"/>
        <n v="1439.0"/>
        <n v="189.0"/>
        <n v="140.0"/>
        <n v="325.0"/>
        <n v="456.0"/>
        <n v="782.0"/>
        <n v="6.0"/>
        <n v="182.0"/>
        <n v="655.0"/>
        <n v="1210.0"/>
        <n v="198.0"/>
        <n v="898.0"/>
        <n v="25.0"/>
        <n v="106.0"/>
        <n v="225.0"/>
        <n v="453.0"/>
        <n v="493.0"/>
        <n v="596.0"/>
        <n v="602.0"/>
        <n v="911.0"/>
        <n v="11.0"/>
        <n v="1003.0"/>
        <n v="42.0"/>
        <n v="412.0"/>
        <n v="793.0"/>
        <n v="812.0"/>
        <n v="1086.0"/>
        <n v="1106.0"/>
        <n v="1327.0"/>
        <n v="1372.0"/>
        <n v="305.0"/>
        <n v="220.0"/>
        <n v="675.0"/>
        <n v="1160.0"/>
        <n v="1427.0"/>
        <n v="1260.0"/>
        <n v="326.0"/>
        <n v="828.0"/>
        <n v="1382.0"/>
        <n v="589.0"/>
        <n v="1311.0"/>
        <n v="752.0"/>
        <n v="1128.0"/>
        <n v="1392.0"/>
        <n v="379.0"/>
        <n v="1317.0"/>
        <n v="1394.0"/>
        <n v="268.0"/>
        <n v="747.0"/>
        <n v="1009.0"/>
        <n v="1424.0"/>
        <n v="735.0"/>
        <n v="23.0"/>
        <n v="912.0"/>
        <n v="930.0"/>
        <n v="798.0"/>
        <n v="388.0"/>
        <n v="1036.0"/>
        <n v="1100.0"/>
        <n v="52.0"/>
        <n v="334.0"/>
        <n v="1023.0"/>
        <n v="749.0"/>
        <n v="1269.0"/>
        <n v="143.0"/>
        <n v="1132.0"/>
        <n v="598.0"/>
        <n v="275.0"/>
        <n v="945.0"/>
        <n v="1213.0"/>
        <n v="494.0"/>
        <n v="936.0"/>
        <n v="663.0"/>
        <n v="69.0"/>
        <n v="1178.0"/>
        <n v="351.0"/>
        <n v="517.0"/>
        <n v="978.0"/>
        <n v="1347.0"/>
        <n v="1050.0"/>
        <n v="810.0"/>
        <n v="254.0"/>
        <n v="1006.0"/>
        <n v="1063.0"/>
        <n v="1076.0"/>
        <n v="554.0"/>
        <n v="1087.0"/>
        <n v="1414.0"/>
        <n v="617.0"/>
        <n v="757.0"/>
        <n v="1344.0"/>
        <n v="1379.0"/>
        <n v="787.0"/>
        <n v="1183.0"/>
        <n v="708.0"/>
        <n v="1244.0"/>
        <n v="720.0"/>
        <n v="789.0"/>
        <n v="865.0"/>
        <n v="869.0"/>
        <n v="889.0"/>
        <n v="1221.0"/>
        <n v="1262.0"/>
        <n v="41.0"/>
        <n v="888.0"/>
        <n v="934.0"/>
        <n v="1067.0"/>
        <n v="652.0"/>
        <n v="286.0"/>
        <n v="900.0"/>
        <n v="1031.0"/>
        <n v="1421.0"/>
        <n v="534.0"/>
        <n v="826.0"/>
        <n v="1339.0"/>
        <n v="548.0"/>
        <n v="1109.0"/>
        <n v="292.0"/>
        <n v="1111.0"/>
        <n v="21.0"/>
        <n v="771.0"/>
        <n v="1150.0"/>
        <n v="1065.0"/>
        <n v="1022.0"/>
        <n v="1422.0"/>
        <n v="216.0"/>
        <n v="369.0"/>
        <n v="960.0"/>
        <n v="1120.0"/>
        <n v="486.0"/>
        <n v="647.0"/>
        <n v="1090.0"/>
        <n v="34.0"/>
        <n v="186.0"/>
        <n v="1114.0"/>
        <n v="1412.0"/>
        <n v="192.0"/>
        <n v="229.0"/>
        <n v="508.0"/>
        <n v="269.0"/>
        <n v="1289.0"/>
        <n v="318.0"/>
        <n v="48.0"/>
        <n v="201.0"/>
        <n v="593.0"/>
        <n v="1191.0"/>
        <n v="1277.0"/>
        <n v="1091.0"/>
        <n v="222.0"/>
        <n v="1002.0"/>
        <n v="1226.0"/>
        <n v="1342.0"/>
        <n v="730.0"/>
        <n v="19.0"/>
        <n v="213.0"/>
        <n v="669.0"/>
        <n v="783.0"/>
        <n v="807.0"/>
        <n v="886.0"/>
        <n v="1155.0"/>
        <n v="1017.0"/>
        <n v="840.0"/>
        <n v="803.0"/>
        <n v="1290.0"/>
        <n v="482.0"/>
        <n v="1207.0"/>
        <n v="544.0"/>
        <n v="768.0"/>
        <n v="226.0"/>
        <n v="702.0"/>
        <n v="1041.0"/>
        <n v="89.0"/>
        <n v="1107.0"/>
        <n v="1180.0"/>
        <n v="665.0"/>
        <n v="462.0"/>
        <n v="210.0"/>
        <n v="243.0"/>
        <n v="571.0"/>
        <n v="998.0"/>
        <n v="1197.0"/>
        <n v="903.0"/>
        <n v="1170.0"/>
        <n v="303.0"/>
        <n v="346.0"/>
        <n v="333.0"/>
        <n v="1166.0"/>
        <n v="1329.0"/>
        <n v="426.0"/>
        <n v="1367.0"/>
        <n v="545.0"/>
        <n v="1188.0"/>
        <n v="289.0"/>
        <n v="110.0"/>
        <n v="44.0"/>
        <n v="1098.0"/>
        <n v="375.0"/>
        <n v="458.0"/>
        <n v="1136.0"/>
        <n v="1099.0"/>
        <n v="1117.0"/>
        <n v="435.0"/>
        <n v="509.0"/>
        <n v="1408.0"/>
        <n v="113.0"/>
        <n v="950.0"/>
        <n v="387.0"/>
        <n v="467.0"/>
        <n v="774.0"/>
        <n v="1236.0"/>
        <n v="1388.0"/>
        <n v="734.0"/>
        <n v="935.0"/>
        <n v="1268.0"/>
        <n v="1364.0"/>
        <n v="165.0"/>
        <n v="893.0"/>
        <n v="227.0"/>
        <n v="980.0"/>
        <n v="1014.0"/>
        <n v="123.0"/>
        <n v="1060.0"/>
        <n v="320.0"/>
        <n v="85.0"/>
        <n v="128.0"/>
        <n v="262.0"/>
        <n v="1033.0"/>
        <n v="279.0"/>
        <n v="778.0"/>
        <n v="1292.0"/>
        <n v="967.0"/>
        <n v="1284.0"/>
        <n v="285.0"/>
        <n v="1401.0"/>
        <n v="947.0"/>
        <n v="37.0"/>
        <n v="231.0"/>
        <n v="108.0"/>
        <n v="533.0"/>
        <n v="1216.0"/>
        <n v="824.0"/>
        <n v="1088.0"/>
        <n v="322.0"/>
        <n v="878.0"/>
        <n v="1409.0"/>
        <n v="257.0"/>
        <n v="28.0"/>
        <n v="1384.0"/>
        <n v="713.0"/>
        <n v="821.0"/>
        <n v="444.0"/>
        <n v="1021.0"/>
        <n v="311.0"/>
        <n v="1294.0"/>
        <n v="1027.0"/>
        <n v="931.0"/>
        <n v="846.0"/>
        <n v="418.0"/>
        <n v="75.0"/>
        <n v="604.0"/>
        <n v="244.0"/>
        <n v="217.0"/>
        <n v="39.0"/>
        <n v="273.0"/>
        <n v="862.0"/>
        <n v="567.0"/>
        <n v="1026.0"/>
        <n v="1083.0"/>
        <n v="443.0"/>
        <n v="761.0"/>
        <n v="1122.0"/>
        <n v="256.0"/>
        <n v="203.0"/>
        <n v="425.0"/>
        <n v="955.0"/>
        <n v="904.0"/>
        <n v="970.0"/>
        <n v="905.0"/>
        <n v="580.0"/>
        <n v="1066.0"/>
        <n v="1258.0"/>
        <n v="1393.0"/>
        <n v="594.0"/>
        <n v="916.0"/>
        <n v="1037.0"/>
        <n v="136.0"/>
        <n v="247.0"/>
        <n v="1214.0"/>
        <n v="464.0"/>
        <n v="637.0"/>
        <n v="1016.0"/>
        <n v="1433.0"/>
        <n v="502.0"/>
        <n v="476.0"/>
        <n v="1010.0"/>
        <n v="1161.0"/>
        <n v="440.0"/>
        <n v="253.0"/>
        <n v="1008.0"/>
        <n v="71.0"/>
        <n v="1084.0"/>
        <n v="310.0"/>
        <n v="860.0"/>
        <n v="122.0"/>
        <n v="689.0"/>
        <n v="1441.0"/>
        <n v="1118.0"/>
        <n v="765.0"/>
        <n v="92.0"/>
        <n v="115.0"/>
        <n v="937.0"/>
        <n v="1013.0"/>
        <n v="427.0"/>
        <n v="1330.0"/>
        <n v="312.0"/>
        <n v="1186.0"/>
        <n v="1007.0"/>
        <n v="983.0"/>
        <n v="1256.0"/>
        <n v="818.0"/>
        <n v="680.0"/>
        <n v="1303.0"/>
        <n v="488.0"/>
        <n v="1126.0"/>
        <n v="866.0"/>
        <n v="1254.0"/>
        <n v="323.0"/>
        <n v="491.0"/>
        <n v="63.0"/>
        <n v="914.0"/>
        <n v="1187.0"/>
        <n v="547.0"/>
        <n v="906.0"/>
        <n v="1052.0"/>
        <n v="856.0"/>
        <n v="920.0"/>
        <n v="1383.0"/>
        <n v="146.0"/>
        <n v="987.0"/>
        <n v="15.0"/>
        <n v="1171.0"/>
        <n v="452.0"/>
        <n v="1240.0"/>
        <n v="100.0"/>
        <n v="1053.0"/>
        <n v="1172.0"/>
        <n v="1005.0"/>
        <n v="109.0"/>
        <n v="1043.0"/>
        <n v="293.0"/>
        <n v="839.0"/>
        <n v="566.0"/>
        <n v="300.0"/>
        <n v="364.0"/>
        <n v="474.0"/>
        <n v="838.0"/>
        <n v="1176.0"/>
        <n v="599.0"/>
        <n v="1231.0"/>
        <n v="1445.0"/>
        <n v="126.0"/>
        <n v="938.0"/>
        <n v="999.0"/>
        <n v="195.0"/>
        <n v="1116.0"/>
        <n v="1239.0"/>
        <n v="308.0"/>
        <n v="483.0"/>
        <n v="1142.0"/>
        <n v="595.0"/>
        <n v="744.0"/>
        <n v="1044.0"/>
        <n v="518.0"/>
        <n v="263.0"/>
        <n v="463.0"/>
        <n v="859.0"/>
        <n v="982.0"/>
        <n v="478.0"/>
        <n v="972.0"/>
        <n v="1154.0"/>
        <n v="515.0"/>
        <n v="820.0"/>
        <n v="1419.0"/>
        <n v="228.0"/>
        <n v="330.0"/>
        <n v="296.0"/>
        <n v="822.0"/>
        <n v="287.0"/>
        <n v="601.0"/>
        <n v="395.0"/>
        <n v="405.0"/>
        <n v="754.0"/>
        <n v="1411.0"/>
        <n v="1029.0"/>
        <n v="1131.0"/>
        <n v="139.0"/>
        <n v="1101.0"/>
        <n v="692.0"/>
        <n v="1279.0"/>
        <n v="623.0"/>
        <n v="738.0"/>
        <n v="152.0"/>
        <n v="3.0"/>
        <n v="1135.0"/>
        <n v="505.0"/>
        <n v="1310.0"/>
        <n v="114.0"/>
        <n v="302.0"/>
        <n v="816.0"/>
        <n v="112.0"/>
        <n v="35.0"/>
        <n v="180.0"/>
        <n v="392.0"/>
        <m/>
      </sharedItems>
    </cacheField>
    <cacheField name="order_status" numFmtId="0">
      <sharedItems containsString="0" containsBlank="1" containsNumber="1" containsInteger="1">
        <n v="4.0"/>
        <n v="3.0"/>
        <n v="2.0"/>
        <n v="1.0"/>
        <m/>
      </sharedItems>
    </cacheField>
    <cacheField name="order_date" numFmtId="164">
      <sharedItems containsDate="1" containsString="0" containsBlank="1">
        <d v="2016-01-01T00:00:00Z"/>
        <d v="2016-01-02T00:00:00Z"/>
        <d v="2016-01-03T00:00:00Z"/>
        <d v="2016-01-04T00:00:00Z"/>
        <d v="2016-01-05T00:00:00Z"/>
        <d v="2016-01-06T00:00:00Z"/>
        <d v="2016-01-08T00:00:00Z"/>
        <d v="2016-01-09T00:00:00Z"/>
        <d v="2016-01-12T00:00:00Z"/>
        <d v="2016-01-14T00:00:00Z"/>
        <d v="2016-01-15T00:00:00Z"/>
        <d v="2016-01-16T00:00:00Z"/>
        <d v="2016-01-18T00:00:00Z"/>
        <d v="2016-01-19T00:00:00Z"/>
        <d v="2016-01-20T00:00:00Z"/>
        <d v="2016-01-21T00:00:00Z"/>
        <d v="2016-01-22T00:00:00Z"/>
        <d v="2016-01-23T00:00:00Z"/>
        <d v="2016-01-25T00:00:00Z"/>
        <d v="2016-01-27T00:00:00Z"/>
        <d v="2016-01-28T00:00:00Z"/>
        <d v="2016-01-29T00:00:00Z"/>
        <d v="2016-01-30T00:00:00Z"/>
        <d v="2016-01-31T00:00:00Z"/>
        <d v="2016-02-01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0T00:00:00Z"/>
        <d v="2016-02-11T00:00:00Z"/>
        <d v="2016-02-12T00:00:00Z"/>
        <d v="2016-02-13T00:00:00Z"/>
        <d v="2016-02-14T00:00:00Z"/>
        <d v="2016-02-16T00:00:00Z"/>
        <d v="2016-02-17T00:00:00Z"/>
        <d v="2016-02-18T00:00:00Z"/>
        <d v="2016-02-19T00:00:00Z"/>
        <d v="2016-02-20T00:00:00Z"/>
        <d v="2016-02-21T00:00:00Z"/>
        <d v="2016-02-23T00:00:00Z"/>
        <d v="2016-02-25T00:00:00Z"/>
        <d v="2016-02-26T00:00:00Z"/>
        <d v="2016-02-27T00:00:00Z"/>
        <d v="2016-02-28T00:00:00Z"/>
        <d v="2016-02-29T00:00:00Z"/>
        <d v="2016-03-01T00:00:00Z"/>
        <d v="2016-03-02T00:00:00Z"/>
        <d v="2016-03-03T00:00:00Z"/>
        <d v="2016-03-04T00:00:00Z"/>
        <d v="2016-03-06T00:00:00Z"/>
        <d v="2016-03-07T00:00:00Z"/>
        <d v="2016-03-08T00:00:00Z"/>
        <d v="2016-03-09T00:00:00Z"/>
        <d v="2016-03-10T00:00:00Z"/>
        <d v="2016-03-12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3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2T00:00:00Z"/>
        <d v="2016-04-03T00:00:00Z"/>
        <d v="2016-04-04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4-13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7T00:00:00Z"/>
        <d v="2016-04-28T00:00:00Z"/>
        <d v="2016-04-30T00:00:00Z"/>
        <d v="2016-05-01T00:00:00Z"/>
        <d v="2016-05-03T00:00:00Z"/>
        <d v="2016-05-04T00:00:00Z"/>
        <d v="2016-05-05T00:00:00Z"/>
        <d v="2016-05-06T00:00:00Z"/>
        <d v="2016-05-07T00:00:00Z"/>
        <d v="2016-05-08T00:00:00Z"/>
        <d v="2016-05-10T00:00:00Z"/>
        <d v="2016-05-11T00:00:00Z"/>
        <d v="2016-05-12T00:00:00Z"/>
        <d v="2016-05-13T00:00:00Z"/>
        <d v="2016-05-15T00:00:00Z"/>
        <d v="2016-05-17T00:00:00Z"/>
        <d v="2016-05-19T00:00:00Z"/>
        <d v="2016-05-20T00:00:00Z"/>
        <d v="2016-05-21T00:00:00Z"/>
        <d v="2016-05-22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6-01T00:00:00Z"/>
        <d v="2016-06-02T00:00:00Z"/>
        <d v="2016-06-03T00:00:00Z"/>
        <d v="2016-06-04T00:00:00Z"/>
        <d v="2016-06-05T00:00:00Z"/>
        <d v="2016-06-06T00:00:00Z"/>
        <d v="2016-06-08T00:00:00Z"/>
        <d v="2016-06-09T00:00:00Z"/>
        <d v="2016-06-10T00:00:00Z"/>
        <d v="2016-06-11T00:00:00Z"/>
        <d v="2016-06-12T00:00:00Z"/>
        <d v="2016-06-13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2T00:00:00Z"/>
        <d v="2016-06-23T00:00:00Z"/>
        <d v="2016-06-25T00:00:00Z"/>
        <d v="2016-06-27T00:00:00Z"/>
        <d v="2016-06-28T00:00:00Z"/>
        <d v="2016-06-29T00:00:00Z"/>
        <d v="2016-06-30T00:00:00Z"/>
        <d v="2016-07-01T00:00:00Z"/>
        <d v="2016-07-04T00:00:00Z"/>
        <d v="2016-07-05T00:00:00Z"/>
        <d v="2016-07-06T00:00:00Z"/>
        <d v="2016-07-07T00:00:00Z"/>
        <d v="2016-07-09T00:00:00Z"/>
        <d v="2016-07-11T00:00:00Z"/>
        <d v="2016-07-12T00:00:00Z"/>
        <d v="2016-07-13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3T00:00:00Z"/>
        <d v="2016-07-24T00:00:00Z"/>
        <d v="2016-07-25T00:00:00Z"/>
        <d v="2016-07-26T00:00:00Z"/>
        <d v="2016-07-28T00:00:00Z"/>
        <d v="2016-07-29T00:00:00Z"/>
        <d v="2016-07-31T00:00:00Z"/>
        <d v="2016-08-01T00:00:00Z"/>
        <d v="2016-08-02T00:00:00Z"/>
        <d v="2016-08-03T00:00:00Z"/>
        <d v="2016-08-04T00:00:00Z"/>
        <d v="2016-08-05T00:00:00Z"/>
        <d v="2016-08-07T00:00:00Z"/>
        <d v="2016-08-08T00:00:00Z"/>
        <d v="2016-08-09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5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6T00:00:00Z"/>
        <d v="2016-09-17T00:00:00Z"/>
        <d v="2016-09-18T00:00:00Z"/>
        <d v="2016-09-19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5T00:00:00Z"/>
        <d v="2016-10-06T00:00:00Z"/>
        <d v="2016-10-07T00:00:00Z"/>
        <d v="2016-10-08T00:00:00Z"/>
        <d v="2016-10-09T00:00:00Z"/>
        <d v="2016-10-10T00:00:00Z"/>
        <d v="2016-10-11T00:00:00Z"/>
        <d v="2016-10-12T00:00:00Z"/>
        <d v="2016-10-13T00:00:00Z"/>
        <d v="2016-10-14T00:00:00Z"/>
        <d v="2016-10-15T00:00:00Z"/>
        <d v="2016-10-16T00:00:00Z"/>
        <d v="2016-10-17T00:00:00Z"/>
        <d v="2016-10-18T00:00:00Z"/>
        <d v="2016-10-19T00:00:00Z"/>
        <d v="2016-10-21T00:00:00Z"/>
        <d v="2016-10-22T00:00:00Z"/>
        <d v="2016-10-23T00:00:00Z"/>
        <d v="2016-10-24T00:00:00Z"/>
        <d v="2016-10-25T00:00:00Z"/>
        <d v="2016-10-26T00:00:00Z"/>
        <d v="2016-10-27T00:00:00Z"/>
        <d v="2016-10-28T00:00:00Z"/>
        <d v="2016-10-29T00:00:00Z"/>
        <d v="2016-10-31T00:00:00Z"/>
        <d v="2016-11-02T00:00:00Z"/>
        <d v="2016-11-03T00:00:00Z"/>
        <d v="2016-11-04T00:00:00Z"/>
        <d v="2016-11-06T00:00:00Z"/>
        <d v="2016-11-08T00:00:00Z"/>
        <d v="2016-11-09T00:00:00Z"/>
        <d v="2016-11-11T00:00:00Z"/>
        <d v="2016-11-12T00:00:00Z"/>
        <d v="2016-11-13T00:00:00Z"/>
        <d v="2016-11-14T00:00:00Z"/>
        <d v="2016-11-15T00:00:00Z"/>
        <d v="2016-11-16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6T00:00:00Z"/>
        <d v="2016-11-27T00:00:00Z"/>
        <d v="2016-11-30T00:00:00Z"/>
        <d v="2016-12-03T00:00:00Z"/>
        <d v="2016-12-04T00:00:00Z"/>
        <d v="2016-12-06T00:00:00Z"/>
        <d v="2016-12-07T00:00:00Z"/>
        <d v="2016-12-08T00:00:00Z"/>
        <d v="2016-12-09T00:00:00Z"/>
        <d v="2016-12-10T00:00:00Z"/>
        <d v="2016-12-11T00:00:00Z"/>
        <d v="2016-12-12T00:00:00Z"/>
        <d v="2016-12-13T00:00:00Z"/>
        <d v="2016-12-15T00:00:00Z"/>
        <d v="2016-12-16T00:00:00Z"/>
        <d v="2016-12-17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6T00:00:00Z"/>
        <d v="2016-12-27T00:00:00Z"/>
        <d v="2016-12-28T00:00:00Z"/>
        <d v="2016-12-29T00:00:00Z"/>
        <d v="2016-12-30T00:00:00Z"/>
        <d v="2017-01-03T00:00:00Z"/>
        <d v="2017-01-04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4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3T00:00:00Z"/>
        <d v="2017-02-14T00:00:00Z"/>
        <d v="2017-02-15T00:00:00Z"/>
        <d v="2017-02-16T00:00:00Z"/>
        <d v="2017-02-18T00:00:00Z"/>
        <d v="2017-02-19T00:00:00Z"/>
        <d v="2017-02-20T00:00:00Z"/>
        <d v="2017-02-21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1T00:00:00Z"/>
        <d v="2017-03-12T00:00:00Z"/>
        <d v="2017-03-13T00:00:00Z"/>
        <d v="2017-03-15T00:00:00Z"/>
        <d v="2017-03-16T00:00:00Z"/>
        <d v="2017-03-18T00:00:00Z"/>
        <d v="2017-03-19T00:00:00Z"/>
        <d v="2017-03-20T00:00:00Z"/>
        <d v="2017-03-22T00:00:00Z"/>
        <d v="2017-03-23T00:00:00Z"/>
        <d v="2017-03-24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9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7T00:00:00Z"/>
        <d v="2017-04-28T00:00:00Z"/>
        <d v="2017-04-29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1T00:00:00Z"/>
        <d v="2017-05-13T00:00:00Z"/>
        <d v="2017-05-14T00:00:00Z"/>
        <d v="2017-05-15T00:00:00Z"/>
        <d v="2017-05-16T00:00:00Z"/>
        <d v="2017-05-18T00:00:00Z"/>
        <d v="2017-05-19T00:00:00Z"/>
        <d v="2017-05-20T00:00:00Z"/>
        <d v="2017-05-21T00:00:00Z"/>
        <d v="2017-05-22T00:00:00Z"/>
        <d v="2017-05-23T00:00:00Z"/>
        <d v="2017-05-24T00:00:00Z"/>
        <d v="2017-05-25T00:00:00Z"/>
        <d v="2017-05-26T00:00:00Z"/>
        <d v="2017-05-27T00:00:00Z"/>
        <d v="2017-05-28T00:00:00Z"/>
        <d v="2017-05-29T00:00:00Z"/>
        <d v="2017-05-30T00:00:00Z"/>
        <d v="2017-05-31T00:00:00Z"/>
        <d v="2017-06-02T00:00:00Z"/>
        <d v="2017-06-03T00:00:00Z"/>
        <d v="2017-06-05T00:00:00Z"/>
        <d v="2017-06-07T00:00:00Z"/>
        <d v="2017-06-09T00:00:00Z"/>
        <d v="2017-06-10T00:00:00Z"/>
        <d v="2017-06-11T00:00:00Z"/>
        <d v="2017-06-12T00:00:00Z"/>
        <d v="2017-06-13T00:00:00Z"/>
        <d v="2017-06-14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6T00:00:00Z"/>
        <d v="2017-06-27T00:00:00Z"/>
        <d v="2017-06-30T00:00:00Z"/>
        <d v="2017-07-02T00:00:00Z"/>
        <d v="2017-07-04T00:00:00Z"/>
        <d v="2017-07-06T00:00:00Z"/>
        <d v="2017-07-07T00:00:00Z"/>
        <d v="2017-07-09T00:00:00Z"/>
        <d v="2017-07-11T00:00:00Z"/>
        <d v="2017-07-12T00:00:00Z"/>
        <d v="2017-07-13T00:00:00Z"/>
        <d v="2017-07-14T00:00:00Z"/>
        <d v="2017-07-15T00:00:00Z"/>
        <d v="2017-07-16T00:00:00Z"/>
        <d v="2017-07-18T00:00:00Z"/>
        <d v="2017-07-19T00:00:00Z"/>
        <d v="2017-07-20T00:00:00Z"/>
        <d v="2017-07-22T00:00:00Z"/>
        <d v="2017-07-23T00:00:00Z"/>
        <d v="2017-07-26T00:00:00Z"/>
        <d v="2017-07-27T00:00:00Z"/>
        <d v="2017-07-29T00:00:00Z"/>
        <d v="2017-07-30T00:00:00Z"/>
        <d v="2017-07-31T00:00:00Z"/>
        <d v="2017-08-02T00:00:00Z"/>
        <d v="2017-08-04T00:00:00Z"/>
        <d v="2017-08-06T00:00:00Z"/>
        <d v="2017-08-07T00:00:00Z"/>
        <d v="2017-08-08T00:00:00Z"/>
        <d v="2017-08-09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1T00:00:00Z"/>
        <d v="2017-09-01T00:00:00Z"/>
        <d v="2017-09-02T00:00:00Z"/>
        <d v="2017-09-03T00:00:00Z"/>
        <d v="2017-09-04T00:00:00Z"/>
        <d v="2017-09-05T00:00:00Z"/>
        <d v="2017-09-06T00:00:00Z"/>
        <d v="2017-09-07T00:00:00Z"/>
        <d v="2017-09-08T00:00:00Z"/>
        <d v="2017-09-10T00:00:00Z"/>
        <d v="2017-09-11T00:00:00Z"/>
        <d v="2017-09-12T00:00:00Z"/>
        <d v="2017-09-13T00:00:00Z"/>
        <d v="2017-09-14T00:00:00Z"/>
        <d v="2017-09-15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7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7T00:00:00Z"/>
        <d v="2017-10-08T00:00:00Z"/>
        <d v="2017-10-09T00:00:00Z"/>
        <d v="2017-10-10T00:00:00Z"/>
        <d v="2017-10-12T00:00:00Z"/>
        <d v="2017-10-13T00:00:00Z"/>
        <d v="2017-10-14T00:00:00Z"/>
        <d v="2017-10-15T00:00:00Z"/>
        <d v="2017-10-16T00:00:00Z"/>
        <d v="2017-10-17T00:00:00Z"/>
        <d v="2017-10-19T00:00:00Z"/>
        <d v="2017-10-21T00:00:00Z"/>
        <d v="2017-10-22T00:00:00Z"/>
        <d v="2017-10-23T00:00:00Z"/>
        <d v="2017-10-24T00:00:00Z"/>
        <d v="2017-10-25T00:00:00Z"/>
        <d v="2017-10-26T00:00:00Z"/>
        <d v="2017-10-27T00:00:00Z"/>
        <d v="2017-10-28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7T00:00:00Z"/>
        <d v="2017-12-08T00:00:00Z"/>
        <d v="2017-12-09T00:00:00Z"/>
        <d v="2017-12-10T00:00:00Z"/>
        <d v="2017-12-11T00:00:00Z"/>
        <d v="2017-12-14T00:00:00Z"/>
        <d v="2017-12-15T00:00:00Z"/>
        <d v="2017-12-16T00:00:00Z"/>
        <d v="2017-12-17T00:00:00Z"/>
        <d v="2017-12-20T00:00:00Z"/>
        <d v="2017-12-22T00:00:00Z"/>
        <d v="2017-12-24T00:00:00Z"/>
        <d v="2017-12-25T00:00:00Z"/>
        <d v="2017-12-26T00:00:00Z"/>
        <d v="2017-12-27T00:00:00Z"/>
        <d v="2017-12-28T00:00:00Z"/>
        <d v="2017-12-30T00:00:00Z"/>
        <d v="2017-12-31T00:00:00Z"/>
        <d v="2018-01-01T00:00:00Z"/>
        <d v="2018-01-02T00:00:00Z"/>
        <d v="2018-01-04T00:00:00Z"/>
        <d v="2018-01-05T00:00:00Z"/>
        <d v="2018-01-06T00:00:00Z"/>
        <d v="2018-01-07T00:00:00Z"/>
        <d v="2018-01-09T00:00:00Z"/>
        <d v="2018-01-10T00:00:00Z"/>
        <d v="2018-01-11T00:00:00Z"/>
        <d v="2018-01-12T00:00:00Z"/>
        <d v="2018-01-13T00:00:00Z"/>
        <d v="2018-01-14T00:00:00Z"/>
        <d v="2018-01-15T00:00:00Z"/>
        <d v="2018-01-16T00:00:00Z"/>
        <d v="2018-01-17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2-01T00:00:00Z"/>
        <d v="2018-02-02T00:00:00Z"/>
        <d v="2018-02-05T00:00:00Z"/>
        <d v="2018-02-06T00:00:00Z"/>
        <d v="2018-02-07T00:00:00Z"/>
        <d v="2018-02-08T00:00:00Z"/>
        <d v="2018-02-09T00:00:00Z"/>
        <d v="2018-02-11T00:00:00Z"/>
        <d v="2018-02-12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1T00:00:00Z"/>
        <d v="2018-02-23T00:00:00Z"/>
        <d v="2018-02-25T00:00:00Z"/>
        <d v="2018-02-26T00:00:00Z"/>
        <d v="2018-02-27T00:00:00Z"/>
        <d v="2018-03-01T00:00:00Z"/>
        <d v="2018-03-03T00:00:00Z"/>
        <d v="2018-03-04T00:00:00Z"/>
        <d v="2018-03-05T00:00:00Z"/>
        <d v="2018-03-06T00:00:00Z"/>
        <d v="2018-03-07T00:00:00Z"/>
        <d v="2018-03-08T00:00:00Z"/>
        <d v="2018-03-10T00:00:00Z"/>
        <d v="2018-03-11T00:00:00Z"/>
        <d v="2018-03-14T00:00:00Z"/>
        <d v="2018-03-15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6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6-17T00:00:00Z"/>
        <d v="2018-07-01T00:00:00Z"/>
        <d v="2018-07-10T00:00:00Z"/>
        <d v="2018-07-11T00:00:00Z"/>
        <d v="2018-07-12T00:00:00Z"/>
        <d v="2018-08-23T00:00:00Z"/>
        <d v="2018-08-25T00:00:00Z"/>
        <d v="2018-09-06T00:00:00Z"/>
        <d v="2018-10-21T00:00:00Z"/>
        <d v="2018-11-18T00:00:00Z"/>
        <d v="2018-11-28T00:00:00Z"/>
        <d v="2018-12-28T00:00:00Z"/>
        <m/>
      </sharedItems>
    </cacheField>
    <cacheField name="required_date" numFmtId="164">
      <sharedItems containsDate="1" containsString="0" containsBlank="1">
        <d v="2016-01-03T00:00:00Z"/>
        <d v="2016-01-04T00:00:00Z"/>
        <d v="2016-01-05T00:00:00Z"/>
        <d v="2016-01-06T00:00:00Z"/>
        <d v="2016-01-07T00:00:00Z"/>
        <d v="2016-01-08T00:00:00Z"/>
        <d v="2016-01-11T00:00:00Z"/>
        <d v="2016-01-10T00:00:00Z"/>
        <d v="2016-01-15T00:00:00Z"/>
        <d v="2016-01-14T00:00:00Z"/>
        <d v="2016-01-17T00:00:00Z"/>
        <d v="2016-01-16T00:00:00Z"/>
        <d v="2016-01-18T00:00:00Z"/>
        <d v="2016-01-19T00:00:00Z"/>
        <d v="2016-01-20T00:00:00Z"/>
        <d v="2016-01-21T00:00:00Z"/>
        <d v="2016-01-22T00:00:00Z"/>
        <d v="2016-01-24T00:00:00Z"/>
        <d v="2016-01-25T00:00:00Z"/>
        <d v="2016-01-28T00:00:00Z"/>
        <d v="2016-01-27T00:00:00Z"/>
        <d v="2016-01-26T00:00:00Z"/>
        <d v="2016-01-30T00:00:00Z"/>
        <d v="2016-01-31T00:00:00Z"/>
        <d v="2016-02-01T00:00:00Z"/>
        <d v="2016-02-03T00:00:00Z"/>
        <d v="2016-02-02T00:00:00Z"/>
        <d v="2016-02-04T00:00:00Z"/>
        <d v="2016-02-07T00:00:00Z"/>
        <d v="2016-02-06T00:00:00Z"/>
        <d v="2016-02-08T00:00:00Z"/>
        <d v="2016-02-09T00:00:00Z"/>
        <d v="2016-02-10T00:00:00Z"/>
        <d v="2016-02-12T00:00:00Z"/>
        <d v="2016-02-11T00:00:00Z"/>
        <d v="2016-02-14T00:00:00Z"/>
        <d v="2016-02-15T00:00:00Z"/>
        <d v="2016-02-16T00:00:00Z"/>
        <d v="2016-02-19T00:00:00Z"/>
        <d v="2016-02-18T00:00:00Z"/>
        <d v="2016-02-20T00:00:00Z"/>
        <d v="2016-02-21T00:00:00Z"/>
        <d v="2016-02-22T00:00:00Z"/>
        <d v="2016-02-23T00:00:00Z"/>
        <d v="2016-02-24T00:00:00Z"/>
        <d v="2016-02-25T00:00:00Z"/>
        <d v="2016-02-27T00:00:00Z"/>
        <d v="2016-02-28T00:00:00Z"/>
        <d v="2016-02-29T00:00:00Z"/>
        <d v="2016-03-01T00:00:00Z"/>
        <d v="2016-03-04T00:00:00Z"/>
        <d v="2016-03-05T00:00:00Z"/>
        <d v="2016-03-06T00:00:00Z"/>
        <d v="2016-03-09T00:00:00Z"/>
        <d v="2016-03-08T00:00:00Z"/>
        <d v="2016-03-10T00:00:00Z"/>
        <d v="2016-03-11T00:00:00Z"/>
        <d v="2016-03-13T00:00:00Z"/>
        <d v="2016-03-14T00:00:00Z"/>
        <d v="2016-03-15T00:00:00Z"/>
        <d v="2016-03-16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6T00:00:00Z"/>
        <d v="2016-04-04T00:00:00Z"/>
        <d v="2016-04-07T00:00:00Z"/>
        <d v="2016-04-08T00:00:00Z"/>
        <d v="2016-04-10T00:00:00Z"/>
        <d v="2016-04-11T00:00:00Z"/>
        <d v="2016-04-09T00:00:00Z"/>
        <d v="2016-04-12T00:00:00Z"/>
        <d v="2016-04-14T00:00:00Z"/>
        <d v="2016-04-13T00:00:00Z"/>
        <d v="2016-04-16T00:00:00Z"/>
        <d v="2016-04-19T00:00:00Z"/>
        <d v="2016-04-17T00:00:00Z"/>
        <d v="2016-04-20T00:00:00Z"/>
        <d v="2016-04-21T00:00:00Z"/>
        <d v="2016-04-22T00:00:00Z"/>
        <d v="2016-04-23T00:00:00Z"/>
        <d v="2016-04-24T00:00:00Z"/>
        <d v="2016-04-25T00:00:00Z"/>
        <d v="2016-04-28T00:00:00Z"/>
        <d v="2016-04-30T00:00:00Z"/>
        <d v="2016-05-01T00:00:00Z"/>
        <d v="2016-05-03T00:00:00Z"/>
        <d v="2016-05-04T00:00:00Z"/>
        <d v="2016-05-05T00:00:00Z"/>
        <d v="2016-05-07T00:00:00Z"/>
        <d v="2016-05-06T00:00:00Z"/>
        <d v="2016-05-08T00:00:00Z"/>
        <d v="2016-05-09T00:00:00Z"/>
        <d v="2016-05-12T00:00:00Z"/>
        <d v="2016-05-13T00:00:00Z"/>
        <d v="2016-05-14T00:00:00Z"/>
        <d v="2016-05-15T00:00:00Z"/>
        <d v="2016-05-16T00:00:00Z"/>
        <d v="2016-05-18T00:00:00Z"/>
        <d v="2016-05-20T00:00:00Z"/>
        <d v="2016-05-19T00:00:00Z"/>
        <d v="2016-05-21T00:00:00Z"/>
        <d v="2016-05-22T00:00:00Z"/>
        <d v="2016-05-23T00:00:00Z"/>
        <d v="2016-05-24T00:00:00Z"/>
        <d v="2016-05-25T00:00:00Z"/>
        <d v="2016-05-27T00:00:00Z"/>
        <d v="2016-05-26T00:00:00Z"/>
        <d v="2016-05-29T00:00:00Z"/>
        <d v="2016-05-30T00:00:00Z"/>
        <d v="2016-05-31T00:00:00Z"/>
        <d v="2016-06-01T00:00:00Z"/>
        <d v="2016-06-04T00:00:00Z"/>
        <d v="2016-06-02T00:00:00Z"/>
        <d v="2016-06-05T00:00:00Z"/>
        <d v="2016-06-06T00:00:00Z"/>
        <d v="2016-06-07T00:00:00Z"/>
        <d v="2016-06-09T00:00:00Z"/>
        <d v="2016-06-08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8T00:00:00Z"/>
        <d v="2016-06-19T00:00:00Z"/>
        <d v="2016-06-20T00:00:00Z"/>
        <d v="2016-06-23T00:00:00Z"/>
        <d v="2016-06-22T00:00:00Z"/>
        <d v="2016-06-25T00:00:00Z"/>
        <d v="2016-06-26T00:00:00Z"/>
        <d v="2016-06-28T00:00:00Z"/>
        <d v="2016-06-29T00:00:00Z"/>
        <d v="2016-06-30T00:00:00Z"/>
        <d v="2016-07-03T00:00:00Z"/>
        <d v="2016-07-02T00:00:00Z"/>
        <d v="2016-07-04T00:00:00Z"/>
        <d v="2016-07-07T00:00:00Z"/>
        <d v="2016-07-05T00:00:00Z"/>
        <d v="2016-07-06T00:00:00Z"/>
        <d v="2016-07-08T00:00:00Z"/>
        <d v="2016-07-09T00:00:00Z"/>
        <d v="2016-07-10T00:00:00Z"/>
        <d v="2016-07-11T00:00:00Z"/>
        <d v="2016-07-12T00:00:00Z"/>
        <d v="2016-07-13T00:00:00Z"/>
        <d v="2016-07-14T00:00:00Z"/>
        <d v="2016-07-15T00:00:00Z"/>
        <d v="2016-07-17T00:00:00Z"/>
        <d v="2016-07-19T00:00:00Z"/>
        <d v="2016-07-20T00:00:00Z"/>
        <d v="2016-07-21T00:00:00Z"/>
        <d v="2016-07-22T00:00:00Z"/>
        <d v="2016-07-24T00:00:00Z"/>
        <d v="2016-07-26T00:00:00Z"/>
        <d v="2016-07-27T00:00:00Z"/>
        <d v="2016-07-28T00:00:00Z"/>
        <d v="2016-07-29T00:00:00Z"/>
        <d v="2016-07-31T00:00:00Z"/>
        <d v="2016-07-30T00:00:00Z"/>
        <d v="2016-08-03T00:00:00Z"/>
        <d v="2016-08-01T00:00:00Z"/>
        <d v="2016-08-02T00:00:00Z"/>
        <d v="2016-08-04T00:00:00Z"/>
        <d v="2016-08-05T00:00:00Z"/>
        <d v="2016-08-06T00:00:00Z"/>
        <d v="2016-08-07T00:00:00Z"/>
        <d v="2016-08-10T00:00:00Z"/>
        <d v="2016-08-09T00:00:00Z"/>
        <d v="2016-08-11T00:00:00Z"/>
        <d v="2016-08-12T00:00:00Z"/>
        <d v="2016-08-14T00:00:00Z"/>
        <d v="2016-08-15T00:00:00Z"/>
        <d v="2016-08-18T00:00:00Z"/>
        <d v="2016-08-16T00:00:00Z"/>
        <d v="2016-08-19T00:00:00Z"/>
        <d v="2016-08-20T00:00:00Z"/>
        <d v="2016-08-21T00:00:00Z"/>
        <d v="2016-08-23T00:00:00Z"/>
        <d v="2016-08-22T00:00:00Z"/>
        <d v="2016-08-24T00:00:00Z"/>
        <d v="2016-08-26T00:00:00Z"/>
        <d v="2016-08-28T00:00:00Z"/>
        <d v="2016-08-27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7T00:00:00Z"/>
        <d v="2016-09-09T00:00:00Z"/>
        <d v="2016-09-11T00:00:00Z"/>
        <d v="2016-09-10T00:00:00Z"/>
        <d v="2016-09-12T00:00:00Z"/>
        <d v="2016-09-13T00:00:00Z"/>
        <d v="2016-09-15T00:00:00Z"/>
        <d v="2016-09-19T00:00:00Z"/>
        <d v="2016-09-18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30T00:00:00Z"/>
        <d v="2016-10-01T00:00:00Z"/>
        <d v="2016-09-29T00:00:00Z"/>
        <d v="2016-10-02T00:00:00Z"/>
        <d v="2016-10-04T00:00:00Z"/>
        <d v="2016-10-05T00:00:00Z"/>
        <d v="2016-10-07T00:00:00Z"/>
        <d v="2016-10-06T00:00:00Z"/>
        <d v="2016-10-09T00:00:00Z"/>
        <d v="2016-10-08T00:00:00Z"/>
        <d v="2016-10-10T00:00:00Z"/>
        <d v="2016-10-12T00:00:00Z"/>
        <d v="2016-10-11T00:00:00Z"/>
        <d v="2016-10-14T00:00:00Z"/>
        <d v="2016-10-13T00:00:00Z"/>
        <d v="2016-10-16T00:00:00Z"/>
        <d v="2016-10-15T00:00:00Z"/>
        <d v="2016-10-17T00:00:00Z"/>
        <d v="2016-10-18T00:00:00Z"/>
        <d v="2016-10-20T00:00:00Z"/>
        <d v="2016-10-22T00:00:00Z"/>
        <d v="2016-10-21T00:00:00Z"/>
        <d v="2016-10-23T00:00:00Z"/>
        <d v="2016-10-24T00:00:00Z"/>
        <d v="2016-10-26T00:00:00Z"/>
        <d v="2016-10-25T00:00:00Z"/>
        <d v="2016-10-28T00:00:00Z"/>
        <d v="2016-10-29T00:00:00Z"/>
        <d v="2016-10-31T00:00:00Z"/>
        <d v="2016-10-30T00:00:00Z"/>
        <d v="2016-11-01T00:00:00Z"/>
        <d v="2016-11-02T00:00:00Z"/>
        <d v="2016-11-05T00:00:00Z"/>
        <d v="2016-11-04T00:00:00Z"/>
        <d v="2016-11-07T00:00:00Z"/>
        <d v="2016-11-06T00:00:00Z"/>
        <d v="2016-11-09T00:00:00Z"/>
        <d v="2016-11-10T00:00:00Z"/>
        <d v="2016-11-12T00:00:00Z"/>
        <d v="2016-11-11T00:00:00Z"/>
        <d v="2016-11-13T00:00:00Z"/>
        <d v="2016-11-14T00:00:00Z"/>
        <d v="2016-11-15T00:00:00Z"/>
        <d v="2016-11-17T00:00:00Z"/>
        <d v="2016-11-16T00:00:00Z"/>
        <d v="2016-11-19T00:00:00Z"/>
        <d v="2016-11-22T00:00:00Z"/>
        <d v="2016-11-20T00:00:00Z"/>
        <d v="2016-11-23T00:00:00Z"/>
        <d v="2016-11-25T00:00:00Z"/>
        <d v="2016-11-24T00:00:00Z"/>
        <d v="2016-11-26T00:00:00Z"/>
        <d v="2016-11-27T00:00:00Z"/>
        <d v="2016-11-28T00:00:00Z"/>
        <d v="2016-11-30T00:00:00Z"/>
        <d v="2016-12-02T00:00:00Z"/>
        <d v="2016-12-05T00:00:00Z"/>
        <d v="2016-12-04T00:00:00Z"/>
        <d v="2016-12-06T00:00:00Z"/>
        <d v="2016-12-08T00:00:00Z"/>
        <d v="2016-12-07T00:00:00Z"/>
        <d v="2016-12-09T00:00:00Z"/>
        <d v="2016-12-10T00:00:00Z"/>
        <d v="2016-12-12T00:00:00Z"/>
        <d v="2016-12-13T00:00:00Z"/>
        <d v="2016-12-11T00:00:00Z"/>
        <d v="2016-12-14T00:00:00Z"/>
        <d v="2016-12-15T00:00:00Z"/>
        <d v="2016-12-17T00:00:00Z"/>
        <d v="2016-12-19T00:00:00Z"/>
        <d v="2016-12-21T00:00:00Z"/>
        <d v="2016-12-22T00:00:00Z"/>
        <d v="2016-12-23T00:00:00Z"/>
        <d v="2016-12-25T00:00:00Z"/>
        <d v="2016-12-24T00:00:00Z"/>
        <d v="2016-12-26T00:00:00Z"/>
        <d v="2016-12-28T00:00:00Z"/>
        <d v="2016-12-29T00:00:00Z"/>
        <d v="2016-12-27T00:00:00Z"/>
        <d v="2016-12-31T00:00:00Z"/>
        <d v="2017-01-01T00:00:00Z"/>
        <d v="2017-01-02T00:00:00Z"/>
        <d v="2017-01-04T00:00:00Z"/>
        <d v="2017-01-05T00:00:00Z"/>
        <d v="2017-01-07T00:00:00Z"/>
        <d v="2017-01-08T00:00:00Z"/>
        <d v="2017-01-10T00:00:00Z"/>
        <d v="2017-01-09T00:00:00Z"/>
        <d v="2017-01-11T00:00:00Z"/>
        <d v="2017-01-12T00:00:00Z"/>
        <d v="2017-01-14T00:00:00Z"/>
        <d v="2017-01-13T00:00:00Z"/>
        <d v="2017-01-15T00:00:00Z"/>
        <d v="2017-01-17T00:00:00Z"/>
        <d v="2017-01-19T00:00:00Z"/>
        <d v="2017-01-18T00:00:00Z"/>
        <d v="2017-01-20T00:00:00Z"/>
        <d v="2017-01-22T00:00:00Z"/>
        <d v="2017-01-23T00:00:00Z"/>
        <d v="2017-01-24T00:00:00Z"/>
        <d v="2017-01-25T00:00:00Z"/>
        <d v="2017-01-28T00:00:00Z"/>
        <d v="2017-01-29T00:00:00Z"/>
        <d v="2017-01-31T00:00:00Z"/>
        <d v="2017-01-30T00:00:00Z"/>
        <d v="2017-02-01T00:00:00Z"/>
        <d v="2017-02-03T00:00:00Z"/>
        <d v="2017-02-05T00:00:00Z"/>
        <d v="2017-02-04T00:00:00Z"/>
        <d v="2017-02-06T00:00:00Z"/>
        <d v="2017-02-07T00:00:00Z"/>
        <d v="2017-02-08T00:00:00Z"/>
        <d v="2017-02-10T00:00:00Z"/>
        <d v="2017-02-09T00:00:00Z"/>
        <d v="2017-02-11T00:00:00Z"/>
        <d v="2017-02-12T00:00:00Z"/>
        <d v="2017-02-13T00:00:00Z"/>
        <d v="2017-02-15T00:00:00Z"/>
        <d v="2017-02-16T00:00:00Z"/>
        <d v="2017-02-14T00:00:00Z"/>
        <d v="2017-02-17T00:00:00Z"/>
        <d v="2017-02-18T00:00:00Z"/>
        <d v="2017-02-19T00:00:00Z"/>
        <d v="2017-02-20T00:00:00Z"/>
        <d v="2017-02-21T00:00:00Z"/>
        <d v="2017-02-22T00:00:00Z"/>
        <d v="2017-02-24T00:00:00Z"/>
        <d v="2017-02-27T00:00:00Z"/>
        <d v="2017-03-01T00:00:00Z"/>
        <d v="2017-02-28T00:00:00Z"/>
        <d v="2017-03-04T00:00:00Z"/>
        <d v="2017-03-02T00:00:00Z"/>
        <d v="2017-03-03T00:00:00Z"/>
        <d v="2017-03-05T00:00:00Z"/>
        <d v="2017-03-07T00:00:00Z"/>
        <d v="2017-03-08T00:00:00Z"/>
        <d v="2017-03-06T00:00:00Z"/>
        <d v="2017-03-09T00:00:00Z"/>
        <d v="2017-03-10T00:00:00Z"/>
        <d v="2017-03-11T00:00:00Z"/>
        <d v="2017-03-12T00:00:00Z"/>
        <d v="2017-03-14T00:00:00Z"/>
        <d v="2017-03-13T00:00:00Z"/>
        <d v="2017-03-15T00:00:00Z"/>
        <d v="2017-03-16T00:00:00Z"/>
        <d v="2017-03-17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8T00:00:00Z"/>
        <d v="2017-03-29T00:00:00Z"/>
        <d v="2017-03-31T00:00:00Z"/>
        <d v="2017-03-30T00:00:00Z"/>
        <d v="2017-04-01T00:00:00Z"/>
        <d v="2017-04-02T00:00:00Z"/>
        <d v="2017-04-03T00:00:00Z"/>
        <d v="2017-04-04T00:00:00Z"/>
        <d v="2017-04-05T00:00:00Z"/>
        <d v="2017-04-07T00:00:00Z"/>
        <d v="2017-04-08T00:00:00Z"/>
        <d v="2017-04-09T00:00:00Z"/>
        <d v="2017-04-10T00:00:00Z"/>
        <d v="2017-04-14T00:00:00Z"/>
        <d v="2017-04-12T00:00:00Z"/>
        <d v="2017-04-13T00:00:00Z"/>
        <d v="2017-04-15T00:00:00Z"/>
        <d v="2017-04-16T00:00:00Z"/>
        <d v="2017-04-17T00:00:00Z"/>
        <d v="2017-04-18T00:00:00Z"/>
        <d v="2017-04-19T00:00:00Z"/>
        <d v="2017-04-20T00:00:00Z"/>
        <d v="2017-04-22T00:00:00Z"/>
        <d v="2017-04-21T00:00:00Z"/>
        <d v="2017-04-23T00:00:00Z"/>
        <d v="2017-04-24T00:00:00Z"/>
        <d v="2017-04-25T00:00:00Z"/>
        <d v="2017-04-27T00:00:00Z"/>
        <d v="2017-04-26T00:00:00Z"/>
        <d v="2017-04-29T00:00:00Z"/>
        <d v="2017-04-30T00:00:00Z"/>
        <d v="2017-05-02T00:00:00Z"/>
        <d v="2017-05-03T00:00:00Z"/>
        <d v="2017-05-04T00:00:00Z"/>
        <d v="2017-05-06T00:00:00Z"/>
        <d v="2017-05-05T00:00:00Z"/>
        <d v="2017-05-08T00:00:00Z"/>
        <d v="2017-05-07T00:00:00Z"/>
        <d v="2017-05-10T00:00:00Z"/>
        <d v="2017-05-09T00:00:00Z"/>
        <d v="2017-05-11T00:00:00Z"/>
        <d v="2017-05-12T00:00:00Z"/>
        <d v="2017-05-13T00:00:00Z"/>
        <d v="2017-05-14T00:00:00Z"/>
        <d v="2017-05-15T00:00:00Z"/>
        <d v="2017-05-16T00:00:00Z"/>
        <d v="2017-05-17T00:00:00Z"/>
        <d v="2017-05-18T00:00:00Z"/>
        <d v="2017-05-19T00:00:00Z"/>
        <d v="2017-05-21T00:00:00Z"/>
        <d v="2017-05-22T00:00:00Z"/>
        <d v="2017-05-24T00:00:00Z"/>
        <d v="2017-05-23T00:00:00Z"/>
        <d v="2017-05-26T00:00:00Z"/>
        <d v="2017-05-28T00:00:00Z"/>
        <d v="2017-05-27T00:00:00Z"/>
        <d v="2017-05-29T00:00:00Z"/>
        <d v="2017-05-31T00:00:00Z"/>
        <d v="2017-05-30T00:00:00Z"/>
        <d v="2017-06-01T00:00:00Z"/>
        <d v="2017-06-02T00:00:00Z"/>
        <d v="2017-06-03T00:00:00Z"/>
        <d v="2017-06-05T00:00:00Z"/>
        <d v="2017-06-06T00:00:00Z"/>
        <d v="2017-06-08T00:00:00Z"/>
        <d v="2017-06-10T00:00:00Z"/>
        <d v="2017-06-13T00:00:00Z"/>
        <d v="2017-06-14T00:00:00Z"/>
        <d v="2017-06-12T00:00:00Z"/>
        <d v="2017-06-16T00:00:00Z"/>
        <d v="2017-06-15T00:00:00Z"/>
        <d v="2017-06-18T00:00:00Z"/>
        <d v="2017-06-17T00:00:00Z"/>
        <d v="2017-06-19T00:00:00Z"/>
        <d v="2017-06-20T00:00:00Z"/>
        <d v="2017-06-21T00:00:00Z"/>
        <d v="2017-06-22T00:00:00Z"/>
        <d v="2017-06-24T00:00:00Z"/>
        <d v="2017-06-23T00:00:00Z"/>
        <d v="2017-06-25T00:00:00Z"/>
        <d v="2017-06-27T00:00:00Z"/>
        <d v="2017-06-28T00:00:00Z"/>
        <d v="2017-06-29T00:00:00Z"/>
        <d v="2017-07-02T00:00:00Z"/>
        <d v="2017-07-03T00:00:00Z"/>
        <d v="2017-07-04T00:00:00Z"/>
        <d v="2017-07-07T00:00:00Z"/>
        <d v="2017-07-10T00:00:00Z"/>
        <d v="2017-07-11T00:00:00Z"/>
        <d v="2017-07-13T00:00:00Z"/>
        <d v="2017-07-12T00:00:00Z"/>
        <d v="2017-07-14T00:00:00Z"/>
        <d v="2017-07-16T00:00:00Z"/>
        <d v="2017-07-17T00:00:00Z"/>
        <d v="2017-07-18T00:00:00Z"/>
        <d v="2017-07-19T00:00:00Z"/>
        <d v="2017-07-21T00:00:00Z"/>
        <d v="2017-07-20T00:00:00Z"/>
        <d v="2017-07-22T00:00:00Z"/>
        <d v="2017-07-23T00:00:00Z"/>
        <d v="2017-07-24T00:00:00Z"/>
        <d v="2017-07-26T00:00:00Z"/>
        <d v="2017-07-25T00:00:00Z"/>
        <d v="2017-07-28T00:00:00Z"/>
        <d v="2017-07-30T00:00:00Z"/>
        <d v="2017-08-01T00:00:00Z"/>
        <d v="2017-08-02T00:00:00Z"/>
        <d v="2017-07-31T00:00:00Z"/>
        <d v="2017-08-04T00:00:00Z"/>
        <d v="2017-08-07T00:00:00Z"/>
        <d v="2017-08-06T00:00:00Z"/>
        <d v="2017-08-09T00:00:00Z"/>
        <d v="2017-08-10T00:00:00Z"/>
        <d v="2017-08-08T00:00:00Z"/>
        <d v="2017-08-11T00:00:00Z"/>
        <d v="2017-08-12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6T00:00:00Z"/>
        <d v="2017-08-25T00:00:00Z"/>
        <d v="2017-08-28T00:00:00Z"/>
        <d v="2017-08-27T00:00:00Z"/>
        <d v="2017-08-29T00:00:00Z"/>
        <d v="2017-08-30T00:00:00Z"/>
        <d v="2017-08-31T00:00:00Z"/>
        <d v="2017-09-02T00:00:00Z"/>
        <d v="2017-09-04T00:00:00Z"/>
        <d v="2017-09-05T00:00:00Z"/>
        <d v="2017-09-07T00:00:00Z"/>
        <d v="2017-09-06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20T00:00:00Z"/>
        <d v="2017-09-21T00:00:00Z"/>
        <d v="2017-09-22T00:00:00Z"/>
        <d v="2017-09-23T00:00:00Z"/>
        <d v="2017-09-26T00:00:00Z"/>
        <d v="2017-09-27T00:00:00Z"/>
        <d v="2017-09-30T00:00:00Z"/>
        <d v="2017-10-01T00:00:00Z"/>
        <d v="2017-10-02T00:00:00Z"/>
        <d v="2017-10-03T00:00:00Z"/>
        <d v="2017-10-04T00:00:00Z"/>
        <d v="2017-10-07T00:00:00Z"/>
        <d v="2017-10-05T00:00:00Z"/>
        <d v="2017-10-06T00:00:00Z"/>
        <d v="2017-10-10T00:00:00Z"/>
        <d v="2017-10-11T00:00:00Z"/>
        <d v="2017-10-13T00:00:00Z"/>
        <d v="2017-10-12T00:00:00Z"/>
        <d v="2017-10-15T00:00:00Z"/>
        <d v="2017-10-16T00:00:00Z"/>
        <d v="2017-10-14T00:00:00Z"/>
        <d v="2017-10-17T00:00:00Z"/>
        <d v="2017-10-18T00:00:00Z"/>
        <d v="2017-10-19T00:00:00Z"/>
        <d v="2017-10-22T00:00:00Z"/>
        <d v="2017-10-21T00:00:00Z"/>
        <d v="2017-10-23T00:00:00Z"/>
        <d v="2017-10-24T00:00:00Z"/>
        <d v="2017-10-25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7T00:00:00Z"/>
        <d v="2017-11-06T00:00:00Z"/>
        <d v="2017-11-08T00:00:00Z"/>
        <d v="2017-11-11T00:00:00Z"/>
        <d v="2017-11-12T00:00:00Z"/>
        <d v="2017-11-10T00:00:00Z"/>
        <d v="2017-11-13T00:00:00Z"/>
        <d v="2017-11-14T00:00:00Z"/>
        <d v="2017-11-16T00:00:00Z"/>
        <d v="2017-11-18T00:00:00Z"/>
        <d v="2017-11-17T00:00:00Z"/>
        <d v="2017-11-19T00:00:00Z"/>
        <d v="2017-11-20T00:00:00Z"/>
        <d v="2017-11-21T00:00:00Z"/>
        <d v="2017-11-22T00:00:00Z"/>
        <d v="2017-11-23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3T00:00:00Z"/>
        <d v="2017-12-04T00:00:00Z"/>
        <d v="2017-12-02T00:00:00Z"/>
        <d v="2017-12-05T00:00:00Z"/>
        <d v="2017-12-07T00:00:00Z"/>
        <d v="2017-12-06T00:00:00Z"/>
        <d v="2017-12-10T00:00:00Z"/>
        <d v="2017-12-11T00:00:00Z"/>
        <d v="2017-12-13T00:00:00Z"/>
        <d v="2017-12-12T00:00:00Z"/>
        <d v="2017-12-17T00:00:00Z"/>
        <d v="2017-12-18T00:00:00Z"/>
        <d v="2017-12-19T00:00:00Z"/>
        <d v="2017-12-21T00:00:00Z"/>
        <d v="2017-12-23T00:00:00Z"/>
        <d v="2017-12-24T00:00:00Z"/>
        <d v="2017-12-25T00:00:00Z"/>
        <d v="2017-12-26T00:00:00Z"/>
        <d v="2017-12-28T00:00:00Z"/>
        <d v="2017-12-27T00:00:00Z"/>
        <d v="2017-12-29T00:00:00Z"/>
        <d v="2017-12-30T00:00:00Z"/>
        <d v="2017-12-31T00:00:00Z"/>
        <d v="2018-01-03T00:00:00Z"/>
        <d v="2018-01-01T00:00:00Z"/>
        <d v="2018-01-04T00:00:00Z"/>
        <d v="2018-01-02T00:00:00Z"/>
        <d v="2018-01-05T00:00:00Z"/>
        <d v="2018-01-06T00:00:00Z"/>
        <d v="2018-01-07T00:00:00Z"/>
        <d v="2018-01-09T00:00:00Z"/>
        <d v="2018-01-08T00:00:00Z"/>
        <d v="2018-01-10T00:00:00Z"/>
        <d v="2018-01-12T00:00:00Z"/>
        <d v="2018-01-11T00:00:00Z"/>
        <d v="2018-01-14T00:00:00Z"/>
        <d v="2018-01-13T00:00:00Z"/>
        <d v="2018-01-15T00:00:00Z"/>
        <d v="2018-01-16T00:00:00Z"/>
        <d v="2018-01-18T00:00:00Z"/>
        <d v="2018-01-17T00:00:00Z"/>
        <d v="2018-01-19T00:00:00Z"/>
        <d v="2018-01-20T00:00:00Z"/>
        <d v="2018-01-21T00:00:00Z"/>
        <d v="2018-01-23T00:00:00Z"/>
        <d v="2018-01-22T00:00:00Z"/>
        <d v="2018-01-25T00:00:00Z"/>
        <d v="2018-01-24T00:00:00Z"/>
        <d v="2018-01-28T00:00:00Z"/>
        <d v="2018-01-27T00:00:00Z"/>
        <d v="2018-01-30T00:00:00Z"/>
        <d v="2018-01-29T00:00:00Z"/>
        <d v="2018-02-01T00:00:00Z"/>
        <d v="2018-01-31T00:00:00Z"/>
        <d v="2018-02-02T00:00:00Z"/>
        <d v="2018-02-03T00:00:00Z"/>
        <d v="2018-02-05T00:00:00Z"/>
        <d v="2018-02-08T00:00:00Z"/>
        <d v="2018-02-06T00:00:00Z"/>
        <d v="2018-02-09T00:00:00Z"/>
        <d v="2018-02-10T00:00:00Z"/>
        <d v="2018-02-11T00:00:00Z"/>
        <d v="2018-02-12T00:00:00Z"/>
        <d v="2018-02-13T00:00:00Z"/>
        <d v="2018-02-14T00:00:00Z"/>
        <d v="2018-02-15T00:00:00Z"/>
        <d v="2018-02-16T00:00:00Z"/>
        <d v="2018-02-18T00:00:00Z"/>
        <d v="2018-02-17T00:00:00Z"/>
        <d v="2018-02-19T00:00:00Z"/>
        <d v="2018-02-21T00:00:00Z"/>
        <d v="2018-02-22T00:00:00Z"/>
        <d v="2018-02-26T00:00:00Z"/>
        <d v="2018-02-28T00:00:00Z"/>
        <d v="2018-02-27T00:00:00Z"/>
        <d v="2018-03-02T00:00:00Z"/>
        <d v="2018-03-03T00:00:00Z"/>
        <d v="2018-03-05T00:00:00Z"/>
        <d v="2018-03-04T00:00:00Z"/>
        <d v="2018-03-06T00:00:00Z"/>
        <d v="2018-03-07T00:00:00Z"/>
        <d v="2018-03-10T00:00:00Z"/>
        <d v="2018-03-09T00:00:00Z"/>
        <d v="2018-03-08T00:00:00Z"/>
        <d v="2018-03-13T00:00:00Z"/>
        <d v="2018-03-12T00:00:00Z"/>
        <d v="2018-03-16T00:00:00Z"/>
        <d v="2018-03-15T00:00:00Z"/>
        <d v="2018-03-17T00:00:00Z"/>
        <d v="2018-03-18T00:00:00Z"/>
        <d v="2018-03-20T00:00:00Z"/>
        <d v="2018-03-19T00:00:00Z"/>
        <d v="2018-03-22T00:00:00Z"/>
        <d v="2018-03-23T00:00:00Z"/>
        <d v="2018-03-21T00:00:00Z"/>
        <d v="2018-03-25T00:00:00Z"/>
        <d v="2018-03-24T00:00:00Z"/>
        <d v="2018-03-28T00:00:00Z"/>
        <d v="2018-03-29T00:00:00Z"/>
        <d v="2018-03-27T00:00:00Z"/>
        <d v="2018-03-30T00:00:00Z"/>
        <d v="2018-03-31T00:00:00Z"/>
        <d v="2018-04-01T00:00:00Z"/>
        <d v="2018-04-03T00:00:00Z"/>
        <d v="2018-04-02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6-17T00:00:00Z"/>
        <d v="2018-07-01T00:00:00Z"/>
        <d v="2018-07-10T00:00:00Z"/>
        <d v="2018-07-11T00:00:00Z"/>
        <d v="2018-07-12T00:00:00Z"/>
        <d v="2018-08-23T00:00:00Z"/>
        <d v="2018-08-25T00:00:00Z"/>
        <d v="2018-09-06T00:00:00Z"/>
        <d v="2018-10-21T00:00:00Z"/>
        <d v="2018-11-18T00:00:00Z"/>
        <d v="2018-11-28T00:00:00Z"/>
        <d v="2018-12-28T00:00:00Z"/>
        <m/>
      </sharedItems>
    </cacheField>
    <cacheField name="shipped_date">
      <sharedItems containsDate="1" containsBlank="1" containsMixedTypes="1">
        <d v="2016-01-03T00:00:00Z"/>
        <d v="2016-01-05T00:00:00Z"/>
        <d v="2016-01-06T00:00:00Z"/>
        <d v="2016-01-08T00:00:00Z"/>
        <d v="2016-01-07T00:00:00Z"/>
        <d v="2016-01-09T00:00:00Z"/>
        <d v="2016-01-11T00:00:00Z"/>
        <d v="2016-01-12T00:00:00Z"/>
        <d v="2016-01-15T00:00:00Z"/>
        <d v="2016-01-14T00:00:00Z"/>
        <d v="2016-01-16T00:00:00Z"/>
        <d v="2016-01-17T00:00:00Z"/>
        <d v="2016-01-18T00:00:00Z"/>
        <d v="2016-01-19T00:00:00Z"/>
        <d v="2016-01-21T00:00:00Z"/>
        <d v="2016-01-20T00:00:00Z"/>
        <d v="2016-01-22T00:00:00Z"/>
        <d v="2016-01-23T00:00:00Z"/>
        <d v="2016-01-24T00:00:00Z"/>
        <d v="2016-01-26T00:00:00Z"/>
        <d v="2016-01-29T00:00:00Z"/>
        <d v="2016-01-30T00:00:00Z"/>
        <d v="2016-01-31T00:00:00Z"/>
        <d v="2016-02-02T00:00:00Z"/>
        <d v="2016-02-03T00:00:00Z"/>
        <d v="2016-02-05T00:00:00Z"/>
        <d v="2016-02-07T00:00:00Z"/>
        <d v="2016-02-06T00:00:00Z"/>
        <d v="2016-02-09T00:00:00Z"/>
        <d v="2016-02-10T00:00:00Z"/>
        <d v="2016-02-11T00:00:00Z"/>
        <d v="2016-02-12T00:00:00Z"/>
        <d v="2016-02-13T00:00:00Z"/>
        <s v="NULL"/>
        <d v="2016-02-14T00:00:00Z"/>
        <d v="2016-02-15T00:00:00Z"/>
        <d v="2016-02-17T00:00:00Z"/>
        <d v="2016-02-19T00:00:00Z"/>
        <d v="2016-02-20T00:00:00Z"/>
        <d v="2016-02-18T00:00:00Z"/>
        <d v="2016-02-21T00:00:00Z"/>
        <d v="2016-02-23T00:00:00Z"/>
        <d v="2016-02-24T00:00:00Z"/>
        <d v="2016-02-28T00:00:00Z"/>
        <d v="2016-02-27T00:00:00Z"/>
        <d v="2016-02-29T00:00:00Z"/>
        <d v="2016-03-01T00:00:00Z"/>
        <d v="2016-03-03T00:00:00Z"/>
        <d v="2016-03-04T00:00:00Z"/>
        <d v="2016-03-05T00:00:00Z"/>
        <d v="2016-03-09T00:00:00Z"/>
        <d v="2016-03-07T00:00:00Z"/>
        <d v="2016-03-10T00:00:00Z"/>
        <d v="2016-03-11T00:00:00Z"/>
        <d v="2016-03-13T00:00:00Z"/>
        <d v="2016-03-14T00:00:00Z"/>
        <d v="2016-03-17T00:00:00Z"/>
        <d v="2016-03-16T00:00:00Z"/>
        <d v="2016-03-15T00:00:00Z"/>
        <d v="2016-03-18T00:00:00Z"/>
        <d v="2016-03-19T00:00:00Z"/>
        <d v="2016-03-21T00:00:00Z"/>
        <d v="2016-03-20T00:00:00Z"/>
        <d v="2016-03-23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4T00:00:00Z"/>
        <d v="2016-04-05T00:00:00Z"/>
        <d v="2016-04-06T00:00:00Z"/>
        <d v="2016-04-07T00:00:00Z"/>
        <d v="2016-04-09T00:00:00Z"/>
        <d v="2016-04-10T00:00:00Z"/>
        <d v="2016-04-11T00:00:00Z"/>
        <d v="2016-04-13T00:00:00Z"/>
        <d v="2016-04-14T00:00:00Z"/>
        <d v="2016-04-15T00:00:00Z"/>
        <d v="2016-04-17T00:00:00Z"/>
        <d v="2016-04-19T00:00:00Z"/>
        <d v="2016-04-18T00:00:00Z"/>
        <d v="2016-04-20T00:00:00Z"/>
        <d v="2016-04-22T00:00:00Z"/>
        <d v="2016-04-24T00:00:00Z"/>
        <d v="2016-04-25T00:00:00Z"/>
        <d v="2016-04-26T00:00:00Z"/>
        <d v="2016-04-28T00:00:00Z"/>
        <d v="2016-04-29T00:00:00Z"/>
        <d v="2016-04-30T00:00:00Z"/>
        <d v="2016-05-01T00:00:00Z"/>
        <d v="2016-05-03T00:00:00Z"/>
        <d v="2016-05-04T00:00:00Z"/>
        <d v="2016-05-02T00:00:00Z"/>
        <d v="2016-05-06T00:00:00Z"/>
        <d v="2016-05-05T00:00:00Z"/>
        <d v="2016-05-07T00:00:00Z"/>
        <d v="2016-05-09T00:00:00Z"/>
        <d v="2016-05-08T00:00:00Z"/>
        <d v="2016-05-11T00:00:00Z"/>
        <d v="2016-05-12T00:00:00Z"/>
        <d v="2016-05-13T00:00:00Z"/>
        <d v="2016-05-14T00:00:00Z"/>
        <d v="2016-05-15T00:00:00Z"/>
        <d v="2016-05-17T00:00:00Z"/>
        <d v="2016-05-19T00:00:00Z"/>
        <d v="2016-05-20T00:00:00Z"/>
        <d v="2016-05-21T00:00:00Z"/>
        <d v="2016-05-23T00:00:00Z"/>
        <d v="2016-05-24T00:00:00Z"/>
        <d v="2016-05-25T00:00:00Z"/>
        <d v="2016-05-26T00:00:00Z"/>
        <d v="2016-05-27T00:00:00Z"/>
        <d v="2016-05-29T00:00:00Z"/>
        <d v="2016-05-30T00:00:00Z"/>
        <d v="2016-05-28T00:00:00Z"/>
        <d v="2016-06-01T00:00:00Z"/>
        <d v="2016-05-31T00:00:00Z"/>
        <d v="2016-06-04T00:00:00Z"/>
        <d v="2016-06-02T00:00:00Z"/>
        <d v="2016-06-05T00:00:00Z"/>
        <d v="2016-06-07T00:00:00Z"/>
        <d v="2016-06-08T00:00:00Z"/>
        <d v="2016-06-09T00:00:00Z"/>
        <d v="2016-06-10T00:00:00Z"/>
        <d v="2016-06-12T00:00:00Z"/>
        <d v="2016-06-11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2T00:00:00Z"/>
        <d v="2016-06-23T00:00:00Z"/>
        <d v="2016-06-25T00:00:00Z"/>
        <d v="2016-06-26T00:00:00Z"/>
        <d v="2016-06-27T00:00:00Z"/>
        <d v="2016-06-28T00:00:00Z"/>
        <d v="2016-06-30T00:00:00Z"/>
        <d v="2016-07-01T00:00:00Z"/>
        <d v="2016-07-02T00:00:00Z"/>
        <d v="2016-07-04T00:00:00Z"/>
        <d v="2016-07-06T00:00:00Z"/>
        <d v="2016-07-07T00:00:00Z"/>
        <d v="2016-07-08T00:00:00Z"/>
        <d v="2016-07-09T00:00:00Z"/>
        <d v="2016-07-12T00:00:00Z"/>
        <d v="2016-07-11T00:00:00Z"/>
        <d v="2016-07-14T00:00:00Z"/>
        <d v="2016-07-13T00:00:00Z"/>
        <d v="2016-07-16T00:00:00Z"/>
        <d v="2016-07-15T00:00:00Z"/>
        <d v="2016-07-17T00:00:00Z"/>
        <d v="2016-07-19T00:00:00Z"/>
        <d v="2016-07-20T00:00:00Z"/>
        <d v="2016-07-21T00:00:00Z"/>
        <d v="2016-07-23T00:00:00Z"/>
        <d v="2016-07-22T00:00:00Z"/>
        <d v="2016-07-25T00:00:00Z"/>
        <d v="2016-07-26T00:00:00Z"/>
        <d v="2016-07-27T00:00:00Z"/>
        <d v="2016-07-28T00:00:00Z"/>
        <d v="2016-07-30T00:00:00Z"/>
        <d v="2016-07-29T00:00:00Z"/>
        <d v="2016-07-31T00:00:00Z"/>
        <d v="2016-08-01T00:00:00Z"/>
        <d v="2016-08-03T00:00:00Z"/>
        <d v="2016-08-02T00:00:00Z"/>
        <d v="2016-08-05T00:00:00Z"/>
        <d v="2016-08-04T00:00:00Z"/>
        <d v="2016-08-06T00:00:00Z"/>
        <d v="2016-08-07T00:00:00Z"/>
        <d v="2016-08-10T00:00:00Z"/>
        <d v="2016-08-11T00:00:00Z"/>
        <d v="2016-08-13T00:00:00Z"/>
        <d v="2016-08-15T00:00:00Z"/>
        <d v="2016-08-14T00:00:00Z"/>
        <d v="2016-08-17T00:00:00Z"/>
        <d v="2016-08-18T00:00:00Z"/>
        <d v="2016-08-20T00:00:00Z"/>
        <d v="2016-08-21T00:00:00Z"/>
        <d v="2016-08-23T00:00:00Z"/>
        <d v="2016-08-22T00:00:00Z"/>
        <d v="2016-08-25T00:00:00Z"/>
        <d v="2016-08-24T00:00:00Z"/>
        <d v="2016-08-27T00:00:00Z"/>
        <d v="2016-08-29T00:00:00Z"/>
        <d v="2016-09-01T00:00:00Z"/>
        <d v="2016-08-31T00:00:00Z"/>
        <d v="2016-09-02T00:00:00Z"/>
        <d v="2016-09-04T00:00:00Z"/>
        <d v="2016-09-03T00:00:00Z"/>
        <d v="2016-09-06T00:00:00Z"/>
        <d v="2016-09-05T00:00:00Z"/>
        <d v="2016-09-07T00:00:00Z"/>
        <d v="2016-09-08T00:00:00Z"/>
        <d v="2016-09-09T00:00:00Z"/>
        <d v="2016-09-11T00:00:00Z"/>
        <d v="2016-09-10T00:00:00Z"/>
        <d v="2016-09-12T00:00:00Z"/>
        <d v="2016-09-14T00:00:00Z"/>
        <d v="2016-09-13T00:00:00Z"/>
        <d v="2016-09-16T00:00:00Z"/>
        <d v="2016-09-19T00:00:00Z"/>
        <d v="2016-09-18T00:00:00Z"/>
        <d v="2016-09-21T00:00:00Z"/>
        <d v="2016-09-20T00:00:00Z"/>
        <d v="2016-09-22T00:00:00Z"/>
        <d v="2016-09-24T00:00:00Z"/>
        <d v="2016-09-23T00:00:00Z"/>
        <d v="2016-09-25T00:00:00Z"/>
        <d v="2016-09-26T00:00:00Z"/>
        <d v="2016-09-27T00:00:00Z"/>
        <d v="2016-09-29T00:00:00Z"/>
        <d v="2016-09-28T00:00:00Z"/>
        <d v="2016-10-01T00:00:00Z"/>
        <d v="2016-09-30T00:00:00Z"/>
        <d v="2016-10-02T00:00:00Z"/>
        <d v="2016-10-03T00:00:00Z"/>
        <d v="2016-10-04T00:00:00Z"/>
        <d v="2016-10-05T00:00:00Z"/>
        <d v="2016-10-06T00:00:00Z"/>
        <d v="2016-10-09T00:00:00Z"/>
        <d v="2016-10-07T00:00:00Z"/>
        <d v="2016-10-08T00:00:00Z"/>
        <d v="2016-10-11T00:00:00Z"/>
        <d v="2016-10-12T00:00:00Z"/>
        <d v="2016-10-13T00:00:00Z"/>
        <d v="2016-10-14T00:00:00Z"/>
        <d v="2016-10-15T00:00:00Z"/>
        <d v="2016-10-17T00:00:00Z"/>
        <d v="2016-10-16T00:00:00Z"/>
        <d v="2016-10-18T00:00:00Z"/>
        <d v="2016-10-19T00:00:00Z"/>
        <d v="2016-10-20T00:00:00Z"/>
        <d v="2016-10-21T00:00:00Z"/>
        <d v="2016-10-22T00:00:00Z"/>
        <d v="2016-10-24T00:00:00Z"/>
        <d v="2016-10-25T00:00:00Z"/>
        <d v="2016-10-27T00:00:00Z"/>
        <d v="2016-10-29T00:00:00Z"/>
        <d v="2016-10-28T00:00:00Z"/>
        <d v="2016-10-31T00:00:00Z"/>
        <d v="2016-10-30T00:00:00Z"/>
        <d v="2016-11-01T00:00:00Z"/>
        <d v="2016-11-03T00:00:00Z"/>
        <d v="2016-11-05T00:00:00Z"/>
        <d v="2016-11-06T00:00:00Z"/>
        <d v="2016-11-07T00:00:00Z"/>
        <d v="2016-11-08T00:00:00Z"/>
        <d v="2016-11-09T00:00:00Z"/>
        <d v="2016-11-10T00:00:00Z"/>
        <d v="2016-11-13T00:00:00Z"/>
        <d v="2016-11-15T00:00:00Z"/>
        <d v="2016-11-16T00:00:00Z"/>
        <d v="2016-11-17T00:00:00Z"/>
        <d v="2016-11-21T00:00:00Z"/>
        <d v="2016-11-22T00:00:00Z"/>
        <d v="2016-11-23T00:00:00Z"/>
        <d v="2016-11-24T00:00:00Z"/>
        <d v="2016-11-25T00:00:00Z"/>
        <d v="2016-11-27T00:00:00Z"/>
        <d v="2016-11-26T00:00:00Z"/>
        <d v="2016-11-29T00:00:00Z"/>
        <d v="2016-11-30T00:00:00Z"/>
        <d v="2016-11-28T00:00:00Z"/>
        <d v="2016-12-02T00:00:00Z"/>
        <d v="2016-12-06T00:00:00Z"/>
        <d v="2016-12-07T00:00:00Z"/>
        <d v="2016-12-05T00:00:00Z"/>
        <d v="2016-12-08T00:00:00Z"/>
        <d v="2016-12-09T00:00:00Z"/>
        <d v="2016-12-11T00:00:00Z"/>
        <d v="2016-12-10T00:00:00Z"/>
        <d v="2016-12-12T00:00:00Z"/>
        <d v="2016-12-13T00:00:00Z"/>
        <d v="2016-12-14T00:00:00Z"/>
        <d v="2016-12-18T00:00:00Z"/>
        <d v="2016-12-17T00:00:00Z"/>
        <d v="2016-12-19T00:00:00Z"/>
        <d v="2016-12-21T00:00:00Z"/>
        <d v="2016-12-23T00:00:00Z"/>
        <d v="2016-12-22T00:00:00Z"/>
        <d v="2016-12-25T00:00:00Z"/>
        <d v="2016-12-24T00:00:00Z"/>
        <d v="2016-12-27T00:00:00Z"/>
        <d v="2016-12-26T00:00:00Z"/>
        <d v="2016-12-28T00:00:00Z"/>
        <d v="2016-12-29T00:00:00Z"/>
        <d v="2016-12-30T00:00:00Z"/>
        <d v="2016-12-31T00:00:00Z"/>
        <d v="2017-01-05T00:00:00Z"/>
        <d v="2017-01-06T00:00:00Z"/>
        <d v="2017-01-07T00:00:00Z"/>
        <d v="2017-01-08T00:00:00Z"/>
        <d v="2017-01-10T00:00:00Z"/>
        <d v="2017-01-11T00:00:00Z"/>
        <d v="2017-01-13T00:00:00Z"/>
        <d v="2017-01-12T00:00:00Z"/>
        <d v="2017-01-15T00:00:00Z"/>
        <d v="2017-01-17T00:00:00Z"/>
        <d v="2017-01-18T00:00:00Z"/>
        <d v="2017-01-20T00:00:00Z"/>
        <d v="2017-01-19T00:00:00Z"/>
        <d v="2017-01-23T00:00:00Z"/>
        <d v="2017-01-22T00:00:00Z"/>
        <d v="2017-01-24T00:00:00Z"/>
        <d v="2017-01-25T00:00:00Z"/>
        <d v="2017-01-26T00:00:00Z"/>
        <d v="2017-01-29T00:00:00Z"/>
        <d v="2017-01-27T00:00:00Z"/>
        <d v="2017-01-30T00:00:00Z"/>
        <d v="2017-01-31T00:00:00Z"/>
        <d v="2017-02-01T00:00:00Z"/>
        <d v="2017-02-02T00:00:00Z"/>
        <d v="2017-02-04T00:00:00Z"/>
        <d v="2017-02-05T00:00:00Z"/>
        <d v="2017-02-06T00:00:00Z"/>
        <d v="2017-02-08T00:00:00Z"/>
        <d v="2017-02-07T00:00:00Z"/>
        <d v="2017-02-09T00:00:00Z"/>
        <d v="2017-02-11T00:00:00Z"/>
        <d v="2017-02-10T00:00:00Z"/>
        <d v="2017-02-12T00:00:00Z"/>
        <d v="2017-02-16T00:00:00Z"/>
        <d v="2017-02-14T00:00:00Z"/>
        <d v="2017-02-15T00:00:00Z"/>
        <d v="2017-02-18T00:00:00Z"/>
        <d v="2017-02-17T00:00:00Z"/>
        <d v="2017-02-19T00:00:00Z"/>
        <d v="2017-02-21T00:00:00Z"/>
        <d v="2017-02-22T00:00:00Z"/>
        <d v="2017-02-20T00:00:00Z"/>
        <d v="2017-02-23T00:00:00Z"/>
        <d v="2017-02-27T00:00:00Z"/>
        <d v="2017-03-01T00:00:00Z"/>
        <d v="2017-02-28T00:00:00Z"/>
        <d v="2017-03-03T00:00:00Z"/>
        <d v="2017-03-02T00:00:00Z"/>
        <d v="2017-03-04T00:00:00Z"/>
        <d v="2017-03-05T00:00:00Z"/>
        <d v="2017-03-07T00:00:00Z"/>
        <d v="2017-03-08T00:00:00Z"/>
        <d v="2017-03-09T00:00:00Z"/>
        <d v="2017-03-10T00:00:00Z"/>
        <d v="2017-03-12T00:00:00Z"/>
        <d v="2017-03-11T00:00:00Z"/>
        <d v="2017-03-13T00:00:00Z"/>
        <d v="2017-03-14T00:00:00Z"/>
        <d v="2017-03-16T00:00:00Z"/>
        <d v="2017-03-18T00:00:00Z"/>
        <d v="2017-03-17T00:00:00Z"/>
        <d v="2017-03-19T00:00:00Z"/>
        <d v="2017-03-20T00:00:00Z"/>
        <d v="2017-03-22T00:00:00Z"/>
        <d v="2017-03-23T00:00:00Z"/>
        <d v="2017-03-24T00:00:00Z"/>
        <d v="2017-03-26T00:00:00Z"/>
        <d v="2017-03-25T00:00:00Z"/>
        <d v="2017-03-29T00:00:00Z"/>
        <d v="2017-03-28T00:00:00Z"/>
        <d v="2017-03-30T00:00:00Z"/>
        <d v="2017-04-01T00:00:00Z"/>
        <d v="2017-03-31T00:00:00Z"/>
        <d v="2017-04-02T00:00:00Z"/>
        <d v="2017-04-03T00:00:00Z"/>
        <d v="2017-04-04T00:00:00Z"/>
        <d v="2017-04-05T00:00:00Z"/>
        <d v="2017-04-07T00:00:00Z"/>
        <d v="2017-04-08T00:00:00Z"/>
        <d v="2017-04-09T00:00:00Z"/>
        <d v="2017-04-10T00:00:00Z"/>
        <d v="2017-04-12T00:00:00Z"/>
        <d v="2017-04-15T00:00:00Z"/>
        <d v="2017-04-14T00:00:00Z"/>
        <d v="2017-04-16T00:00:00Z"/>
        <d v="2017-04-17T00:00:00Z"/>
        <d v="2017-04-19T00:00:00Z"/>
        <d v="2017-04-18T00:00:00Z"/>
        <d v="2017-04-20T00:00:00Z"/>
        <d v="2017-04-21T00:00:00Z"/>
        <d v="2017-04-22T00:00:00Z"/>
        <d v="2017-04-24T00:00:00Z"/>
        <d v="2017-04-23T00:00:00Z"/>
        <d v="2017-04-25T00:00:00Z"/>
        <d v="2017-04-26T00:00:00Z"/>
        <d v="2017-04-28T00:00:00Z"/>
        <d v="2017-04-30T00:00:00Z"/>
        <d v="2017-04-29T00:00:00Z"/>
        <d v="2017-05-01T00:00:00Z"/>
        <d v="2017-05-02T00:00:00Z"/>
        <d v="2017-05-03T00:00:00Z"/>
        <d v="2017-05-06T00:00:00Z"/>
        <d v="2017-05-05T00:00:00Z"/>
        <d v="2017-05-08T00:00:00Z"/>
        <d v="2017-05-09T00:00:00Z"/>
        <d v="2017-05-10T00:00:00Z"/>
        <d v="2017-05-11T00:00:00Z"/>
        <d v="2017-05-14T00:00:00Z"/>
        <d v="2017-05-12T00:00:00Z"/>
        <d v="2017-05-15T00:00:00Z"/>
        <d v="2017-05-16T00:00:00Z"/>
        <d v="2017-05-18T00:00:00Z"/>
        <d v="2017-05-17T00:00:00Z"/>
        <d v="2017-05-19T00:00:00Z"/>
        <d v="2017-05-21T00:00:00Z"/>
        <d v="2017-05-22T00:00:00Z"/>
        <d v="2017-05-24T00:00:00Z"/>
        <d v="2017-05-26T00:00:00Z"/>
        <d v="2017-05-27T00:00:00Z"/>
        <d v="2017-05-28T00:00:00Z"/>
        <d v="2017-05-29T00:00:00Z"/>
        <d v="2017-05-31T00:00:00Z"/>
        <d v="2017-05-30T00:00:00Z"/>
        <d v="2017-06-01T00:00:00Z"/>
        <d v="2017-06-02T00:00:00Z"/>
        <d v="2017-06-03T00:00:00Z"/>
        <d v="2017-06-06T00:00:00Z"/>
        <d v="2017-06-08T00:00:00Z"/>
        <d v="2017-06-09T00:00:00Z"/>
        <d v="2017-06-12T00:00:00Z"/>
        <d v="2017-06-13T00:00:00Z"/>
        <d v="2017-06-14T00:00:00Z"/>
        <d v="2017-06-15T00:00:00Z"/>
        <d v="2017-06-17T00:00:00Z"/>
        <d v="2017-06-16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7T00:00:00Z"/>
        <d v="2017-06-28T00:00:00Z"/>
        <d v="2017-06-29T00:00:00Z"/>
        <d v="2017-07-01T00:00:00Z"/>
        <d v="2017-07-04T00:00:00Z"/>
        <d v="2017-07-05T00:00:00Z"/>
        <d v="2017-07-03T00:00:00Z"/>
        <d v="2017-07-07T00:00:00Z"/>
        <d v="2017-07-09T00:00:00Z"/>
        <d v="2017-07-11T00:00:00Z"/>
        <d v="2017-07-14T00:00:00Z"/>
        <d v="2017-07-12T00:00:00Z"/>
        <d v="2017-07-15T00:00:00Z"/>
        <d v="2017-07-16T00:00:00Z"/>
        <d v="2017-07-17T00:00:00Z"/>
        <d v="2017-07-18T00:00:00Z"/>
        <d v="2017-07-19T00:00:00Z"/>
        <d v="2017-07-21T00:00:00Z"/>
        <d v="2017-07-20T00:00:00Z"/>
        <d v="2017-07-23T00:00:00Z"/>
        <d v="2017-07-24T00:00:00Z"/>
        <d v="2017-07-26T00:00:00Z"/>
        <d v="2017-07-25T00:00:00Z"/>
        <d v="2017-07-29T00:00:00Z"/>
        <d v="2017-07-28T00:00:00Z"/>
        <d v="2017-07-30T00:00:00Z"/>
        <d v="2017-08-01T00:00:00Z"/>
        <d v="2017-07-31T00:00:00Z"/>
        <d v="2017-08-02T00:00:00Z"/>
        <d v="2017-08-03T00:00:00Z"/>
        <d v="2017-08-05T00:00:00Z"/>
        <d v="2017-08-07T00:00:00Z"/>
        <d v="2017-08-08T00:00:00Z"/>
        <d v="2017-08-10T00:00:00Z"/>
        <d v="2017-08-09T00:00:00Z"/>
        <d v="2017-08-12T00:00:00Z"/>
        <d v="2017-08-11T00:00:00Z"/>
        <d v="2017-08-13T00:00:00Z"/>
        <d v="2017-08-15T00:00:00Z"/>
        <d v="2017-08-14T00:00:00Z"/>
        <d v="2017-08-17T00:00:00Z"/>
        <d v="2017-08-18T00:00:00Z"/>
        <d v="2017-08-19T00:00:00Z"/>
        <d v="2017-08-21T00:00:00Z"/>
        <d v="2017-08-22T00:00:00Z"/>
        <d v="2017-08-20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0T00:00:00Z"/>
        <d v="2017-08-31T00:00:00Z"/>
        <d v="2017-09-02T00:00:00Z"/>
        <d v="2017-09-03T00:00:00Z"/>
        <d v="2017-09-04T00:00:00Z"/>
        <d v="2017-09-05T00:00:00Z"/>
        <d v="2017-09-07T00:00:00Z"/>
        <d v="2017-09-08T00:00:00Z"/>
        <d v="2017-09-09T00:00:00Z"/>
        <d v="2017-09-10T00:00:00Z"/>
        <d v="2017-09-11T00:00:00Z"/>
        <d v="2017-09-13T00:00:00Z"/>
        <d v="2017-09-12T00:00:00Z"/>
        <d v="2017-09-14T00:00:00Z"/>
        <d v="2017-09-16T00:00:00Z"/>
        <d v="2017-09-15T00:00:00Z"/>
        <d v="2017-09-20T00:00:00Z"/>
        <d v="2017-09-19T00:00:00Z"/>
        <d v="2017-09-21T00:00:00Z"/>
        <d v="2017-09-23T00:00:00Z"/>
        <d v="2017-09-22T00:00:00Z"/>
        <d v="2017-09-24T00:00:00Z"/>
        <d v="2017-09-26T00:00:00Z"/>
        <d v="2017-09-27T00:00:00Z"/>
        <d v="2017-09-28T00:00:00Z"/>
        <d v="2017-09-30T00:00:00Z"/>
        <d v="2017-10-01T00:00:00Z"/>
        <d v="2017-10-03T00:00:00Z"/>
        <d v="2017-10-04T00:00:00Z"/>
        <d v="2017-10-02T00:00:00Z"/>
        <d v="2017-10-05T00:00:00Z"/>
        <d v="2017-10-06T00:00:00Z"/>
        <d v="2017-10-07T00:00:00Z"/>
        <d v="2017-10-08T00:00:00Z"/>
        <d v="2017-10-09T00:00:00Z"/>
        <d v="2017-10-11T00:00:00Z"/>
        <d v="2017-10-12T00:00:00Z"/>
        <d v="2017-10-13T00:00:00Z"/>
        <d v="2017-10-15T00:00:00Z"/>
        <d v="2017-10-16T00:00:00Z"/>
        <d v="2017-10-17T00:00:00Z"/>
        <d v="2017-10-18T00:00:00Z"/>
        <d v="2017-10-19T00:00:00Z"/>
        <d v="2017-10-22T00:00:00Z"/>
        <d v="2017-10-21T00:00:00Z"/>
        <d v="2017-10-20T00:00:00Z"/>
        <d v="2017-10-23T00:00:00Z"/>
        <d v="2017-10-24T00:00:00Z"/>
        <d v="2017-10-26T00:00:00Z"/>
        <d v="2017-10-25T00:00:00Z"/>
        <d v="2017-10-28T00:00:00Z"/>
        <d v="2017-10-29T00:00:00Z"/>
        <d v="2017-10-27T00:00:00Z"/>
        <d v="2017-10-30T00:00:00Z"/>
        <d v="2017-10-31T00:00:00Z"/>
        <d v="2017-11-02T00:00:00Z"/>
        <d v="2017-11-03T00:00:00Z"/>
        <d v="2017-11-01T00:00:00Z"/>
        <d v="2017-11-04T00:00:00Z"/>
        <d v="2017-11-07T00:00:00Z"/>
        <d v="2017-11-06T00:00:00Z"/>
        <d v="2017-11-09T00:00:00Z"/>
        <d v="2017-11-08T00:00:00Z"/>
        <d v="2017-11-11T00:00:00Z"/>
        <d v="2017-11-12T00:00:00Z"/>
        <d v="2017-11-14T00:00:00Z"/>
        <d v="2017-11-13T00:00:00Z"/>
        <d v="2017-11-16T00:00:00Z"/>
        <d v="2017-11-17T00:00:00Z"/>
        <d v="2017-11-18T00:00:00Z"/>
        <d v="2017-11-20T00:00:00Z"/>
        <d v="2017-11-19T00:00:00Z"/>
        <d v="2017-11-21T00:00:00Z"/>
        <d v="2017-11-22T00:00:00Z"/>
        <d v="2017-11-24T00:00:00Z"/>
        <d v="2017-11-26T00:00:00Z"/>
        <d v="2017-11-25T00:00:00Z"/>
        <d v="2017-11-27T00:00:00Z"/>
        <d v="2017-11-29T00:00:00Z"/>
        <d v="2017-11-30T00:00:00Z"/>
        <d v="2017-12-01T00:00:00Z"/>
        <d v="2017-12-02T00:00:00Z"/>
        <d v="2017-12-04T00:00:00Z"/>
        <d v="2017-12-03T00:00:00Z"/>
        <d v="2017-12-05T00:00:00Z"/>
        <d v="2017-12-07T00:00:00Z"/>
        <d v="2017-12-06T00:00:00Z"/>
        <d v="2017-12-09T00:00:00Z"/>
        <d v="2017-12-10T00:00:00Z"/>
        <d v="2017-12-12T00:00:00Z"/>
        <d v="2017-12-11T00:00:00Z"/>
        <d v="2017-12-14T00:00:00Z"/>
        <d v="2017-12-15T00:00:00Z"/>
        <d v="2017-12-16T00:00:00Z"/>
        <d v="2017-12-17T00:00:00Z"/>
        <d v="2017-12-19T00:00:00Z"/>
        <d v="2017-12-18T00:00:00Z"/>
        <d v="2017-12-22T00:00:00Z"/>
        <d v="2017-12-25T00:00:00Z"/>
        <d v="2017-12-24T00:00:00Z"/>
        <d v="2017-12-26T00:00:00Z"/>
        <d v="2017-12-27T00:00:00Z"/>
        <d v="2017-12-28T00:00:00Z"/>
        <d v="2017-12-29T00:00:00Z"/>
        <d v="2017-12-30T00:00:00Z"/>
        <d v="2017-12-31T00:00:00Z"/>
        <d v="2018-01-02T00:00:00Z"/>
        <d v="2018-01-01T00:00:00Z"/>
        <d v="2018-01-03T00:00:00Z"/>
        <d v="2018-01-05T00:00:00Z"/>
        <d v="2018-01-06T00:00:00Z"/>
        <d v="2018-01-07T00:00:00Z"/>
        <d v="2018-01-08T00:00:00Z"/>
        <d v="2018-01-09T00:00:00Z"/>
        <d v="2018-01-10T00:00:00Z"/>
        <d v="2018-01-12T00:00:00Z"/>
        <d v="2018-01-13T00:00:00Z"/>
        <d v="2018-01-14T00:00:00Z"/>
        <d v="2018-01-15T00:00:00Z"/>
        <d v="2018-01-18T00:00:00Z"/>
        <d v="2018-01-17T00:00:00Z"/>
        <d v="2018-01-16T00:00:00Z"/>
        <d v="2018-01-19T00:00:00Z"/>
        <d v="2018-01-21T00:00:00Z"/>
        <d v="2018-01-20T00:00:00Z"/>
        <d v="2018-01-22T00:00:00Z"/>
        <d v="2018-01-24T00:00:00Z"/>
        <d v="2018-01-23T00:00:00Z"/>
        <d v="2018-01-25T00:00:00Z"/>
        <d v="2018-01-28T00:00:00Z"/>
        <d v="2018-01-27T00:00:00Z"/>
        <d v="2018-01-29T00:00:00Z"/>
        <d v="2018-01-30T00:00:00Z"/>
        <d v="2018-02-01T00:00:00Z"/>
        <d v="2018-01-31T00:00:00Z"/>
        <d v="2018-02-03T00:00:00Z"/>
        <d v="2018-02-04T00:00:00Z"/>
        <d v="2018-02-05T00:00:00Z"/>
        <d v="2018-02-08T00:00:00Z"/>
        <d v="2018-02-09T00:00:00Z"/>
        <d v="2018-02-11T00:00:00Z"/>
        <d v="2018-02-12T00:00:00Z"/>
        <d v="2018-02-14T00:00:00Z"/>
        <d v="2018-02-13T00:00:00Z"/>
        <d v="2018-02-15T00:00:00Z"/>
        <d v="2018-02-16T00:00:00Z"/>
        <d v="2018-02-19T00:00:00Z"/>
        <d v="2018-02-18T00:00:00Z"/>
        <d v="2018-02-20T00:00:00Z"/>
        <d v="2018-02-21T00:00:00Z"/>
        <d v="2018-02-22T00:00:00Z"/>
        <d v="2018-02-24T00:00:00Z"/>
        <d v="2018-02-27T00:00:00Z"/>
        <d v="2018-03-01T00:00:00Z"/>
        <d v="2018-02-28T00:00:00Z"/>
        <d v="2018-03-02T00:00:00Z"/>
        <d v="2018-03-04T00:00:00Z"/>
        <d v="2018-03-06T00:00:00Z"/>
        <d v="2018-03-05T00:00:00Z"/>
        <d v="2018-03-07T00:00:00Z"/>
        <d v="2018-03-08T00:00:00Z"/>
        <d v="2018-03-10T00:00:00Z"/>
        <d v="2018-03-09T00:00:00Z"/>
        <d v="2018-03-11T00:00:00Z"/>
        <d v="2018-03-14T00:00:00Z"/>
        <d v="2018-03-12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8T00:00:00Z"/>
        <d v="2018-03-29T00:00:00Z"/>
        <d v="2018-03-30T00:00:00Z"/>
        <d v="2018-03-31T00:00:00Z"/>
        <d v="2018-04-02T00:00:00Z"/>
        <d v="2018-04-01T00:00:00Z"/>
        <m/>
      </sharedItems>
    </cacheField>
    <cacheField name="store_id" numFmtId="0">
      <sharedItems containsString="0" containsBlank="1" containsNumber="1" containsInteger="1">
        <n v="1.0"/>
        <n v="2.0"/>
        <n v="3.0"/>
        <m/>
      </sharedItems>
    </cacheField>
    <cacheField name="staff_id" numFmtId="0">
      <sharedItems containsString="0" containsBlank="1" containsNumber="1" containsInteger="1">
        <n v="2.0"/>
        <n v="6.0"/>
        <n v="7.0"/>
        <n v="3.0"/>
        <n v="8.0"/>
        <n v="9.0"/>
        <m/>
      </sharedItems>
    </cacheField>
    <cacheField name="customer name" numFmtId="0">
      <sharedItems containsBlank="1">
        <s v="Johnathan Velazquez"/>
        <s v="Jaqueline Cummings"/>
        <s v="Joshua Robertson"/>
        <s v="Nova Hess"/>
        <s v="Arla Ellis"/>
        <s v="Sharyn Hopkins"/>
        <s v="Laureen Paul"/>
        <s v="Leslie Higgins"/>
        <s v="Neil Mccall"/>
        <s v="Alane Munoz"/>
        <s v="Tarra Guerrero"/>
        <s v="Marvin Mullins"/>
        <s v="Patience Clayton"/>
        <s v="Maribel William"/>
        <s v="Ellsworth Michael"/>
        <s v="Lea Key"/>
        <s v="Sindy Anderson"/>
        <s v="Lanita Burton"/>
        <s v="Norine Huffman"/>
        <s v="Randee Pitts"/>
        <s v="Neoma Daugherty"/>
        <s v="Tangela Hurley"/>
        <s v="Drucilla Gilliam"/>
        <s v="Ashton Lott"/>
        <s v="Sam Lester"/>
        <s v="Jackeline Colon"/>
        <s v="Pamala Henry"/>
        <s v="Eleni Gordon"/>
        <s v="Laureen Barry"/>
        <s v="Yvone Guerrero"/>
        <s v="Edgar Quinn"/>
        <s v="Kimbery Nieves"/>
        <s v="Verona O'neill"/>
        <s v="Sarai Mckee"/>
        <s v="Neville Mcclain"/>
        <s v="Shantel Gregory"/>
        <s v="Tomika Larson"/>
        <s v="Lashandra Turner"/>
        <s v="Travis Whitley"/>
        <s v="Darren Witt"/>
        <s v="Ingeborg Ellison"/>
        <s v="Corene Swanson"/>
        <s v="Elana Miles"/>
        <s v="Olympia Figueroa"/>
        <s v="Carissa Cross"/>
        <s v="Eldridge Greer"/>
        <s v="Joshua Berg"/>
        <s v="Josephine Dale"/>
        <s v="Taisha Vang"/>
        <s v="Silas Tate"/>
        <s v="Jamaal Baker"/>
        <s v="Twana Arnold"/>
        <s v="Margit Osborn"/>
        <s v="Inge Olsen"/>
        <s v="Chanel May"/>
        <s v="Nathaniel Davidson"/>
        <s v="Dalia Carson"/>
        <s v="Tiana Henderson"/>
        <s v="Rodney Odom"/>
        <s v="Joesph Delacruz"/>
        <s v="Mark Garrett"/>
        <s v="Denis Logan"/>
        <s v="Dann Huff"/>
        <s v="Corine Stuart"/>
        <s v="Serafina Clemons"/>
        <s v="Susannah Fields"/>
        <s v="Lazaro Moran"/>
        <s v="Kristen Alvarez"/>
        <s v="Ophelia Decker"/>
        <s v="Cleotilde Booth"/>
        <s v="Cathey Lamb"/>
        <s v="Cesar Wilkins"/>
        <s v="Gabriel Wagner"/>
        <s v="Mariela Huffman"/>
        <s v="Euna Lopez"/>
        <s v="Genoveva Baldwin"/>
        <s v="Rochelle Ward"/>
        <s v="Trinidad Chapman"/>
        <s v="Ellena Clements"/>
        <s v="Jeannie Wilcox"/>
        <s v="Max Charles"/>
        <s v="Bronwyn Vargas"/>
        <s v="Gertrude Terry"/>
        <s v="Christia Wilkins"/>
        <s v="Aaron Knapp"/>
        <s v="Lavette Wright"/>
        <s v="Rosa Kinney"/>
        <s v="Rodolfo Buck"/>
        <s v="Calandra Stanton"/>
        <s v="Romaine Haley"/>
        <s v="Catrice Hicks"/>
        <s v="Kimberli Cline"/>
        <s v="Cindie Franklin"/>
        <s v="Thurman Ellis"/>
        <s v="Casey Gill"/>
        <s v="Keitha Black"/>
        <s v="Alpha King"/>
        <s v="Leticia Snyder"/>
        <s v="Rikki Morrow"/>
        <s v="Luke Kramer"/>
        <s v="Katheleen Marks"/>
        <s v="Trisha Johnson"/>
        <s v="Brigida Larson"/>
        <s v="Latasha Hays"/>
        <s v="Vikki Erickson"/>
        <s v="Valery Saunders"/>
        <s v="Kiara Deleon"/>
        <s v="Robby Sykes"/>
        <s v="Ben Stone"/>
        <s v="Launa Hull"/>
        <s v="Zulema Browning"/>
        <s v="Micki Rutledge"/>
        <s v="Theresia Barron"/>
        <s v="Mark Benton"/>
        <s v="Starr Schneider"/>
        <s v="Burma Summers"/>
        <s v="Gwenn Melton"/>
        <s v="Danille Mcfarland"/>
        <s v="Bryce Monroe"/>
        <s v="Sharie Alvarez"/>
        <s v="Tomika Wilder"/>
        <s v="Wallace Lane"/>
        <s v="Lecia Hancock"/>
        <s v="Elouise Fry"/>
        <s v="Laverne Craft"/>
        <s v="Shenna Espinoza"/>
        <s v="Chelsey Boyd"/>
        <s v="Lissa Vargas"/>
        <s v="Armand Whitehead"/>
        <s v="Marcelino Mcbride"/>
        <s v="Hortencia Graham"/>
        <s v="Monika Berg"/>
        <s v="Jerome Bolton"/>
        <s v="Tuan Wolfe"/>
        <s v="Alexandria Zamora"/>
        <s v="Gena Owens"/>
        <s v="Jina Cooper"/>
        <s v="Katharine Herrera"/>
        <s v="Ezra Silva"/>
        <s v="Devin Velazquez"/>
        <s v="Erlene Cook"/>
        <s v="Regine Gonzales"/>
        <s v="Merlin Foreman"/>
        <s v="Hubert Reilly"/>
        <s v="Lavonne Anderson"/>
        <s v="Keturah Massey"/>
        <s v="Diana Guerra"/>
        <s v="Senaida Thompson"/>
        <s v="Han Schneider"/>
        <s v="Reena Higgins"/>
        <s v="Katina Mcintosh"/>
        <s v="Parker Prince"/>
        <s v="Edda Young"/>
        <s v="Dione Pratt"/>
        <s v="Loni Duncan"/>
        <s v="Sheri Cole"/>
        <s v="Mozelle Carter"/>
        <s v="Dacia William"/>
        <s v="Araceli Golden"/>
        <s v="Harris Pittman"/>
        <s v="Kasie Rodriquez"/>
        <s v="Williemae Holloway"/>
        <s v="Magdalena Sherman"/>
        <s v="Leonore Dorsey"/>
        <s v="Adriene Rivera"/>
        <s v="Abbey Pugh"/>
        <s v="Rico Salas"/>
        <s v="Kandace Ayers"/>
        <s v="Carie Kidd"/>
        <s v="Aubrey Durham"/>
        <s v="Elvera Peck"/>
        <s v="Cindi Ellis"/>
        <s v="Destiny Goodman"/>
        <s v="Steve Bender"/>
        <s v="Melba Wilkinson"/>
        <s v="Lucy Woods"/>
        <s v="Graig Roth"/>
        <s v="Shery Acosta"/>
        <s v="Kristel Bullock"/>
        <s v="Latosha Dalton"/>
        <s v="Phylis Adkins"/>
        <s v="Adelle Larsen"/>
        <s v="Brianna Moss"/>
        <s v="Corene Wall"/>
        <s v="Waldo Hart"/>
        <s v="Jeniffer Ratliff"/>
        <s v="Lorrie Pollard"/>
        <s v="Allie Conley"/>
        <s v="Violet Valenzuela"/>
        <s v="Ruthanne Hoover"/>
        <s v="Viva Dawson"/>
        <s v="Trena Rogers"/>
        <s v="Carroll Kelly"/>
        <s v="Kasha Sullivan"/>
        <s v="Tammie Cherry"/>
        <s v="Erlinda Nielsen"/>
        <s v="Allison Nolan"/>
        <s v="Marisa Chambers"/>
        <s v="Lanelle Guerra"/>
        <s v="Brenda Tate"/>
        <s v="Joi Reeves"/>
        <s v="Henrietta Wagner"/>
        <s v="Danilo Holmes"/>
        <s v="Myrtie James"/>
        <s v="Tania Swanson"/>
        <s v="Marget Hodge"/>
        <s v="Leanna Manning"/>
        <s v="Clarita Curry"/>
        <s v="Lynn Mcmahon"/>
        <s v="Penney Hall"/>
        <s v="Lanora Robbins"/>
        <s v="Lilliam Nolan"/>
        <s v="Kaci Gallegos"/>
        <s v="Kelsey Noble"/>
        <s v="Angelina Lloyd"/>
        <s v="Sebrina Hart"/>
        <s v="Vernetta Banks"/>
        <s v="Inez Snider"/>
        <s v="Noble Glover"/>
        <s v="Donovan Cantrell"/>
        <s v="Gertrud Rhodes"/>
        <s v="Veronique Fulton"/>
        <s v="Carola Rodriquez"/>
        <s v="Fransisca Nicholson"/>
        <s v="Tony Hicks"/>
        <s v="Kirstie Vazquez"/>
        <s v="Jamika Blanchard"/>
        <s v="Evelina Manning"/>
        <s v="Ryan Carter"/>
        <s v="Rosamaria Meyer"/>
        <s v="Latashia Travis"/>
        <s v="Melita Dominguez"/>
        <s v="Merrie Fowler"/>
        <s v="Eli Contreras"/>
        <s v="Stephaine Riddle"/>
        <s v="Carman Hardy"/>
        <s v="Annett Rush"/>
        <s v="Lashawn Ortiz"/>
        <s v="Kanesha Vega"/>
        <s v="Divina Madden"/>
        <s v="Almeta Benjamin"/>
        <s v="Barrett Sanders"/>
        <s v="Venus Hewitt"/>
        <s v="Scarlet Yates"/>
        <s v="Caren Stephens"/>
        <s v="Joann Barber"/>
        <s v="Kimberley Reynolds"/>
        <s v="Miquel Neal"/>
        <s v="Weldon Michael"/>
        <s v="Arlena Buckner"/>
        <s v="Lorrie Becker"/>
        <s v="Earline Gordon"/>
        <s v="Faustino Delacruz"/>
        <s v="Ophelia Rodgers"/>
        <s v="Theo Reese"/>
        <s v="Joeann Garrison"/>
        <s v="Cecil Hopper"/>
        <s v="Ginette Edwards"/>
        <s v="Yvette Rogers"/>
        <s v="Pasquale Hogan"/>
        <s v="Matilda Larson"/>
        <s v="Ai Forbes"/>
        <s v="Charolette Rice"/>
        <s v="Arnita Thomas"/>
        <s v="Lurline Rivers"/>
        <s v="Randolph Chase"/>
        <s v="Shery Randolph"/>
        <s v="Terrell Mathis"/>
        <s v="Ethelyn Ray"/>
        <s v="Christoper Mccall"/>
        <s v="Ezra Fowler"/>
        <s v="Tona Velasquez"/>
        <s v="Octavia Case"/>
        <s v="Rozanne Reyes"/>
        <s v="Magali Dixon"/>
        <s v="Thad Castro"/>
        <s v="Raven Curtis"/>
        <s v="Rosalba O'neal"/>
        <s v="Tomeka Higgins"/>
        <s v="Cris Dunn"/>
        <s v="Regina Burns"/>
        <s v="Olevia Pitts"/>
        <s v="Inger Jennings"/>
        <s v="Justin Newton"/>
        <s v="Latasha Stanley"/>
        <s v="Delbert Wilkins"/>
        <s v="Ouida Gregory"/>
        <s v="Phyllis Hill"/>
        <s v="Marni Bolton"/>
        <s v="Alane Kennedy"/>
        <s v="Van Peters"/>
        <s v="Rubye Mccall"/>
        <s v="Lavona Austin"/>
        <s v="Benny Bender"/>
        <s v="Gabriela Warren"/>
        <s v="Justina Jenkins"/>
        <s v="Janna Hayden"/>
        <s v="Rayna Perry"/>
        <s v="Emmaline Huber"/>
        <s v="Carlena Salinas"/>
        <s v="Bernita Mcdaniel"/>
        <s v="Chelsey Hardin"/>
        <s v="Camille Harvey"/>
        <s v="Charleen Hurst"/>
        <s v="Christoper Gould"/>
        <s v="Charlyn Cantrell"/>
        <s v="Gilma Dejesus"/>
        <s v="Deloris Larson"/>
        <s v="Shayla Hart"/>
        <s v="Jame Riggs"/>
        <s v="Dagny Owen"/>
        <s v="Janie Herrera"/>
        <s v="Rufina Chandler"/>
        <s v="Shawnda Glover"/>
        <s v="Mariam Miranda"/>
        <s v="Mallie Osborn"/>
        <s v="Danyell Dickerson"/>
        <s v="Carola Johns"/>
        <s v="Arcelia Vinson"/>
        <s v="Lea Irwin"/>
        <s v="Heide Reed"/>
        <s v="Garland Weaver"/>
        <s v="Ernestina Skinner"/>
        <s v="Bernetta Summers"/>
        <s v="Tiesha Daniel"/>
        <s v="Angele Schroeder"/>
        <s v="Josh Shaw"/>
        <s v="Gabriel Pitts"/>
        <s v="Yang Roth"/>
        <s v="Antonetta Rocha"/>
        <s v="Major Merrill"/>
        <s v="Hollis Rasmussen"/>
        <s v="Phebe Soto"/>
        <s v="Saran Moses"/>
        <s v="Adriene Rollins"/>
        <s v="Omega Huff"/>
        <s v="Shirely Cantrell"/>
        <s v="Anisha Lang"/>
        <s v="Karren Lamb"/>
        <s v="Reyes Merritt"/>
        <s v="Iva Wilcox"/>
        <s v="Romaine Salazar"/>
        <s v="Shauna Edwards"/>
        <s v="Lynne Anderson"/>
        <s v="Jerald Blackwell"/>
        <s v="Daina Sampson"/>
        <s v="Jamaal Albert"/>
        <s v="Cinda Rocha"/>
        <s v="Emmitt Sanchez"/>
        <s v="Phylicia Stout"/>
        <s v="Jenine Crane"/>
        <s v="Sebrina Gross"/>
        <s v="Sheila Goodman"/>
        <s v="Garry Espinoza"/>
        <s v="Larissa Hays"/>
        <s v="Dorthea Walker"/>
        <s v="Clorinda Donovan"/>
        <s v="Demarcus Reese"/>
        <s v="Hedwig Paul"/>
        <s v="Brain Skinner"/>
        <s v="Mariette Trevino"/>
        <s v="Christel Cardenas"/>
        <s v="Arielle Levine"/>
        <s v="Afton Juarez"/>
        <s v="Amina Salazar"/>
        <s v="Garth Huff"/>
        <s v="Raymonde Garcia"/>
        <s v="Ashlie Parrish"/>
        <s v="Boyd Irwin"/>
        <s v="Majorie Wyatt"/>
        <s v="Dante Grimes"/>
        <s v="Christiane Bradford"/>
        <s v="Kristel Byrd"/>
        <s v="Thad Gilliam"/>
        <s v="Alec Peck"/>
        <s v="Hassan Nash"/>
        <s v="Han Wade"/>
        <s v="Vanessa West"/>
        <s v="Clelia Workman"/>
        <s v="Aleta Mack"/>
        <s v="Conception Slater"/>
        <s v="Odette Moses"/>
        <s v="Christiana Gross"/>
        <s v="Jennette Wooten"/>
        <s v="Mirella Duffy"/>
        <s v="Saturnina Garner"/>
        <s v="Shirely Stanley"/>
        <s v="Elinore Aguilar"/>
        <s v="Carley Reynolds"/>
        <s v="Alysha Powers"/>
        <s v="Tammera Fischer"/>
        <s v="Hans Price"/>
        <s v="Timothy Byers"/>
        <s v="Son Warner"/>
        <s v="Chasidy Tran"/>
        <s v="Lee Roman"/>
        <s v="Alline Beasley"/>
        <s v="Sylvie Wilkerson"/>
        <s v="Corina Lynch"/>
        <s v="Salena Day"/>
        <s v="Laverna Hernandez"/>
        <s v="Genevieve Juarez"/>
        <s v="Eliz Lynch"/>
        <s v="Keri Bridges"/>
        <s v="Shemeka Lyons"/>
        <s v="Luke Fuller"/>
        <s v="Herminia Reyes"/>
        <s v="Ferne Kline"/>
        <s v="Carmina Emerson"/>
        <s v="Kristofer Craig"/>
        <s v="Vernia Madden"/>
        <s v="Bonita Marshall"/>
        <s v="Johana Jacobson"/>
        <s v="Angie Powers"/>
        <s v="Titus Bullock"/>
        <s v="Petronila Norris"/>
        <s v="Le Deleon"/>
        <s v="Suellen Mercado"/>
        <s v="Dewayne Herring"/>
        <s v="Tommie Melton"/>
        <s v="Tessie Farmer"/>
        <s v="Tonja Henderson"/>
        <s v="Douglass Little"/>
        <s v="Bee Baker"/>
        <s v="Laraine Robbins"/>
        <s v="Deja Chaney"/>
        <s v="Carlie Terrell"/>
        <s v="Karla Kirk"/>
        <s v="Jerri Guthrie"/>
        <s v="Rochell Cantrell"/>
        <s v="Yun Nelson"/>
        <s v="Adam Thornton"/>
        <s v="Javier Nichols"/>
        <s v="Meredith Bryan"/>
        <s v="Hilda Harvey"/>
        <s v="Morton Barron"/>
        <s v="Etsuko Garrison"/>
        <s v="Pandora Estes"/>
        <s v="Olevia Noel"/>
        <s v="Bart Hess"/>
        <s v="Vallie Dixon"/>
        <s v="Nichelle Howell"/>
        <s v="Justa Thompson"/>
        <s v="Laurence Christian"/>
        <s v="Charlsie Carson"/>
        <s v="Trinidad Mcclain"/>
        <s v="Shanna Bonner"/>
        <s v="Vanda Holmes"/>
        <s v="Hildegarde Christensen"/>
        <s v="Alanna Barry"/>
        <s v="Kami Rios"/>
        <s v="Andy O'neill"/>
        <s v="Mila Good"/>
        <s v="Ladawn Downs"/>
        <s v="Brittney Rojas"/>
        <s v="Lezlie Thompson"/>
        <s v="Brent Calderon"/>
        <s v="Georgeann Waller"/>
        <s v="Cheryll Snyder"/>
        <s v="Ernest Rollins"/>
        <s v="Marry Benjamin"/>
        <s v="Adelaida Hancock"/>
        <s v="Chere Mcfadden"/>
        <s v="Derrick Marks"/>
        <s v="Alane Mccarty"/>
        <s v="Jeanett Herman"/>
        <s v="Elmo Arnold"/>
        <s v="Rory Cooper"/>
        <s v="Manie Sanchez"/>
        <s v="Basilia Thornton"/>
        <s v="Josie Schultz"/>
        <s v="Jayme Zamora"/>
        <s v="Ivette Warren"/>
        <s v="Darcel Harmon"/>
        <s v="Jayson Rutledge"/>
        <s v="Whitney Cash"/>
        <s v="Diana Cobb"/>
        <s v="Iola Rasmussen"/>
        <s v="Birdie Kramer"/>
        <s v="Vinnie Chan"/>
        <s v="George Pickett"/>
        <s v="Evelin Vargas"/>
        <s v="Carisa Carpenter"/>
        <s v="Onita Macdonald"/>
        <s v="Ji Burt"/>
        <s v="Graciela Barber"/>
        <s v="Rosalie Coffey"/>
        <s v="Tanesha Sawyer"/>
        <s v="Kecia Olsen"/>
        <s v="Ayanna Rhodes"/>
        <s v="Kandis Mills"/>
        <s v="Divina Reeves"/>
        <s v="Rodrick Shelton"/>
        <s v="Julee Woodard"/>
        <s v="Barton Cox"/>
        <s v="Shaunda Barnett"/>
        <s v="Yvonne Bean"/>
        <s v="Mercedez Brooks"/>
        <s v="Erlinda Osborne"/>
        <s v="Lory Berg"/>
        <s v="Enoch Rosario"/>
        <s v="Octavia Donaldson"/>
        <s v="Jeromy Elliott"/>
        <s v="Ulysses Gaines"/>
        <s v="Klara Mosley"/>
        <s v="Jacquline Duncan"/>
        <s v="Lory Page"/>
        <s v="Guillermo Hart"/>
        <s v="Marcel Lindsay"/>
        <s v="Shila White"/>
        <s v="Margene Eaton"/>
        <s v="Juliane Dillard"/>
        <s v="Fran Yang"/>
        <s v="Ronald Parsons"/>
        <s v="Augustus Schmidt"/>
        <s v="Lois Steele"/>
        <s v="Rebbecca Espinoza"/>
        <s v="Lucas Estes"/>
        <s v="Omega Johnston"/>
        <s v="Tonda Webb"/>
        <s v="Irving Pitts"/>
        <s v="Gayle Wilkinson"/>
        <s v="Mandi Gibbs"/>
        <s v="Yolando Wade"/>
        <s v="Merlene Vinson"/>
        <s v="Zelda Pratt"/>
        <s v="Ashleigh Finch"/>
        <s v="Farrah Orr"/>
        <s v="Roseanne Maynard"/>
        <s v="Cira Downs"/>
        <s v="Agatha Daniels"/>
        <s v="Delana Scott"/>
        <s v="Jewel Sparks"/>
        <s v="Lorrie Justice"/>
        <s v="Zulema Clemons"/>
        <s v="Melani Jarvis"/>
        <s v="Alica Hunter"/>
        <s v="Chere Hardin"/>
        <s v="Bao Wade"/>
        <s v="Loise Walker"/>
        <s v="Aleta Shepard"/>
        <s v="Bobbi Banks"/>
        <s v="Bobbie Foster"/>
        <s v="Alissa Craft"/>
        <s v="Beatris Joyner"/>
        <s v="Alexis Mack"/>
        <s v="Liliana Kerr"/>
        <s v="Katharina Bates"/>
        <s v="Buford Bridges"/>
        <s v="Bethany Herring"/>
        <s v="Lezlie Lamb"/>
        <s v="Christel Barber"/>
        <s v="Thanh Figueroa"/>
        <s v="Marjorie Logan"/>
        <s v="Davis Long"/>
        <s v="Rodger Rojas"/>
        <s v="Aisha Woods"/>
        <s v="Nathaniel Richard"/>
        <s v="Jennie Middleton"/>
        <s v="Tayna Wade"/>
        <s v="Lenita Bonner"/>
        <s v="Terese Briggs"/>
        <s v="Loreen Byers"/>
        <s v="Genoveva Tyler"/>
        <s v="Johna Powers"/>
        <s v="Leone Emerson"/>
        <s v="Deloris Burke"/>
        <s v="Houston Vasquez"/>
        <s v="Earline Ballard"/>
        <s v="Yahaira Robertson"/>
        <s v="Omer Estrada"/>
        <s v="Vonda Berger"/>
        <s v="Pearlie Cochran"/>
        <s v="Edgar Horn"/>
        <s v="Deandrea Cox"/>
        <s v="Alden Atkinson"/>
        <s v="America Swanson"/>
        <s v="Grace Madden"/>
        <s v="Marisol Goodman"/>
        <s v="Nicki Fry"/>
        <s v="Casimira Chapman"/>
        <s v="Brenton Whitaker"/>
        <s v="Jong Guthrie"/>
        <s v="Tisha Petty"/>
        <s v="Sherie Ayala"/>
        <s v="Aileen Marquez"/>
        <s v="Shasta Combs"/>
        <s v="Ronna Butler"/>
        <s v="Debra Burks"/>
        <s v="Sharika Colon"/>
        <s v="Amparo Burks"/>
        <s v="Tina Bush"/>
        <s v="Vernon Knowles"/>
        <s v="Floretta Higgins"/>
        <s v="Leila Barr"/>
        <s v="Georgetta Hardin"/>
        <s v="Anderson Martin"/>
        <s v="Ardelia Cooley"/>
        <s v="Stefani Gamble"/>
        <s v="Jovita Bishop"/>
        <s v="Leeanne Cross"/>
        <s v="Taylor Cole"/>
        <s v="Charlene Norris"/>
        <s v="Eun Harris"/>
        <s v="Tricia Daniels"/>
        <s v="Ivette Estes"/>
        <s v="Le Wood"/>
        <s v="Tanesha Hampton"/>
        <s v="Terese Palmer"/>
        <s v="Collen Hayes"/>
        <s v="Anton Barton"/>
        <s v="Nevada Hood"/>
        <s v="Myron Johns"/>
        <s v="Ghislaine Compton"/>
        <s v="Carmela Hays"/>
        <s v="Wes Stanton"/>
        <s v="Tora Dunlap"/>
        <s v="Kandace Hughes"/>
        <s v="Margaretta Clayton"/>
        <s v="Loyce Conway"/>
        <s v="Lean Stark"/>
        <s v="Margert Stevens"/>
        <s v="Shantae Hammond"/>
        <s v="Santos Valencia"/>
        <s v="Andreas Herman"/>
        <s v="Mia Delgado"/>
        <s v="Hee Greer"/>
        <s v="Verda Gilbert"/>
        <s v="Felicidad Golden"/>
        <s v="Alejandrina Hodges"/>
        <s v="Adam Henderson"/>
        <s v="Lizette Ellison"/>
        <s v="Lonna Franks"/>
        <s v="Sunshine Rosario"/>
        <s v="Consuela Collier"/>
        <s v="Annis Sanchez"/>
        <s v="Jaimee Day"/>
        <s v="Jenny Bell"/>
        <s v="Ara Vazquez"/>
        <s v="Hue Dalton"/>
        <s v="Toya Pratt"/>
        <s v="Milagros Weber"/>
        <s v="Barbra Dickerson"/>
        <s v="Gilberto Sanders"/>
        <s v="Kanesha Hudson"/>
        <s v="Venessa Frost"/>
        <s v="Mable Pratt"/>
        <s v="Tonisha Fowler"/>
        <s v="Sheryl Chase"/>
        <s v="Ashlee Pena"/>
        <s v="Leigh Burke"/>
        <s v="Caleb England"/>
        <s v="Herta Rollins"/>
        <s v="Reatha Perez"/>
        <s v="Syreeta Hendricks"/>
        <s v="Lavonda Stephenson"/>
        <s v="Klara Kim"/>
        <s v="Christia Carson"/>
        <s v="Carolyne Conley"/>
        <s v="Virgina Berg"/>
        <s v="Elvia Cardenas"/>
        <s v="Delmar Wise"/>
        <s v="Doreatha Ford"/>
        <s v="Boyce Burks"/>
        <s v="Petronila Gallegos"/>
        <s v="Elnora Simpson"/>
        <s v="Ivonne Yang"/>
        <s v="Zina Bonner"/>
        <s v="Delila Hamilton"/>
        <s v="Lidia Ashley"/>
        <s v="Toshia Cardenas"/>
        <s v="Laci Castro"/>
        <s v="Quyen Houston"/>
        <s v="Ayanna Cherry"/>
        <s v="Alesia Horne"/>
        <s v="Selene Austin"/>
        <s v="Jesica Fields"/>
        <s v="Willian Hardin"/>
        <s v="Collen Dennis"/>
        <s v="Carson Macias"/>
        <s v="Kasha Todd"/>
        <s v="Lise Hebert"/>
        <s v="Damien Dorsey"/>
        <s v="Sarah Kirkland"/>
        <s v="Chauncey Donaldson"/>
        <s v="Alejandro Norman"/>
        <s v="Jasmin Young"/>
        <s v="Ciera Koch"/>
        <s v="Daryl Spence"/>
        <s v="Stephanie Browning"/>
        <s v="Dorothea Miranda"/>
        <s v="Zoraida Patton"/>
        <s v="Dottie Roberts"/>
        <s v="Ileana Holt"/>
        <s v="Roy Chan"/>
        <s v="Ashanti Parks"/>
        <s v="Shara Pope"/>
        <s v="Carmelina Sellers"/>
        <s v="Danny Kim"/>
        <s v="Dale Rasmussen"/>
        <s v="Marquerite Dawson"/>
        <s v="Michel Blankenship"/>
        <s v="Phillis Fowler"/>
        <s v="Elma Molina"/>
        <s v="Tereasa Bird"/>
        <s v="Zelma Browning"/>
        <s v="Ashely Holmes"/>
        <s v="Collin Webster"/>
        <s v="Donnetta Henson"/>
        <s v="Angelika Perry"/>
        <s v="Kathyrn Bush"/>
        <s v="Lore Sykes"/>
        <s v="Dwain Carlson"/>
        <s v="Jennell Solis"/>
        <s v="Maple Griffin"/>
        <s v="Hubert Stone"/>
        <s v="Bettyann Acosta"/>
        <s v="Moira Lester"/>
        <s v="Elenore William"/>
        <s v="Bernetta Marquez"/>
        <s v="Pamala Fowler"/>
        <s v="Maximina Hutchinson"/>
        <s v="Klara Stanley"/>
        <s v="Lanie Dunn"/>
        <s v="Jeni Booker"/>
        <s v="Caroll Hays"/>
        <s v="Kendra Harrington"/>
        <s v="Thalia Dillard"/>
        <s v="Holly Nieves"/>
        <s v="Shonta Mercer"/>
        <s v="Lena Mills"/>
        <s v="Charleen Joyner"/>
        <s v="Vernita Ball"/>
        <s v="Yan Mcgowan"/>
        <s v="Maryalice Henry"/>
        <s v="Flossie Holder"/>
        <s v="Freddie Mathis"/>
        <s v="Hilary Savage"/>
        <s v="Scarlet Reed"/>
        <s v="Nita Guy"/>
        <s v="Ann Heath"/>
        <s v="Kimberely Bowen"/>
        <s v="Sommer Hopkins"/>
        <s v="Joe Melton"/>
        <s v="Kattie Stevenson"/>
        <s v="Susann Bass"/>
        <s v="Khalilah Robertson"/>
        <s v="Shiloh Bates"/>
        <s v="Wm Pope"/>
        <s v="Giselle Robles"/>
        <s v="Alysia Nicholson"/>
        <s v="Tuyet Rosa"/>
        <s v="Ramiro Byers"/>
        <s v="Bettie Pierce"/>
        <s v="Manie Maxwell"/>
        <s v="Angella Bridges"/>
        <s v="Dorthey Jackson"/>
        <s v="Jennette Baker"/>
        <s v="Janella Bright"/>
        <s v="Kenton Hughes"/>
        <s v="Yevette Elliott"/>
        <s v="Jonna Brown"/>
        <s v="Yu Mcdonald"/>
        <s v="Shu Mays"/>
        <s v="Lolita Mosley"/>
        <s v="Blanca Hooper"/>
        <s v="Joni Lee"/>
        <s v="Carita Salinas"/>
        <s v="Trudy Riddle"/>
        <s v="Jama Rodriquez"/>
        <s v="Kandi Mcneil"/>
        <s v="Donette Mccarthy"/>
        <s v="Magda Eaton"/>
        <s v="Collene Knox"/>
        <s v="Nestor Haynes"/>
        <s v="Latricia Lindsey"/>
        <s v="Nichelle Rosario"/>
        <s v="Julius Holt"/>
        <s v="Gertha Mejia"/>
        <s v="Florencio Davenport"/>
        <s v="Shonta Preston"/>
        <s v="Chere Alston"/>
        <s v="Jenise Preston"/>
        <s v="Candelaria Coffey"/>
        <s v="Ana Palmer"/>
        <s v="Paul Lester"/>
        <s v="Conchita Boone"/>
        <s v="Chi Goff"/>
        <s v="Yanira Bradshaw"/>
        <s v="Armando Black"/>
        <s v="Letitia Franco"/>
        <s v="Vince Schneider"/>
        <s v="Winfred Harris"/>
        <s v="Lenore Valdez"/>
        <s v="Geraldine O'donnell"/>
        <s v="Larraine Horn"/>
        <s v="Patrina Tanner"/>
        <s v="Georgeann Rojas"/>
        <s v="Evelina Byrd"/>
        <s v="Nanette Roman"/>
        <s v="Shanti Johnston"/>
        <s v="Annett Garrett"/>
        <s v="Claris Santiago"/>
        <s v="Clementine Mooney"/>
        <s v="Carola Mcpherson"/>
        <s v="Agustina Lawrence"/>
        <s v="Clementina Sargent"/>
        <s v="Gwendolyn Miller"/>
        <s v="Giovanna Jefferson"/>
        <s v="Pamelia Newman"/>
        <s v="Bennett Armstrong"/>
        <s v="Brittni Green"/>
        <s v="Dionne Norris"/>
        <s v="Ira Moore"/>
        <s v="Luciano Marsh"/>
        <s v="Shiloh Reeves"/>
        <s v="Karl Stephens"/>
        <s v="Kerrie O'neill"/>
        <s v="Rosanne George"/>
        <s v="Marina Hinton"/>
        <s v="Sherita Cherry"/>
        <s v="Siobhan Lang"/>
        <s v="Eliseo Knight"/>
        <s v="Novella Ross"/>
        <s v="Collene Roman"/>
        <s v="Hipolito Padilla"/>
        <s v="Dung King"/>
        <s v="Season Harvey"/>
        <s v="Macie Ayers"/>
        <s v="Loraine Sykes"/>
        <s v="Larae Carney"/>
        <s v="Marilyn Frank"/>
        <s v="Rudolf Moran"/>
        <s v="Angelique Merrill"/>
        <s v="Sanora Webster"/>
        <s v="Gabriella Jones"/>
        <s v="Gilberte Duke"/>
        <s v="Carissa Foreman"/>
        <s v="Kermit Hyde"/>
        <s v="Arminda Weber"/>
        <s v="Sandee Alvarado"/>
        <s v="Kam Wilder"/>
        <s v="Valentin Mclaughlin"/>
        <s v="Lashawna Richardson"/>
        <s v="Charlesetta Soto"/>
        <s v="Jesus Burch"/>
        <s v="Nathanael Bradley"/>
        <s v="Elease Dejesus"/>
        <s v="Marcell Barrett"/>
        <s v="Lurlene Finch"/>
        <s v="Louanne Martin"/>
        <s v="Domingo Casey"/>
        <s v="Felica Munoz"/>
        <s v="Miranda Kennedy"/>
        <s v="Kandace Giles"/>
        <s v="Virgen Clemons"/>
        <s v="Marcy Rodriguez"/>
        <s v="Trena Hudson"/>
        <s v="Nelle Beck"/>
        <s v="Dane Mcdaniel"/>
        <s v="Debbra Jacobson"/>
        <s v="Moses Pope"/>
        <s v="Ross Pugh"/>
        <s v="Mercy Brown"/>
        <s v="Coleman Boyd"/>
        <s v="Edythe Valencia"/>
        <s v="Sheree Pena"/>
        <s v="Erlinda Humphrey"/>
        <s v="Delma Bailey"/>
        <s v="Chantell Bridges"/>
        <s v="Garry Juarez"/>
        <s v="Edmund Gaines"/>
        <s v="Miriam Baker"/>
        <s v="Aimee Merritt"/>
        <s v="Laure Pena"/>
        <s v="Sally Kinney"/>
        <s v="Obdulia Barber"/>
        <s v="Inga Koch"/>
        <s v="Elanor Patrick"/>
        <s v="Bridgette Guerra"/>
        <s v="Josef Greer"/>
        <s v="Renita Henry"/>
        <s v="Samual Warner"/>
        <s v="Mi Gray"/>
        <s v="Loan Graham"/>
        <s v="Deane Sears"/>
        <s v="Lorraine Marks"/>
        <s v="Eliana Reese"/>
        <s v="Janine Manning"/>
        <s v="Luz House"/>
        <s v="Kerrie Morton"/>
        <s v="Sharla Flynn"/>
        <s v="Cassondra Pruitt"/>
        <s v="Graig Cannon"/>
        <s v="Rudolf Gilliam"/>
        <s v="Zella Fernandez"/>
        <s v="Doris Kaufman"/>
        <s v="Judith Finley"/>
        <s v="Luciana Mcgee"/>
        <s v="Chloe Patel"/>
        <s v="Rutha Howell"/>
        <s v="Tajuana Riddle"/>
        <s v="Novella Patel"/>
        <s v="Ehtel Cobb"/>
        <s v="Romana Barnes"/>
        <s v="Agatha Melton"/>
        <s v="Jayne Kirkland"/>
        <s v="Conrad Mueller"/>
        <s v="Mariana Strong"/>
        <s v="Lee Dunn"/>
        <s v="Stephen Vega"/>
        <s v="Myron Ruiz"/>
        <s v="Abram Copeland"/>
        <s v="Tressa Weiss"/>
        <s v="Douglas Richards"/>
        <s v="Alita Salinas"/>
        <s v="Corrina Sawyer"/>
        <s v="Mellisa Farley"/>
        <s v="Melanie Hayes"/>
        <s v="Walton Dejesus"/>
        <s v="Hugh Craft"/>
        <s v="Chasidy Webster"/>
        <s v="Genny Hensley"/>
        <s v="Carter Bentley"/>
        <s v="Daphine Willis"/>
        <s v="Jone Bernard"/>
        <s v="Loreta Johnston"/>
        <s v="Andreas Mayer"/>
        <s v="Myesha Burgess"/>
        <s v="Skye Pope"/>
        <s v="Rosalva Hamilton"/>
        <s v="Nicholas Vazquez"/>
        <s v="Tamela Harrell"/>
        <s v="Arvilla Weiss"/>
        <s v="Nicki Larson"/>
        <s v="Ashleigh Frank"/>
        <s v="Phebe Turner"/>
        <s v="Annabelle Hebert"/>
        <s v="Camila Carroll"/>
        <s v="Shona Mcmillan"/>
        <s v="Rita Bailey"/>
        <s v="Genoveva Lloyd"/>
        <s v="Lizzie Joyner"/>
        <s v="Marissa Summers"/>
        <s v="Zona Cameron"/>
        <s v="Augustus Steele"/>
        <s v="Jeni Farley"/>
        <s v="Leif Short"/>
        <s v="Ebony Cotton"/>
        <s v="Mila Moody"/>
        <s v="Cecelia Gill"/>
        <s v="Corinna Adams"/>
        <s v="Londa Gould"/>
        <s v="Claudio Wise"/>
        <s v="Cindi Larson"/>
        <s v="Julienne Moody"/>
        <s v="Lavinia Cotton"/>
        <s v="Myrl Gay"/>
        <s v="Alfredo Dodson"/>
        <s v="Raphael O'neil"/>
        <s v="Romeo Steele"/>
        <s v="Bettie Glover"/>
        <s v="Cecilia Camacho"/>
        <s v="Dollie Cervantes"/>
        <s v="Vito Pickett"/>
        <s v="Victor Pittman"/>
        <s v="Effie Jenkins"/>
        <s v="Vernell Goff"/>
        <s v="Jeanie Kirkland"/>
        <s v="Honey Camacho"/>
        <s v="Deandrea Vega"/>
        <s v="Lolita O'neill"/>
        <s v="Hermila Mckay"/>
        <s v="Vicki Wiggins"/>
        <s v="Harold O'connor"/>
        <s v="Krystin Marshall"/>
        <s v="Basil Ballard"/>
        <s v="Beryl Bennett"/>
        <s v="Catherine Miles"/>
        <s v="Darcie Morgan"/>
        <s v="Cyndi Dyer"/>
        <s v="Lewis Garner"/>
        <s v="Tonda Armstrong"/>
        <s v="Penni Best"/>
        <s v="Marlo Jefferson"/>
        <s v="Ulrike Chan"/>
        <s v="Myung Hooper"/>
        <s v="Olimpia Mays"/>
        <s v="Lina Meadows"/>
        <s v="Arie Hunter"/>
        <s v="Patsy Russo"/>
        <s v="Travis Goodman"/>
        <s v="Eric Hardin"/>
        <s v="Babara Ochoa"/>
        <s v="Oliva Blackwell"/>
        <s v="India Barron"/>
        <s v="Jasper Castro"/>
        <s v="Nettie Mcdaniel"/>
        <s v="Barry Buckner"/>
        <s v="Edra Fitzgerald"/>
        <s v="Herlinda Stone"/>
        <s v="Tisa Whitney"/>
        <s v="Vashti Rosario"/>
        <s v="Kellye Campbell"/>
        <s v="Tama Berg"/>
        <s v="Rona Rojas"/>
        <s v="Cherelle Key"/>
        <s v="Cheree Hale"/>
        <s v="Dannette Guerrero"/>
        <s v="Crystle Gilliam"/>
        <s v="Shea Howell"/>
        <s v="Emmett Casey"/>
        <s v="Soledad Moses"/>
        <s v="Elaina Key"/>
        <s v="Mica Barry"/>
        <s v="Cassie Cline"/>
        <s v="Carina Lynch"/>
        <s v="Marlen Dawson"/>
        <s v="Heather Perry"/>
        <s v="Mellisa Griffin"/>
        <s v="Tomasa Carson"/>
        <s v="Jamika Acevedo"/>
        <s v="Georgina Gonzales"/>
        <s v="Ciera Webb"/>
        <s v="Morton Lee"/>
        <s v="Sherril Alvarado"/>
        <s v="Ilda Roberson"/>
        <s v="Dorine Roberson"/>
        <s v="Felice Guzman"/>
        <s v="Jutta Everett"/>
        <s v="Romelia Myers"/>
        <s v="Florrie Little"/>
        <s v="Damian Dawson"/>
        <s v="Cleopatra Tate"/>
        <s v="Berna Moore"/>
        <s v="Serina Hensley"/>
        <s v="Ricki Bullock"/>
        <s v="Lyndsey Bean"/>
        <s v="Jenniffer Bullock"/>
        <s v="Marylyn Browning"/>
        <s v="Shawnna Frank"/>
        <s v="Luis Tyler"/>
        <s v="Crysta Velez"/>
        <s v="Regenia Vaughan"/>
        <s v="Raul Melendez"/>
        <s v="Barbera Riggs"/>
        <s v="Courtney Wyatt"/>
        <s v="Lise Alvarado"/>
        <s v="Emelda Dickerson"/>
        <s v="Delaine Estes"/>
        <s v="Nikita Roy"/>
        <s v="Deshawn Mendoza"/>
        <s v="Sharell Ross"/>
        <s v="Tangela Quinn"/>
        <s v="Dexter Roberts"/>
        <s v="Chantay Maynard"/>
        <s v="Martha Burgess"/>
        <s v="Cori Schwartz"/>
        <s v="Jerri Henry"/>
        <s v="Consuela Romero"/>
        <s v="Renna Williams"/>
        <s v="Hope Cotton"/>
        <s v="Lucio Sherman"/>
        <s v="Kermit Bowman"/>
        <s v="Efren Whitfield"/>
        <s v="Mikel Wilkerson"/>
        <s v="Phuong Wolf"/>
        <s v="Shiela Calderon"/>
        <s v="Renato Morton"/>
        <s v="Wynona Douglas"/>
        <s v="Jeffry Church"/>
        <s v="Whitley Cannon"/>
        <s v="Lloyd Miranda"/>
        <s v="Bea Kane"/>
        <s v="Trista Lambert"/>
        <s v="Mina Carrillo"/>
        <s v="Glady Wells"/>
        <s v="Genny Fields"/>
        <s v="Trinity Riddle"/>
        <s v="Margret Barnett"/>
        <s v="Deangelo Cooley"/>
        <s v="Lashunda Cole"/>
        <s v="Aide Franco"/>
        <s v="Kaylee English"/>
        <s v="Inocencia Key"/>
        <s v="Delana Wagner"/>
        <s v="Alyse Jacobson"/>
        <s v="Aleta Stone"/>
        <s v="Randee Lester"/>
        <s v="Penny Acevedo"/>
        <s v="Tu Ramirez"/>
        <s v="Somer Jordan"/>
        <s v="Adena Blake"/>
        <s v="Oralia Farley"/>
        <s v="Gustavo Gamble"/>
        <s v="Janae Doyle"/>
        <s v="Parthenia Holman"/>
        <s v="Benito Hendrix"/>
        <s v="Pinkie Kirkland"/>
        <s v="Krissy Ochoa"/>
        <s v="Yang Giles"/>
        <s v="Pearl Fox"/>
        <s v="Sherilyn Wilcox"/>
        <s v="Alissa Hood"/>
        <s v="Katelin Kennedy"/>
        <s v="Wendie Nash"/>
        <s v="Margorie Wynn"/>
        <s v="Buford Gilbert"/>
        <s v="Diana Reyes"/>
        <s v="Kate Barber"/>
        <s v="Rozella Fitzgerald"/>
        <s v="Ivelisse Nixon"/>
        <s v="Cristobal Hutchinson"/>
        <s v="Marjory Leonard"/>
        <s v="Tammy Austin"/>
        <s v="Sherise Mercer"/>
        <s v="Hilde Nieves"/>
        <s v="Willow Gardner"/>
        <s v="Sonja Walls"/>
        <s v="Jenna Saunders"/>
        <s v="Lamar Greer"/>
        <s v="Eloisa Tucker"/>
        <s v="Dorine Thornton"/>
        <s v="Malisa Mitchell"/>
        <s v="Kim Clark"/>
        <s v="Majorie Glover"/>
        <s v="Trang Hardin"/>
        <s v="Devin Shaffer"/>
        <s v="Tad Gardner"/>
        <s v="Julia Joyner"/>
        <s v="Rodrigo Durham"/>
        <s v="Lucilla Williams"/>
        <s v="Joy Underwood"/>
        <s v="Brianne Hays"/>
        <s v="Kathie Freeman"/>
        <s v="Coleen Navarro"/>
        <s v="Ocie Slater"/>
        <s v="Lillia Gillespie"/>
        <s v="Tilda Melton"/>
        <s v="Virgil Frost"/>
        <s v="Jule Davenport"/>
        <s v="Tonja Bean"/>
        <s v="Edris Barrett"/>
        <s v="Alejandro Haney"/>
        <s v="Shay Stephenson"/>
        <s v="Neida King"/>
        <s v="Dori Alvarez"/>
        <s v="Gussie Harding"/>
        <s v="Monty Frost"/>
        <s v="Caroline Jenkins"/>
        <s v="Tobie Little"/>
        <s v="Agnes Sims"/>
        <s v="Keturah Reid"/>
        <s v="Desiree Branch"/>
        <s v="Hye Mercer"/>
        <s v="Tempie Jacobson"/>
        <s v="Wai Soto"/>
        <s v="Mary Singleton"/>
        <s v="Arline Lawson"/>
        <s v="Karole Alvarez"/>
        <s v="Valeri Marshall"/>
        <s v="Janelle Maldonado"/>
        <s v="Ira Erickson"/>
        <s v="Brittney Woodward"/>
        <s v="Ken Charles"/>
        <s v="Douglass Blankenship"/>
        <s v="Adrien Hunter"/>
        <s v="Bong Hebert"/>
        <s v="Molly Langley"/>
        <s v="Vance Taylor"/>
        <s v="Barton Crosby"/>
        <s v="Shanelle Anderson"/>
        <s v="Eliz Whitney"/>
        <s v="Cesar Jackson"/>
        <s v="Candis Harding"/>
        <s v="Antony Atkinson"/>
        <s v="Tam Fisher"/>
        <s v="Piedad Irwin"/>
        <s v="Risa Gallagher"/>
        <s v="Anya Contreras"/>
        <s v="Cami Williamson"/>
        <s v="Qiana Jackson"/>
        <s v="Lekisha Pope"/>
        <s v="Andria Rivers"/>
        <s v="Lizzette Stein"/>
        <s v="Elenore Hensley"/>
        <s v="Willis Randolph"/>
        <s v="Celestine Kent"/>
        <s v="Nathalie Knowles"/>
        <s v="Letisha May"/>
        <s v="Verdell Joyner"/>
        <s v="Philip Bryan"/>
        <s v="Gilbert Calhoun"/>
        <s v="Bernardina Cooper"/>
        <s v="Minnie Compton"/>
        <s v="Narcisa Knapp"/>
        <s v="Jenell Crosby"/>
        <s v="Catarina Mendez"/>
        <s v="Yvone Yates"/>
        <s v="Kiana Rivera"/>
        <s v="Sharie Whitaker"/>
        <s v="Bettye Espinoza"/>
        <s v="Arvilla Osborn"/>
        <s v="Lynda Newman"/>
        <s v="Myrtle Gardner"/>
        <s v="Stacie Sims"/>
        <s v="Efren Oliver"/>
        <s v="Priscilla Wilkins"/>
        <s v="Natosha Rowland"/>
        <s v="Kaley Blanchard"/>
        <s v="Heather Chaney"/>
        <s v="Nakisha Clay"/>
        <s v="Maira Long"/>
        <s v="Mechelle Chan"/>
        <s v="Rolanda Larsen"/>
        <s v="Jacalyn Barnett"/>
        <s v="Ami Mcmahon"/>
        <s v="Junita Reese"/>
        <s v="Sharyn Brewer"/>
        <s v="Daisy Ward"/>
        <s v="Lucile Manning"/>
        <s v="Tajuana Rollins"/>
        <s v="Marcene Curtis"/>
        <s v="Charmain Webster"/>
        <s v="Ollie Zimmerman"/>
        <s v="Onita Johns"/>
        <s v="Treasa Dickerson"/>
        <s v="Yan Trevino"/>
        <s v="Everett Vega"/>
        <s v="Kallie Best"/>
        <s v="Jewell Reyes"/>
        <s v="Jeffrey Hill"/>
        <s v="Izola Hobbs"/>
        <s v="Terra Pickett"/>
        <s v="Eleanor Mendez"/>
        <s v="Eliana Silva"/>
        <s v="Verna Solis"/>
        <s v="Kaila Walters"/>
        <s v="Clare Neal"/>
        <s v="Nenita Mooney"/>
        <s v="Rudolph Velez"/>
        <s v="Nanette Harris"/>
        <s v="Alina Mcleod"/>
        <s v="Genevie Miles"/>
        <s v="Sung Chambers"/>
        <s v="Grisel Maynard"/>
        <s v="Jeromy Burch"/>
        <s v="Letty Cobb"/>
        <s v="Danielle Bond"/>
        <s v="Carter Booth"/>
        <s v="Ling Newman"/>
        <s v="Robena Hill"/>
        <s v="Tommie Cooley"/>
        <s v="Aron Wiggins"/>
        <s v="Teofila Fischer"/>
        <s v="Terrance Lynn"/>
        <s v="Rubin Decker"/>
        <s v="Jeannette Skinner"/>
        <s v="Justina Long"/>
        <s v="Corrinne Garrison"/>
        <s v="Lakenya Oliver"/>
        <s v="Laurette Hebert"/>
        <s v="Shanice Spears"/>
        <s v="Leola Gould"/>
        <s v="Willetta Murphy"/>
        <s v="Angele Castro"/>
        <s v="Melia Brady"/>
        <s v="Jenee Rasmussen"/>
        <s v="Shae Hickman"/>
        <s v="Garret Clay"/>
        <s v="Elvina Gates"/>
        <s v="Veronika Rollins"/>
        <s v="Jane Henderson"/>
        <s v="Merideth Preston"/>
        <s v="Melodie Melton"/>
        <s v="Lamar Bush"/>
        <s v="Earl Stanley"/>
        <s v="Jeanice Frost"/>
        <s v="Elmo Sweeney"/>
        <s v="Ilona Spears"/>
        <s v="Cassidy Clark"/>
        <s v="Caridad Compton"/>
        <s v="Nicolas Carlson"/>
        <s v="Charise Burt"/>
        <s v="Edith Davenport"/>
        <s v="Shanita Wiley"/>
        <s v="Porter Bass"/>
        <s v="Sylvester Chan"/>
        <s v="Georgeanna Webster"/>
        <s v="Abby Gamble"/>
        <s v="Kylee Dickson"/>
        <s v="Jessika Bray"/>
        <s v="Carline Collier"/>
        <s v="Janetta Aguirre"/>
        <s v="Queenie Vance"/>
        <s v="Mellie Puckett"/>
        <s v="Sheila Travis"/>
        <s v="Jenine Dawson"/>
        <s v="Cher Alston"/>
        <s v="Ayana Keith"/>
        <s v="Rod Hatfield"/>
        <s v="Cicely Deleon"/>
        <s v="Erma Salinas"/>
        <s v="Minerva Decker"/>
        <s v="Augustina Joyner"/>
        <s v="Delfina Gilliam"/>
        <s v="Jana Thomas"/>
        <s v="Ruth Horton"/>
        <s v="Hae Ramirez"/>
        <s v="Mellisa Kim"/>
        <s v="Raeann Duncan"/>
        <s v="Todd Waters"/>
        <s v="Vivian Deleon"/>
        <s v="Deanne Parsons"/>
        <s v="Alishia Elliott"/>
        <s v="Ashanti Hammond"/>
        <s v="Sarita Parks"/>
        <s v="Muriel Juarez"/>
        <s v="Brigid Sharp"/>
        <s v="Bess Mcbride"/>
        <s v="Kara Higgins"/>
        <s v="Shenna Benton"/>
        <s v="Nicola Knight"/>
        <s v="Malinda Baxter"/>
        <s v="Christopher Richardson"/>
        <s v="Katia Henry"/>
        <s v="Santa Larson"/>
        <s v="Yevette Todd"/>
        <s v="Maurice Norton"/>
        <s v="Berneice Pollard"/>
        <s v="Takako Casey"/>
        <s v="Regine Odom"/>
        <s v="Gilberto Parsons"/>
        <s v="Loni Mullen"/>
        <s v="Shena Carter"/>
        <s v="Deirdre Ryan"/>
        <s v="Jamaal Morrison"/>
        <s v="Ja Dillard"/>
        <s v="Spring Hayes"/>
        <s v="Tena Cruz"/>
        <s v="Rey Lindsay"/>
        <s v="Aida Koch"/>
        <s v="Alma Peck"/>
        <s v="Latonya Dixon"/>
        <s v="Karren Stevenson"/>
        <s v="Cameron Carroll"/>
        <s v="Kiesha Bond"/>
        <s v="Jimmy Russell"/>
        <s v="Marguerite Berger"/>
        <s v="Nubia Anderson"/>
        <s v="Joel Wynn"/>
        <s v="Mathilda Pennington"/>
        <s v="Renay Atkins"/>
        <s v="Joaquin Hawkins"/>
        <s v="Elmira Levy"/>
        <s v="Lynwood Jackson"/>
        <s v="Dung Reid"/>
        <s v="Jeniffer Slater"/>
        <s v="Celestine Jacobs"/>
        <s v="Tenisha Lyons"/>
        <s v="Hortencia O'neil"/>
        <s v="Kenyetta Mason"/>
        <s v="Tena Huber"/>
        <s v="Erik Leblanc"/>
        <s v="Zora Ford"/>
        <s v="Lara Guy"/>
        <s v="James Robles"/>
        <s v="Desire Mcgowan"/>
        <s v="Stefany Potter"/>
        <s v="Louis Powell"/>
        <s v="Linnie Branch"/>
        <s v="Earlean Pena"/>
        <s v="Cassandra Nichols"/>
        <s v="Bella Perez"/>
        <s v="Kellie Franco"/>
        <s v="Parthenia Figueroa"/>
        <s v="Katherin Clark"/>
        <s v="Ruthanne Franco"/>
        <s v="Monica Sears"/>
        <s v="Diane Jones"/>
        <s v="Tiny French"/>
        <s v="Carolann Russell"/>
        <s v="Cinthia Poole"/>
        <s v="Rayford Simon"/>
        <s v="Bev Chang"/>
        <s v="Lavern Orr"/>
        <s v="Erna Sloan"/>
        <s v="Sheree Blanchard"/>
        <s v="Jonell Rivas"/>
        <s v="Selene Vega"/>
        <s v="Ester Acevedo"/>
        <s v="Lavina Dejesus"/>
        <s v="Emory O'connor"/>
        <s v="Latoya Johns"/>
        <s v="Addie Hahn"/>
        <s v="Patria Harper"/>
        <s v="Tara Maynard"/>
        <s v="Mazie Fernandez"/>
        <s v="Gayla Sims"/>
        <s v="Britteny Schroeder"/>
        <s v="Frederica Rojas"/>
        <s v="Laurel Schultz"/>
        <s v="Zenia Bruce"/>
        <s v="Homer Powers"/>
        <s v="Dortha Jarvis"/>
        <s v="Jerlene Rios"/>
        <s v="Julianne Shannon"/>
        <s v="Orval Hunter"/>
        <s v="Emmett Hahn"/>
        <s v="Damian Mills"/>
        <s v="Barry Albert"/>
        <s v="Reita Dickson"/>
        <s v="Sandy Mills"/>
        <s v="Lurlene Cotton"/>
        <s v="Whitney Estes"/>
        <s v="Sheba Knapp"/>
        <s v="Sophia Mcmillan"/>
        <s v="Kristy Watkins"/>
        <s v="Mireille Puckett"/>
        <s v="Leland Mcdowell"/>
        <s v="Fairy Robinson"/>
        <s v="Greta Page"/>
        <s v="Hue May"/>
        <s v="Shanda Stevenson"/>
        <s v="Ping Quinn"/>
        <s v="Desmond Rose"/>
        <s v="Wanita Davenport"/>
        <s v="Louise Flowers"/>
        <s v="Dorothea Chang"/>
        <s v="Stan Saunders"/>
        <s v="Cayla Johnson"/>
        <s v="Fannie Jenkins"/>
        <s v="Katherina Odom"/>
        <s v="Tameka Fisher"/>
        <s v="Alisia Albert"/>
        <s v="Wilda Petersen"/>
        <s v="Emanuel Mckee"/>
        <s v="Thalia Horne"/>
        <s v="Hayden Cross"/>
        <s v="Marshall Johnson"/>
        <s v="Yuk Vega"/>
        <s v="Guillermina Noble"/>
        <s v="Karey Steele"/>
        <s v="Cyndi Bush"/>
        <m/>
      </sharedItems>
    </cacheField>
    <cacheField name="customer state" numFmtId="0">
      <sharedItems containsBlank="1">
        <s v="CA"/>
        <s v="NY"/>
        <s v="TX"/>
        <m/>
      </sharedItems>
    </cacheField>
    <cacheField name="customer city " numFmtId="0">
      <sharedItems containsBlank="1">
        <s v="Pleasanton"/>
        <s v="Huntington Station"/>
        <s v="Patchogue"/>
        <s v="Duarte"/>
        <s v="Utica"/>
        <s v="Baldwinsville"/>
        <s v="Bellmore"/>
        <s v="Saratoga Springs"/>
        <s v="San Carlos"/>
        <s v="Yonkers"/>
        <s v="Auburn"/>
        <s v="San Diego"/>
        <s v="Niagara Falls"/>
        <s v="Torrance"/>
        <s v="Carmel"/>
        <s v="Banning"/>
        <s v="Pomona"/>
        <s v="Coachella"/>
        <s v="Encino"/>
        <s v="Canyon Country"/>
        <s v="Mount Vernon"/>
        <s v="Campbell"/>
        <s v="Santa Clara"/>
        <s v="Floral Park"/>
        <s v="Baldwin"/>
        <s v="Wappingers Falls"/>
        <s v="Bronx"/>
        <s v="Richmond Hill"/>
        <s v="Orchard Park"/>
        <s v="Merrick"/>
        <s v="Harlingen"/>
        <s v="Selden"/>
        <s v="Buffalo"/>
        <s v="West Hempstead"/>
        <s v="West Islip"/>
        <s v="Woodside"/>
        <s v="Long Beach"/>
        <s v="Saint Albans"/>
        <s v="Ithaca"/>
        <s v="Rego Park"/>
        <s v="Liverpool"/>
        <s v="Hopewell Junction"/>
        <s v="Central Islip"/>
        <s v="Ossining"/>
        <s v="Shirley"/>
        <s v="Corpus Christi"/>
        <s v="Elmhurst"/>
        <s v="Anaheim"/>
        <s v="Plainview"/>
        <s v="Garden City"/>
        <s v="Rome"/>
        <s v="Rochester"/>
        <s v="Franklin Square"/>
        <s v="Atwater"/>
        <s v="Monroe"/>
        <s v="Ridgecrest"/>
        <s v="Clifton Park"/>
        <s v="Far Rockaway"/>
        <s v="Sugar Land"/>
        <s v="New Windsor"/>
        <s v="Bayside"/>
        <s v="Ballston Spa"/>
        <s v="Port Washington"/>
        <s v="Glendora"/>
        <s v="Ronkonkoma"/>
        <s v="Santa Monica"/>
        <s v="Glen Cove"/>
        <s v="Upland"/>
        <s v="Brooklyn"/>
        <s v="Lake Jackson"/>
        <s v="San Pablo"/>
        <s v="Centereach"/>
        <s v="Lawndale"/>
        <s v="Lindenhurst"/>
        <s v="Rockville Centre"/>
        <s v="Pittsford"/>
        <s v="Fort Worth"/>
        <s v="Bethpage"/>
        <s v="Longview"/>
        <s v="Lancaster"/>
        <s v="Kingston"/>
        <s v="Victoria"/>
        <s v="Hempstead"/>
        <s v="Helotes"/>
        <s v="Amsterdam"/>
        <s v="Forest Hills"/>
        <s v="East Elmhurst"/>
        <s v="Freeport"/>
        <s v="Rocklin"/>
        <s v="New York"/>
        <s v="New Hyde Park"/>
        <s v="South Richmond Hill"/>
        <s v="Schenectady"/>
        <s v="Queensbury"/>
        <s v="Euless"/>
        <s v="Oswego"/>
        <s v="West Babylon"/>
        <s v="Desoto"/>
        <s v="Howard Beach"/>
        <s v="Brentwood"/>
        <s v="Oxnard"/>
        <s v="Amityville"/>
        <s v="Bakersfield"/>
        <s v="Port Jefferson Station"/>
        <s v="North Tonawanda"/>
        <s v="Rosedale"/>
        <s v="San Jose"/>
        <s v="Houston"/>
        <s v="Fullerton"/>
        <s v="Jamaica"/>
        <s v="Oakland"/>
        <s v="Jackson Heights"/>
        <s v="Westbury"/>
        <s v="Scarsdale"/>
        <s v="Palos Verdes Peninsula"/>
        <s v="Smithtown"/>
        <s v="East Northport"/>
        <s v="Plattsburgh"/>
        <s v="Massapequa"/>
        <s v="Maspeth"/>
        <s v="New City"/>
        <s v="San Angelo"/>
        <s v="Hicksville"/>
        <s v="Woodhaven"/>
        <s v="Hollis"/>
        <s v="Copperas Cove"/>
        <s v="Apple Valley"/>
        <s v="Coram"/>
        <s v="Fresh Meadows"/>
        <s v="Nanuet"/>
        <s v="Webster"/>
        <s v="Jamestown"/>
        <s v="Sunnyside"/>
        <s v="Farmingdale"/>
        <s v="Staten Island"/>
        <s v="Huntington"/>
        <s v="Garland"/>
        <s v="Ontario"/>
        <s v="Vista"/>
        <s v="Sacramento"/>
        <s v="San Lorenzo"/>
        <s v="Bay Shore"/>
        <s v="Whitestone"/>
        <s v="Troy"/>
        <s v="Poughkeepsie"/>
        <s v="Redondo Beach"/>
        <s v="Syosset"/>
        <s v="Spring Valley"/>
        <s v="Elmont"/>
        <s v="Ozone Park"/>
        <s v="Deer Park"/>
        <s v="Newburgh"/>
        <s v="Santa Cruz"/>
        <s v="Port Chester"/>
        <s v="Astoria"/>
        <s v="South Ozone Park"/>
        <s v="Fresno"/>
        <s v="Monsey"/>
        <s v="Yorktown Heights"/>
        <s v="El Paso"/>
        <s v="Los Banos"/>
        <s v="Canandaigua"/>
        <s v="Uniondale"/>
        <s v="Forney"/>
        <s v="Hamburg"/>
        <s v="Levittown"/>
        <s v="New Rochelle"/>
        <s v="Rowlett"/>
        <s v="South El Monte"/>
        <s v="Richardson"/>
        <s v="Endicott"/>
        <s v="Corona"/>
        <s v="Oakland Gardens"/>
        <s v="Springfield Gardens"/>
        <s v="Wantagh"/>
        <s v="San Antonio"/>
        <s v="Lockport"/>
        <s v="Los Angeles"/>
        <s v="Mountain View"/>
        <s v="Holbrook"/>
        <s v="Mahopac"/>
        <s v="Valley Stream"/>
        <s v="Commack"/>
        <s v="Mcallen"/>
        <s v="Fairport"/>
        <s v="Massapequa Park"/>
        <s v="Tonawanda"/>
        <s v="East Meadow"/>
        <s v="Flushing"/>
        <s v="Depew"/>
        <s v="Yuba City"/>
        <s v="Albany"/>
        <s v="Oceanside"/>
        <s v="Amarillo"/>
        <s v="Middle Village"/>
        <m/>
      </sharedItems>
    </cacheField>
    <cacheField name="staff name" numFmtId="0">
      <sharedItems containsBlank="1">
        <s v="Mireya Copeland"/>
        <s v="Marcelene Boyer"/>
        <s v="Venita Daniel"/>
        <s v="Genna Serrano"/>
        <s v="Kali Vargas"/>
        <s v="Layla Terrell"/>
        <m/>
      </sharedItems>
    </cacheField>
    <cacheField name="store name" numFmtId="0">
      <sharedItems containsBlank="1">
        <s v="Santa Cruz Bikes"/>
        <s v="Baldwin Bikes"/>
        <s v="Rowlett Bikes"/>
        <m/>
      </sharedItems>
    </cacheField>
    <cacheField name="store city " numFmtId="0">
      <sharedItems containsBlank="1">
        <s v="Santa Cruz"/>
        <s v="Baldwin"/>
        <s v="Rowlett"/>
        <m/>
      </sharedItems>
    </cacheField>
    <cacheField name="store state" numFmtId="0">
      <sharedItems containsBlank="1">
        <s v="CA"/>
        <s v="NY"/>
        <s v="TX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616" sheet="Orders"/>
  </cacheSource>
  <cacheFields>
    <cacheField name="order_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m/>
      </sharedItems>
    </cacheField>
    <cacheField name="customer_id" numFmtId="0">
      <sharedItems containsString="0" containsBlank="1" containsNumber="1" containsInteger="1">
        <n v="259.0"/>
        <n v="1212.0"/>
        <n v="523.0"/>
        <n v="175.0"/>
        <n v="1324.0"/>
        <n v="94.0"/>
        <n v="324.0"/>
        <n v="1204.0"/>
        <n v="60.0"/>
        <n v="442.0"/>
        <n v="1326.0"/>
        <n v="91.0"/>
        <n v="873.0"/>
        <n v="258.0"/>
        <n v="450.0"/>
        <n v="552.0"/>
        <n v="1175.0"/>
        <n v="541.0"/>
        <n v="696.0"/>
        <n v="923.0"/>
        <n v="1250.0"/>
        <n v="1035.0"/>
        <n v="1149.0"/>
        <n v="636.0"/>
        <n v="657.0"/>
        <n v="1280.0"/>
        <n v="57.0"/>
        <n v="252.0"/>
        <n v="437.0"/>
        <n v="1348.0"/>
        <n v="1238.0"/>
        <n v="1259.0"/>
        <n v="236.0"/>
        <n v="80.0"/>
        <n v="813.0"/>
        <n v="1321.0"/>
        <n v="164.0"/>
        <n v="583.0"/>
        <n v="1296.0"/>
        <n v="348.0"/>
        <n v="979.0"/>
        <n v="1095.0"/>
        <n v="1434.0"/>
        <n v="861.0"/>
        <n v="1220.0"/>
        <n v="746.0"/>
        <n v="1234.0"/>
        <n v="1012.0"/>
        <n v="608.0"/>
        <n v="872.0"/>
        <n v="1047.0"/>
        <n v="767.0"/>
        <n v="965.0"/>
        <n v="535.0"/>
        <n v="1173.0"/>
        <n v="1241.0"/>
        <n v="1305.0"/>
        <n v="504.0"/>
        <n v="563.0"/>
        <n v="151.0"/>
        <n v="277.0"/>
        <n v="208.0"/>
        <n v="1075.0"/>
        <n v="1185.0"/>
        <n v="996.0"/>
        <n v="1253.0"/>
        <n v="526.0"/>
        <n v="381.0"/>
        <n v="1413.0"/>
        <n v="50.0"/>
        <n v="797.0"/>
        <n v="1386.0"/>
        <n v="612.0"/>
        <n v="264.0"/>
        <n v="587.0"/>
        <n v="9.0"/>
        <n v="385.0"/>
        <n v="1182.0"/>
        <n v="529.0"/>
        <n v="397.0"/>
        <n v="521.0"/>
        <n v="1223.0"/>
        <n v="393.0"/>
        <n v="317.0"/>
        <n v="1174.0"/>
        <n v="276.0"/>
        <n v="516.0"/>
        <n v="1069.0"/>
        <n v="668.0"/>
        <n v="414.0"/>
        <n v="648.0"/>
        <n v="1309.0"/>
        <n v="1328.0"/>
        <n v="929.0"/>
        <n v="218.0"/>
        <n v="1094.0"/>
        <n v="204.0"/>
        <n v="1194.0"/>
        <n v="1165.0"/>
        <n v="1237.0"/>
        <n v="271.0"/>
        <n v="336.0"/>
        <n v="991.0"/>
        <n v="7.0"/>
        <n v="306.0"/>
        <n v="422.0"/>
        <n v="633.0"/>
        <n v="12.0"/>
        <n v="1255.0"/>
        <n v="677.0"/>
        <n v="630.0"/>
        <n v="469.0"/>
        <n v="1078.0"/>
        <n v="1431.0"/>
        <n v="1369.0"/>
        <n v="471.0"/>
        <n v="740.0"/>
        <n v="577.0"/>
        <n v="925.0"/>
        <n v="327.0"/>
        <n v="755.0"/>
        <n v="786.0"/>
        <n v="766.0"/>
        <n v="403.0"/>
        <n v="685.0"/>
        <n v="1365.0"/>
        <n v="484.0"/>
        <n v="86.0"/>
        <n v="84.0"/>
        <n v="1049.0"/>
        <n v="316.0"/>
        <n v="46.0"/>
        <n v="409.0"/>
        <n v="679.0"/>
        <n v="1354.0"/>
        <n v="1192.0"/>
        <n v="370.0"/>
        <n v="438.0"/>
        <n v="710.0"/>
        <n v="1264.0"/>
        <n v="557.0"/>
        <n v="170.0"/>
        <n v="693.0"/>
        <n v="1124.0"/>
        <n v="366.0"/>
        <n v="288.0"/>
        <n v="55.0"/>
        <n v="714.0"/>
        <n v="763.0"/>
        <n v="332.0"/>
        <n v="926.0"/>
        <n v="76.0"/>
        <n v="498.0"/>
        <n v="1286.0"/>
        <n v="371.0"/>
        <n v="357.0"/>
        <n v="43.0"/>
        <n v="117.0"/>
        <n v="32.0"/>
        <n v="205.0"/>
        <n v="251.0"/>
        <n v="31.0"/>
        <n v="1325.0"/>
        <n v="610.0"/>
        <n v="574.0"/>
        <n v="338.0"/>
        <n v="1034.0"/>
        <n v="1147.0"/>
        <n v="99.0"/>
        <n v="1200.0"/>
        <n v="237.0"/>
        <n v="1079.0"/>
        <n v="1361.0"/>
        <n v="951.0"/>
        <n v="643.0"/>
        <n v="121.0"/>
        <n v="756.0"/>
        <n v="616.0"/>
        <n v="918.0"/>
        <n v="459.0"/>
        <n v="854.0"/>
        <n v="22.0"/>
        <n v="134.0"/>
        <n v="24.0"/>
        <n v="1127.0"/>
        <n v="183.0"/>
        <n v="390.0"/>
        <n v="1288.0"/>
        <n v="98.0"/>
        <n v="919.0"/>
        <n v="728.0"/>
        <n v="1366.0"/>
        <n v="558.0"/>
        <n v="727.0"/>
        <n v="1247.0"/>
        <n v="127.0"/>
        <n v="640.0"/>
        <n v="760.0"/>
        <n v="1074.0"/>
        <n v="280.0"/>
        <n v="600.0"/>
        <n v="1102.0"/>
        <n v="591.0"/>
        <n v="635.0"/>
        <n v="743.0"/>
        <n v="105.0"/>
        <n v="815.0"/>
        <n v="514.0"/>
        <n v="943.0"/>
        <n v="1140.0"/>
        <n v="1373.0"/>
        <n v="788.0"/>
        <n v="363.0"/>
        <n v="1420.0"/>
        <n v="267.0"/>
        <n v="716.0"/>
        <n v="1179.0"/>
        <n v="1338.0"/>
        <n v="1358.0"/>
        <n v="1218.0"/>
        <n v="51.0"/>
        <n v="1368.0"/>
        <n v="157.0"/>
        <n v="307.0"/>
        <n v="501.0"/>
        <n v="489.0"/>
        <n v="615.0"/>
        <n v="742.0"/>
        <n v="1167.0"/>
        <n v="1257.0"/>
        <n v="1360.0"/>
        <n v="737.0"/>
        <n v="1435.0"/>
        <n v="649.0"/>
        <n v="206.0"/>
        <n v="1351.0"/>
        <n v="1350.0"/>
        <n v="13.0"/>
        <n v="65.0"/>
        <n v="1082.0"/>
        <n v="1168.0"/>
        <n v="802.0"/>
        <n v="956.0"/>
        <n v="223.0"/>
        <n v="17.0"/>
        <n v="928.0"/>
        <n v="1376.0"/>
        <n v="145.0"/>
        <n v="150.0"/>
        <n v="851.0"/>
        <n v="66.0"/>
        <n v="1267.0"/>
        <n v="510.0"/>
        <n v="801.0"/>
        <n v="26.0"/>
        <n v="1314.0"/>
        <n v="107.0"/>
        <n v="413.0"/>
        <n v="632.0"/>
        <n v="1045.0"/>
        <n v="579.0"/>
        <n v="1322.0"/>
        <n v="5.0"/>
        <n v="682.0"/>
        <n v="933.0"/>
        <n v="282.0"/>
        <n v="540.0"/>
        <n v="764.0"/>
        <n v="879.0"/>
        <n v="350.0"/>
        <n v="497.0"/>
        <n v="1340.0"/>
        <n v="411.0"/>
        <n v="1341.0"/>
        <n v="1227.0"/>
        <n v="546.0"/>
        <n v="1301.0"/>
        <n v="378.0"/>
        <n v="638.0"/>
        <n v="800.0"/>
        <n v="159.0"/>
        <n v="181.0"/>
        <n v="1356.0"/>
        <n v="319.0"/>
        <n v="59.0"/>
        <n v="133.0"/>
        <n v="780.0"/>
        <n v="849.0"/>
        <n v="202.0"/>
        <n v="158.0"/>
        <n v="360.0"/>
        <n v="573.0"/>
        <n v="732.0"/>
        <n v="1130.0"/>
        <n v="1245.0"/>
        <n v="1425.0"/>
        <n v="885.0"/>
        <n v="281.0"/>
        <n v="1205.0"/>
        <n v="1375.0"/>
        <n v="36.0"/>
        <n v="230.0"/>
        <n v="705.0"/>
        <n v="424.0"/>
        <n v="695.0"/>
        <n v="156.0"/>
        <n v="211.0"/>
        <n v="627.0"/>
        <n v="1400.0"/>
        <n v="299.0"/>
        <n v="565.0"/>
        <n v="1019.0"/>
        <n v="1263.0"/>
        <n v="670.0"/>
        <n v="795.0"/>
        <n v="1141.0"/>
        <n v="941.0"/>
        <n v="1428.0"/>
        <n v="568.0"/>
        <n v="924.0"/>
        <n v="1243.0"/>
        <n v="480.0"/>
        <n v="848.0"/>
        <n v="1337.0"/>
        <n v="83.0"/>
        <n v="528.0"/>
        <n v="274.0"/>
        <n v="622.0"/>
        <n v="642.0"/>
        <n v="659.0"/>
        <n v="779.0"/>
        <n v="1112.0"/>
        <n v="1193.0"/>
        <n v="1030.0"/>
        <n v="1252.0"/>
        <n v="1333.0"/>
        <n v="1110.0"/>
        <n v="963.0"/>
        <n v="1357.0"/>
        <n v="806.0"/>
        <n v="961.0"/>
        <n v="750.0"/>
        <n v="1299.0"/>
        <n v="584.0"/>
        <n v="1004.0"/>
        <n v="907.0"/>
        <n v="30.0"/>
        <n v="1307.0"/>
        <n v="16.0"/>
        <n v="1387.0"/>
        <n v="551.0"/>
        <n v="1011.0"/>
        <n v="1189.0"/>
        <n v="14.0"/>
        <n v="1042.0"/>
        <n v="441.0"/>
        <n v="1300.0"/>
        <n v="994.0"/>
        <n v="187.0"/>
        <n v="834.0"/>
        <n v="373.0"/>
        <n v="981.0"/>
        <n v="1054.0"/>
        <n v="527.0"/>
        <n v="995.0"/>
        <n v="1285.0"/>
        <n v="758.0"/>
        <n v="891.0"/>
        <n v="132.0"/>
        <n v="337.0"/>
        <n v="1313.0"/>
        <n v="536.0"/>
        <n v="825.0"/>
        <n v="1355.0"/>
        <n v="475.0"/>
        <n v="954.0"/>
        <n v="1156.0"/>
        <n v="1297.0"/>
        <n v="199.0"/>
        <n v="331.0"/>
        <n v="410.0"/>
        <n v="1274.0"/>
        <n v="1362.0"/>
        <n v="451.0"/>
        <n v="1080.0"/>
        <n v="53.0"/>
        <n v="576.0"/>
        <n v="61.0"/>
        <n v="176.0"/>
        <n v="368.0"/>
        <n v="522.0"/>
        <n v="144.0"/>
        <n v="542.0"/>
        <n v="1437.0"/>
        <n v="447.0"/>
        <n v="1001.0"/>
        <n v="1295.0"/>
        <n v="103.0"/>
        <n v="1335.0"/>
        <n v="578.0"/>
        <n v="396.0"/>
        <n v="603.0"/>
        <n v="1380.0"/>
        <n v="77.0"/>
        <n v="1071.0"/>
        <n v="416.0"/>
        <n v="1151.0"/>
        <n v="261.0"/>
        <n v="1202.0"/>
        <n v="717.0"/>
        <n v="917.0"/>
        <n v="1265.0"/>
        <n v="1377.0"/>
        <n v="359.0"/>
        <n v="88.0"/>
        <n v="72.0"/>
        <n v="240.0"/>
        <n v="398.0"/>
        <n v="1397.0"/>
        <n v="67.0"/>
        <n v="843.0"/>
        <n v="944.0"/>
        <n v="434.0"/>
        <n v="1039.0"/>
        <n v="153.0"/>
        <n v="272.0"/>
        <n v="1217.0"/>
        <n v="169.0"/>
        <n v="1062.0"/>
        <n v="726.0"/>
        <n v="791.0"/>
        <n v="1085.0"/>
        <n v="314.0"/>
        <n v="149.0"/>
        <n v="882.0"/>
        <n v="704.0"/>
        <n v="667.0"/>
        <n v="1371.0"/>
        <n v="362.0"/>
        <n v="399.0"/>
        <n v="808.0"/>
        <n v="101.0"/>
        <n v="492.0"/>
        <n v="575.0"/>
        <n v="1146.0"/>
        <n v="997.0"/>
        <n v="1028.0"/>
        <n v="988.0"/>
        <n v="1055.0"/>
        <n v="1061.0"/>
        <n v="1349.0"/>
        <n v="197.0"/>
        <n v="874.0"/>
        <n v="691.0"/>
        <n v="853.0"/>
        <n v="852.0"/>
        <n v="964.0"/>
        <n v="74.0"/>
        <n v="1198.0"/>
        <n v="1440.0"/>
        <n v="555.0"/>
        <n v="1261.0"/>
        <n v="1089.0"/>
        <n v="641.0"/>
        <n v="697.0"/>
        <n v="468.0"/>
        <n v="549.0"/>
        <n v="553.0"/>
        <n v="241.0"/>
        <n v="559.0"/>
        <n v="449.0"/>
        <n v="304.0"/>
        <n v="984.0"/>
        <n v="686.0"/>
        <n v="481.0"/>
        <n v="513.0"/>
        <n v="703.0"/>
        <n v="421.0"/>
        <n v="465.0"/>
        <n v="709.0"/>
        <n v="827.0"/>
        <n v="921.0"/>
        <n v="899.0"/>
        <n v="876.0"/>
        <n v="1048.0"/>
        <n v="191.0"/>
        <n v="796.0"/>
        <n v="875.0"/>
        <n v="712.0"/>
        <n v="193.0"/>
        <n v="785.0"/>
        <n v="1331.0"/>
        <n v="260.0"/>
        <n v="148.0"/>
        <n v="977.0"/>
        <n v="401.0"/>
        <n v="932.0"/>
        <n v="1381.0"/>
        <n v="721.0"/>
        <n v="831.0"/>
        <n v="1378.0"/>
        <n v="1359.0"/>
        <n v="235.0"/>
        <n v="586.0"/>
        <n v="377.0"/>
        <n v="8.0"/>
        <n v="155.0"/>
        <n v="927.0"/>
        <n v="986.0"/>
        <n v="111.0"/>
        <n v="613.0"/>
        <n v="1374.0"/>
        <n v="54.0"/>
        <n v="639.0"/>
        <n v="664.0"/>
        <n v="724.0"/>
        <n v="1056.0"/>
        <n v="569.0"/>
        <n v="1315.0"/>
        <n v="1096.0"/>
        <n v="506.0"/>
        <n v="676.0"/>
        <n v="753.0"/>
        <n v="773.0"/>
        <n v="116.0"/>
        <n v="817.0"/>
        <n v="1334.0"/>
        <n v="1406.0"/>
        <n v="835.0"/>
        <n v="759.0"/>
        <n v="1353.0"/>
        <n v="341.0"/>
        <n v="1144.0"/>
        <n v="1429.0"/>
        <n v="1228.0"/>
        <n v="313.0"/>
        <n v="62.0"/>
        <n v="321.0"/>
        <n v="1108.0"/>
        <n v="470.0"/>
        <n v="20.0"/>
        <n v="739.0"/>
        <n v="64.0"/>
        <n v="892.0"/>
        <n v="1169.0"/>
        <n v="1282.0"/>
        <n v="913.0"/>
        <n v="104.0"/>
        <n v="212.0"/>
        <n v="1248.0"/>
        <n v="1443.0"/>
        <n v="959.0"/>
        <n v="1405.0"/>
        <n v="90.0"/>
        <n v="942.0"/>
        <n v="365.0"/>
        <n v="1058.0"/>
        <n v="894.0"/>
        <n v="298.0"/>
        <n v="1430.0"/>
        <n v="1275.0"/>
        <n v="707.0"/>
        <n v="989.0"/>
        <n v="178.0"/>
        <n v="423.0"/>
        <n v="833.0"/>
        <n v="33.0"/>
        <n v="1272.0"/>
        <n v="445.0"/>
        <n v="819.0"/>
        <n v="160.0"/>
        <n v="581.0"/>
        <n v="688.0"/>
        <n v="792.0"/>
        <n v="1209.0"/>
        <n v="1219.0"/>
        <n v="1306.0"/>
        <n v="487.0"/>
        <n v="102.0"/>
        <n v="719.0"/>
        <n v="990.0"/>
        <n v="1211.0"/>
        <n v="1232.0"/>
        <n v="1318.0"/>
        <n v="538.0"/>
        <n v="952.0"/>
        <n v="1121.0"/>
        <n v="40.0"/>
        <n v="1.0"/>
        <n v="624.0"/>
        <n v="683.0"/>
        <n v="823.0"/>
        <n v="1032.0"/>
        <n v="96.0"/>
        <n v="1208.0"/>
        <n v="18.0"/>
        <n v="309.0"/>
        <n v="1103.0"/>
        <n v="896.0"/>
        <n v="711.0"/>
        <n v="1073.0"/>
        <n v="634.0"/>
        <n v="1159.0"/>
        <n v="654.0"/>
        <n v="560.0"/>
        <n v="1444.0"/>
        <n v="118.0"/>
        <n v="131.0"/>
        <n v="454.0"/>
        <n v="466.0"/>
        <n v="1157.0"/>
        <n v="1398.0"/>
        <n v="678.0"/>
        <n v="814.0"/>
        <n v="1163.0"/>
        <n v="130.0"/>
        <n v="1119.0"/>
        <n v="561.0"/>
        <n v="973.0"/>
        <n v="1404.0"/>
        <n v="855.0"/>
        <n v="163.0"/>
        <n v="1040.0"/>
        <n v="27.0"/>
        <n v="520.0"/>
        <n v="532.0"/>
        <n v="512.0"/>
        <n v="1302.0"/>
        <n v="550.0"/>
        <n v="1093.0"/>
        <n v="673.0"/>
        <n v="847.0"/>
        <n v="901.0"/>
        <n v="439.0"/>
        <n v="1199.0"/>
        <n v="975.0"/>
        <n v="283.0"/>
        <n v="684.0"/>
        <n v="1153.0"/>
        <n v="729.0"/>
        <n v="190.0"/>
        <n v="985.0"/>
        <n v="1249.0"/>
        <n v="1129.0"/>
        <n v="347.0"/>
        <n v="949.0"/>
        <n v="349.0"/>
        <n v="1051.0"/>
        <n v="1391.0"/>
        <n v="383.0"/>
        <n v="626.0"/>
        <n v="1125.0"/>
        <n v="344.0"/>
        <n v="681.0"/>
        <n v="29.0"/>
        <n v="770.0"/>
        <n v="858.0"/>
        <n v="297.0"/>
        <n v="745.0"/>
        <n v="361.0"/>
        <n v="922.0"/>
        <n v="908.0"/>
        <n v="733.0"/>
        <n v="291.0"/>
        <n v="790.0"/>
        <n v="809.0"/>
        <n v="250.0"/>
        <n v="81.0"/>
        <n v="245.0"/>
        <n v="499.0"/>
        <n v="614.0"/>
        <n v="741.0"/>
        <n v="762.0"/>
        <n v="976.0"/>
        <n v="380.0"/>
        <n v="530.0"/>
        <n v="343.0"/>
        <n v="884.0"/>
        <n v="1097.0"/>
        <n v="1081.0"/>
        <n v="2.0"/>
        <n v="1233.0"/>
        <n v="58.0"/>
        <n v="606.0"/>
        <n v="1242.0"/>
        <n v="562.0"/>
        <n v="543.0"/>
        <n v="958.0"/>
        <n v="4.0"/>
        <n v="850.0"/>
        <n v="1352.0"/>
        <n v="417.0"/>
        <n v="1137.0"/>
        <n v="1196.0"/>
        <n v="1271.0"/>
        <n v="79.0"/>
        <n v="660.0"/>
        <n v="1162.0"/>
        <n v="295.0"/>
        <n v="1246.0"/>
        <n v="173.0"/>
        <n v="207.0"/>
        <n v="805.0"/>
        <n v="672.0"/>
        <n v="1312.0"/>
        <n v="38.0"/>
        <n v="200.0"/>
        <n v="382.0"/>
        <n v="625.0"/>
        <n v="1399.0"/>
        <n v="845.0"/>
        <n v="864.0"/>
        <n v="870.0"/>
        <n v="969.0"/>
        <n v="962.0"/>
        <n v="1138.0"/>
        <n v="897.0"/>
        <n v="500.0"/>
        <n v="910.0"/>
        <n v="147.0"/>
        <n v="832.0"/>
        <n v="939.0"/>
        <n v="184.0"/>
        <n v="694.0"/>
        <n v="124.0"/>
        <n v="49.0"/>
        <n v="1113.0"/>
        <n v="119.0"/>
        <n v="433.0"/>
        <n v="137.0"/>
        <n v="166.0"/>
        <n v="698.0"/>
        <n v="391.0"/>
        <n v="87.0"/>
        <n v="1072.0"/>
        <n v="255.0"/>
        <n v="232.0"/>
        <n v="731.0"/>
        <n v="335.0"/>
        <n v="1201.0"/>
        <n v="646.0"/>
        <n v="531.0"/>
        <n v="1143.0"/>
        <n v="1336.0"/>
        <n v="953.0"/>
        <n v="284.0"/>
        <n v="1104.0"/>
        <n v="1291.0"/>
        <n v="572.0"/>
        <n v="842.0"/>
        <n v="701.0"/>
        <n v="1152.0"/>
        <n v="141.0"/>
        <n v="564.0"/>
        <n v="841.0"/>
        <n v="946.0"/>
        <n v="135.0"/>
        <n v="671.0"/>
        <n v="448.0"/>
        <n v="1385.0"/>
        <n v="690.0"/>
        <n v="968.0"/>
        <n v="490.0"/>
        <n v="496.0"/>
        <n v="56.0"/>
        <n v="367.0"/>
        <n v="592.0"/>
        <n v="1018.0"/>
        <n v="1298.0"/>
        <n v="1343.0"/>
        <n v="430.0"/>
        <n v="794.0"/>
        <n v="249.0"/>
        <n v="700.0"/>
        <n v="1363.0"/>
        <n v="772.0"/>
        <n v="1015.0"/>
        <n v="432.0"/>
        <n v="479.0"/>
        <n v="653.0"/>
        <n v="863.0"/>
        <n v="992.0"/>
        <n v="154.0"/>
        <n v="374.0"/>
        <n v="619.0"/>
        <n v="607.0"/>
        <n v="1057.0"/>
        <n v="78.0"/>
        <n v="340.0"/>
        <n v="1105.0"/>
        <n v="95.0"/>
        <n v="420.0"/>
        <n v="234.0"/>
        <n v="1148.0"/>
        <n v="315.0"/>
        <n v="1222.0"/>
        <n v="524.0"/>
        <n v="1164.0"/>
        <n v="1203.0"/>
        <n v="629.0"/>
        <n v="1251.0"/>
        <n v="811.0"/>
        <n v="301.0"/>
        <n v="1319.0"/>
        <n v="221.0"/>
        <n v="725.0"/>
        <n v="1181.0"/>
        <n v="294.0"/>
        <n v="415.0"/>
        <n v="993.0"/>
        <n v="10.0"/>
        <n v="45.0"/>
        <n v="666.0"/>
        <n v="246.0"/>
        <n v="674.0"/>
        <n v="431.0"/>
        <n v="1000.0"/>
        <n v="1215.0"/>
        <n v="406.0"/>
        <n v="890.0"/>
        <n v="940.0"/>
        <n v="455.0"/>
        <n v="948.0"/>
        <n v="1395.0"/>
        <n v="1332.0"/>
        <n v="372.0"/>
        <n v="428.0"/>
        <n v="1133.0"/>
        <n v="1059.0"/>
        <n v="1436.0"/>
        <n v="662.0"/>
        <n v="715.0"/>
        <n v="329.0"/>
        <n v="597.0"/>
        <n v="776.0"/>
        <n v="1346.0"/>
        <n v="1139.0"/>
        <n v="883.0"/>
        <n v="177.0"/>
        <n v="775.0"/>
        <n v="477.0"/>
        <n v="1402.0"/>
        <n v="162.0"/>
        <n v="644.0"/>
        <n v="473.0"/>
        <n v="1177.0"/>
        <n v="1230.0"/>
        <n v="446.0"/>
        <n v="902.0"/>
        <n v="974.0"/>
        <n v="1410.0"/>
        <n v="97.0"/>
        <n v="868.0"/>
        <n v="844.0"/>
        <n v="1416.0"/>
        <n v="358.0"/>
        <n v="394.0"/>
        <n v="829.0"/>
        <n v="661.0"/>
        <n v="386.0"/>
        <n v="1046.0"/>
        <n v="784.0"/>
        <n v="224.0"/>
        <n v="214.0"/>
        <n v="1206.0"/>
        <n v="1024.0"/>
        <n v="196.0"/>
        <n v="507.0"/>
        <n v="871.0"/>
        <n v="1396.0"/>
        <n v="1195.0"/>
        <n v="1038.0"/>
        <n v="830.0"/>
        <n v="171.0"/>
        <n v="384.0"/>
        <n v="651.0"/>
        <n v="1293.0"/>
        <n v="1320.0"/>
        <n v="857.0"/>
        <n v="376.0"/>
        <n v="47.0"/>
        <n v="352.0"/>
        <n v="605.0"/>
        <n v="971.0"/>
        <n v="345.0"/>
        <n v="1278.0"/>
        <n v="179.0"/>
        <n v="1020.0"/>
        <n v="609.0"/>
        <n v="877.0"/>
        <n v="120.0"/>
        <n v="402.0"/>
        <n v="188.0"/>
        <n v="342.0"/>
        <n v="887.0"/>
        <n v="519.0"/>
        <n v="699.0"/>
        <n v="1068.0"/>
        <n v="215.0"/>
        <n v="718.0"/>
        <n v="881.0"/>
        <n v="242.0"/>
        <n v="781.0"/>
        <n v="966.0"/>
        <n v="628.0"/>
        <n v="656.0"/>
        <n v="769.0"/>
        <n v="68.0"/>
        <n v="1316.0"/>
        <n v="233.0"/>
        <n v="1438.0"/>
        <n v="957.0"/>
        <n v="472.0"/>
        <n v="1224.0"/>
        <n v="631.0"/>
        <n v="804.0"/>
        <n v="909.0"/>
        <n v="93.0"/>
        <n v="265.0"/>
        <n v="73.0"/>
        <n v="129.0"/>
        <n v="1407.0"/>
        <n v="585.0"/>
        <n v="736.0"/>
        <n v="537.0"/>
        <n v="1025.0"/>
        <n v="138.0"/>
        <n v="167.0"/>
        <n v="525.0"/>
        <n v="278.0"/>
        <n v="618.0"/>
        <n v="867.0"/>
        <n v="142.0"/>
        <n v="339.0"/>
        <n v="355.0"/>
        <n v="658.0"/>
        <n v="611.0"/>
        <n v="880.0"/>
        <n v="1184.0"/>
        <n v="722.0"/>
        <n v="1276.0"/>
        <n v="650.0"/>
        <n v="1390.0"/>
        <n v="82.0"/>
        <n v="570.0"/>
        <n v="1432.0"/>
        <n v="404.0"/>
        <n v="457.0"/>
        <n v="389.0"/>
        <n v="1323.0"/>
        <n v="1403.0"/>
        <n v="248.0"/>
        <n v="836.0"/>
        <n v="1426.0"/>
        <n v="270.0"/>
        <n v="238.0"/>
        <n v="511.0"/>
        <n v="1092.0"/>
        <n v="1266.0"/>
        <n v="400.0"/>
        <n v="1123.0"/>
        <n v="1190.0"/>
        <n v="328.0"/>
        <n v="687.0"/>
        <n v="1423.0"/>
        <n v="1158.0"/>
        <n v="1287.0"/>
        <n v="461.0"/>
        <n v="556.0"/>
        <n v="172.0"/>
        <n v="436.0"/>
        <n v="1145.0"/>
        <n v="706.0"/>
        <n v="751.0"/>
        <n v="723.0"/>
        <n v="1415.0"/>
        <n v="419.0"/>
        <n v="621.0"/>
        <n v="915.0"/>
        <n v="485.0"/>
        <n v="219.0"/>
        <n v="590.0"/>
        <n v="645.0"/>
        <n v="354.0"/>
        <n v="1418.0"/>
        <n v="503.0"/>
        <n v="1389.0"/>
        <n v="266.0"/>
        <n v="1070.0"/>
        <n v="1115.0"/>
        <n v="1345.0"/>
        <n v="1064.0"/>
        <n v="495.0"/>
        <n v="620.0"/>
        <n v="174.0"/>
        <n v="748.0"/>
        <n v="799.0"/>
        <n v="1417.0"/>
        <n v="168.0"/>
        <n v="290.0"/>
        <n v="408.0"/>
        <n v="125.0"/>
        <n v="353.0"/>
        <n v="356.0"/>
        <n v="837.0"/>
        <n v="1304.0"/>
        <n v="1370.0"/>
        <n v="588.0"/>
        <n v="1273.0"/>
        <n v="407.0"/>
        <n v="161.0"/>
        <n v="1308.0"/>
        <n v="429.0"/>
        <n v="582.0"/>
        <n v="895.0"/>
        <n v="1283.0"/>
        <n v="1442.0"/>
        <n v="1229.0"/>
        <n v="1281.0"/>
        <n v="1077.0"/>
        <n v="1225.0"/>
        <n v="70.0"/>
        <n v="539.0"/>
        <n v="1235.0"/>
        <n v="1270.0"/>
        <n v="185.0"/>
        <n v="1134.0"/>
        <n v="777.0"/>
        <n v="194.0"/>
        <n v="239.0"/>
        <n v="209.0"/>
        <n v="460.0"/>
        <n v="1439.0"/>
        <n v="189.0"/>
        <n v="140.0"/>
        <n v="325.0"/>
        <n v="456.0"/>
        <n v="782.0"/>
        <n v="6.0"/>
        <n v="182.0"/>
        <n v="655.0"/>
        <n v="1210.0"/>
        <n v="198.0"/>
        <n v="898.0"/>
        <n v="25.0"/>
        <n v="106.0"/>
        <n v="225.0"/>
        <n v="453.0"/>
        <n v="493.0"/>
        <n v="596.0"/>
        <n v="602.0"/>
        <n v="911.0"/>
        <n v="11.0"/>
        <n v="1003.0"/>
        <n v="42.0"/>
        <n v="412.0"/>
        <n v="793.0"/>
        <n v="812.0"/>
        <n v="1086.0"/>
        <n v="1106.0"/>
        <n v="1327.0"/>
        <n v="1372.0"/>
        <n v="305.0"/>
        <n v="220.0"/>
        <n v="675.0"/>
        <n v="1160.0"/>
        <n v="1427.0"/>
        <n v="1260.0"/>
        <n v="326.0"/>
        <n v="828.0"/>
        <n v="1382.0"/>
        <n v="589.0"/>
        <n v="1311.0"/>
        <n v="752.0"/>
        <n v="1128.0"/>
        <n v="1392.0"/>
        <n v="379.0"/>
        <n v="1317.0"/>
        <n v="1394.0"/>
        <n v="268.0"/>
        <n v="747.0"/>
        <n v="1009.0"/>
        <n v="1424.0"/>
        <n v="735.0"/>
        <n v="23.0"/>
        <n v="912.0"/>
        <n v="930.0"/>
        <n v="798.0"/>
        <n v="388.0"/>
        <n v="1036.0"/>
        <n v="1100.0"/>
        <n v="52.0"/>
        <n v="334.0"/>
        <n v="1023.0"/>
        <n v="749.0"/>
        <n v="1269.0"/>
        <n v="143.0"/>
        <n v="1132.0"/>
        <n v="598.0"/>
        <n v="275.0"/>
        <n v="945.0"/>
        <n v="1213.0"/>
        <n v="494.0"/>
        <n v="936.0"/>
        <n v="663.0"/>
        <n v="69.0"/>
        <n v="1178.0"/>
        <n v="351.0"/>
        <n v="517.0"/>
        <n v="978.0"/>
        <n v="1347.0"/>
        <n v="1050.0"/>
        <n v="810.0"/>
        <n v="254.0"/>
        <n v="1006.0"/>
        <n v="1063.0"/>
        <n v="1076.0"/>
        <n v="554.0"/>
        <n v="1087.0"/>
        <n v="1414.0"/>
        <n v="617.0"/>
        <n v="757.0"/>
        <n v="1344.0"/>
        <n v="1379.0"/>
        <n v="787.0"/>
        <n v="1183.0"/>
        <n v="708.0"/>
        <n v="1244.0"/>
        <n v="720.0"/>
        <n v="789.0"/>
        <n v="865.0"/>
        <n v="869.0"/>
        <n v="889.0"/>
        <n v="1221.0"/>
        <n v="1262.0"/>
        <n v="41.0"/>
        <n v="888.0"/>
        <n v="934.0"/>
        <n v="1067.0"/>
        <n v="652.0"/>
        <n v="286.0"/>
        <n v="900.0"/>
        <n v="1031.0"/>
        <n v="1421.0"/>
        <n v="534.0"/>
        <n v="826.0"/>
        <n v="1339.0"/>
        <n v="548.0"/>
        <n v="1109.0"/>
        <n v="292.0"/>
        <n v="1111.0"/>
        <n v="21.0"/>
        <n v="771.0"/>
        <n v="1150.0"/>
        <n v="1065.0"/>
        <n v="1022.0"/>
        <n v="1422.0"/>
        <n v="216.0"/>
        <n v="369.0"/>
        <n v="960.0"/>
        <n v="1120.0"/>
        <n v="486.0"/>
        <n v="647.0"/>
        <n v="1090.0"/>
        <n v="34.0"/>
        <n v="186.0"/>
        <n v="1114.0"/>
        <n v="1412.0"/>
        <n v="192.0"/>
        <n v="229.0"/>
        <n v="508.0"/>
        <n v="269.0"/>
        <n v="1289.0"/>
        <n v="318.0"/>
        <n v="48.0"/>
        <n v="201.0"/>
        <n v="593.0"/>
        <n v="1191.0"/>
        <n v="1277.0"/>
        <n v="1091.0"/>
        <n v="222.0"/>
        <n v="1002.0"/>
        <n v="1226.0"/>
        <n v="1342.0"/>
        <n v="730.0"/>
        <n v="19.0"/>
        <n v="213.0"/>
        <n v="669.0"/>
        <n v="783.0"/>
        <n v="807.0"/>
        <n v="886.0"/>
        <n v="1155.0"/>
        <n v="1017.0"/>
        <n v="840.0"/>
        <n v="803.0"/>
        <n v="1290.0"/>
        <n v="482.0"/>
        <n v="1207.0"/>
        <n v="544.0"/>
        <n v="768.0"/>
        <n v="226.0"/>
        <n v="702.0"/>
        <n v="1041.0"/>
        <n v="89.0"/>
        <n v="1107.0"/>
        <n v="1180.0"/>
        <n v="665.0"/>
        <n v="462.0"/>
        <n v="210.0"/>
        <n v="243.0"/>
        <n v="571.0"/>
        <n v="998.0"/>
        <n v="1197.0"/>
        <n v="903.0"/>
        <n v="1170.0"/>
        <n v="303.0"/>
        <n v="346.0"/>
        <n v="333.0"/>
        <n v="1166.0"/>
        <n v="1329.0"/>
        <n v="426.0"/>
        <n v="1367.0"/>
        <n v="545.0"/>
        <n v="1188.0"/>
        <n v="289.0"/>
        <n v="110.0"/>
        <n v="44.0"/>
        <n v="1098.0"/>
        <n v="375.0"/>
        <n v="458.0"/>
        <n v="1136.0"/>
        <n v="1099.0"/>
        <n v="1117.0"/>
        <n v="435.0"/>
        <n v="509.0"/>
        <n v="1408.0"/>
        <n v="113.0"/>
        <n v="950.0"/>
        <n v="387.0"/>
        <n v="467.0"/>
        <n v="774.0"/>
        <n v="1236.0"/>
        <n v="1388.0"/>
        <n v="734.0"/>
        <n v="935.0"/>
        <n v="1268.0"/>
        <n v="1364.0"/>
        <n v="165.0"/>
        <n v="893.0"/>
        <n v="227.0"/>
        <n v="980.0"/>
        <n v="1014.0"/>
        <n v="123.0"/>
        <n v="1060.0"/>
        <n v="320.0"/>
        <n v="85.0"/>
        <n v="128.0"/>
        <n v="262.0"/>
        <n v="1033.0"/>
        <n v="279.0"/>
        <n v="778.0"/>
        <n v="1292.0"/>
        <n v="967.0"/>
        <n v="1284.0"/>
        <n v="285.0"/>
        <n v="1401.0"/>
        <n v="947.0"/>
        <n v="37.0"/>
        <n v="231.0"/>
        <n v="108.0"/>
        <n v="533.0"/>
        <n v="1216.0"/>
        <n v="824.0"/>
        <n v="1088.0"/>
        <n v="322.0"/>
        <n v="878.0"/>
        <n v="1409.0"/>
        <n v="257.0"/>
        <n v="28.0"/>
        <n v="1384.0"/>
        <n v="713.0"/>
        <n v="821.0"/>
        <n v="444.0"/>
        <n v="1021.0"/>
        <n v="311.0"/>
        <n v="1294.0"/>
        <n v="1027.0"/>
        <n v="931.0"/>
        <n v="846.0"/>
        <n v="418.0"/>
        <n v="75.0"/>
        <n v="604.0"/>
        <n v="244.0"/>
        <n v="217.0"/>
        <n v="39.0"/>
        <n v="273.0"/>
        <n v="862.0"/>
        <n v="567.0"/>
        <n v="1026.0"/>
        <n v="1083.0"/>
        <n v="443.0"/>
        <n v="761.0"/>
        <n v="1122.0"/>
        <n v="256.0"/>
        <n v="203.0"/>
        <n v="425.0"/>
        <n v="955.0"/>
        <n v="904.0"/>
        <n v="970.0"/>
        <n v="905.0"/>
        <n v="580.0"/>
        <n v="1066.0"/>
        <n v="1258.0"/>
        <n v="1393.0"/>
        <n v="594.0"/>
        <n v="916.0"/>
        <n v="1037.0"/>
        <n v="136.0"/>
        <n v="247.0"/>
        <n v="1214.0"/>
        <n v="464.0"/>
        <n v="637.0"/>
        <n v="1016.0"/>
        <n v="1433.0"/>
        <n v="502.0"/>
        <n v="476.0"/>
        <n v="1010.0"/>
        <n v="1161.0"/>
        <n v="440.0"/>
        <n v="253.0"/>
        <n v="1008.0"/>
        <n v="71.0"/>
        <n v="1084.0"/>
        <n v="310.0"/>
        <n v="860.0"/>
        <n v="122.0"/>
        <n v="689.0"/>
        <n v="1441.0"/>
        <n v="1118.0"/>
        <n v="765.0"/>
        <n v="92.0"/>
        <n v="115.0"/>
        <n v="937.0"/>
        <n v="1013.0"/>
        <n v="427.0"/>
        <n v="1330.0"/>
        <n v="312.0"/>
        <n v="1186.0"/>
        <n v="1007.0"/>
        <n v="983.0"/>
        <n v="1256.0"/>
        <n v="818.0"/>
        <n v="680.0"/>
        <n v="1303.0"/>
        <n v="488.0"/>
        <n v="1126.0"/>
        <n v="866.0"/>
        <n v="1254.0"/>
        <n v="323.0"/>
        <n v="491.0"/>
        <n v="63.0"/>
        <n v="914.0"/>
        <n v="1187.0"/>
        <n v="547.0"/>
        <n v="906.0"/>
        <n v="1052.0"/>
        <n v="856.0"/>
        <n v="920.0"/>
        <n v="1383.0"/>
        <n v="146.0"/>
        <n v="987.0"/>
        <n v="15.0"/>
        <n v="1171.0"/>
        <n v="452.0"/>
        <n v="1240.0"/>
        <n v="100.0"/>
        <n v="1053.0"/>
        <n v="1172.0"/>
        <n v="1005.0"/>
        <n v="109.0"/>
        <n v="1043.0"/>
        <n v="293.0"/>
        <n v="839.0"/>
        <n v="566.0"/>
        <n v="300.0"/>
        <n v="364.0"/>
        <n v="474.0"/>
        <n v="838.0"/>
        <n v="1176.0"/>
        <n v="599.0"/>
        <n v="1231.0"/>
        <n v="1445.0"/>
        <n v="126.0"/>
        <n v="938.0"/>
        <n v="999.0"/>
        <n v="195.0"/>
        <n v="1116.0"/>
        <n v="1239.0"/>
        <n v="308.0"/>
        <n v="483.0"/>
        <n v="1142.0"/>
        <n v="595.0"/>
        <n v="744.0"/>
        <n v="1044.0"/>
        <n v="518.0"/>
        <n v="263.0"/>
        <n v="463.0"/>
        <n v="859.0"/>
        <n v="982.0"/>
        <n v="478.0"/>
        <n v="972.0"/>
        <n v="1154.0"/>
        <n v="515.0"/>
        <n v="820.0"/>
        <n v="1419.0"/>
        <n v="228.0"/>
        <n v="330.0"/>
        <n v="296.0"/>
        <n v="822.0"/>
        <n v="287.0"/>
        <n v="601.0"/>
        <n v="395.0"/>
        <n v="405.0"/>
        <n v="754.0"/>
        <n v="1411.0"/>
        <n v="1029.0"/>
        <n v="1131.0"/>
        <n v="139.0"/>
        <n v="1101.0"/>
        <n v="692.0"/>
        <n v="1279.0"/>
        <n v="623.0"/>
        <n v="738.0"/>
        <n v="152.0"/>
        <n v="3.0"/>
        <n v="1135.0"/>
        <n v="505.0"/>
        <n v="1310.0"/>
        <n v="114.0"/>
        <n v="302.0"/>
        <n v="816.0"/>
        <n v="112.0"/>
        <n v="35.0"/>
        <n v="180.0"/>
        <n v="392.0"/>
        <m/>
      </sharedItems>
    </cacheField>
    <cacheField name="order_status" numFmtId="0">
      <sharedItems containsString="0" containsBlank="1" containsNumber="1" containsInteger="1">
        <n v="4.0"/>
        <n v="3.0"/>
        <n v="2.0"/>
        <n v="1.0"/>
        <m/>
      </sharedItems>
    </cacheField>
    <cacheField name="order_date" numFmtId="164">
      <sharedItems containsDate="1" containsString="0" containsBlank="1">
        <d v="2016-01-01T00:00:00Z"/>
        <d v="2016-01-02T00:00:00Z"/>
        <d v="2016-01-03T00:00:00Z"/>
        <d v="2016-01-04T00:00:00Z"/>
        <d v="2016-01-05T00:00:00Z"/>
        <d v="2016-01-06T00:00:00Z"/>
        <d v="2016-01-08T00:00:00Z"/>
        <d v="2016-01-09T00:00:00Z"/>
        <d v="2016-01-12T00:00:00Z"/>
        <d v="2016-01-14T00:00:00Z"/>
        <d v="2016-01-15T00:00:00Z"/>
        <d v="2016-01-16T00:00:00Z"/>
        <d v="2016-01-18T00:00:00Z"/>
        <d v="2016-01-19T00:00:00Z"/>
        <d v="2016-01-20T00:00:00Z"/>
        <d v="2016-01-21T00:00:00Z"/>
        <d v="2016-01-22T00:00:00Z"/>
        <d v="2016-01-23T00:00:00Z"/>
        <d v="2016-01-25T00:00:00Z"/>
        <d v="2016-01-27T00:00:00Z"/>
        <d v="2016-01-28T00:00:00Z"/>
        <d v="2016-01-29T00:00:00Z"/>
        <d v="2016-01-30T00:00:00Z"/>
        <d v="2016-01-31T00:00:00Z"/>
        <d v="2016-02-01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0T00:00:00Z"/>
        <d v="2016-02-11T00:00:00Z"/>
        <d v="2016-02-12T00:00:00Z"/>
        <d v="2016-02-13T00:00:00Z"/>
        <d v="2016-02-14T00:00:00Z"/>
        <d v="2016-02-16T00:00:00Z"/>
        <d v="2016-02-17T00:00:00Z"/>
        <d v="2016-02-18T00:00:00Z"/>
        <d v="2016-02-19T00:00:00Z"/>
        <d v="2016-02-20T00:00:00Z"/>
        <d v="2016-02-21T00:00:00Z"/>
        <d v="2016-02-23T00:00:00Z"/>
        <d v="2016-02-25T00:00:00Z"/>
        <d v="2016-02-26T00:00:00Z"/>
        <d v="2016-02-27T00:00:00Z"/>
        <d v="2016-02-28T00:00:00Z"/>
        <d v="2016-02-29T00:00:00Z"/>
        <d v="2016-03-01T00:00:00Z"/>
        <d v="2016-03-02T00:00:00Z"/>
        <d v="2016-03-03T00:00:00Z"/>
        <d v="2016-03-04T00:00:00Z"/>
        <d v="2016-03-06T00:00:00Z"/>
        <d v="2016-03-07T00:00:00Z"/>
        <d v="2016-03-08T00:00:00Z"/>
        <d v="2016-03-09T00:00:00Z"/>
        <d v="2016-03-10T00:00:00Z"/>
        <d v="2016-03-12T00:00:00Z"/>
        <d v="2016-03-14T00:00:00Z"/>
        <d v="2016-03-15T00:00:00Z"/>
        <d v="2016-03-16T00:00:00Z"/>
        <d v="2016-03-17T00:00:00Z"/>
        <d v="2016-03-18T00:00:00Z"/>
        <d v="2016-03-19T00:00:00Z"/>
        <d v="2016-03-20T00:00:00Z"/>
        <d v="2016-03-21T00:00:00Z"/>
        <d v="2016-03-23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2T00:00:00Z"/>
        <d v="2016-04-03T00:00:00Z"/>
        <d v="2016-04-04T00:00:00Z"/>
        <d v="2016-04-06T00:00:00Z"/>
        <d v="2016-04-07T00:00:00Z"/>
        <d v="2016-04-08T00:00:00Z"/>
        <d v="2016-04-09T00:00:00Z"/>
        <d v="2016-04-10T00:00:00Z"/>
        <d v="2016-04-11T00:00:00Z"/>
        <d v="2016-04-12T00:00:00Z"/>
        <d v="2016-04-13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7T00:00:00Z"/>
        <d v="2016-04-28T00:00:00Z"/>
        <d v="2016-04-30T00:00:00Z"/>
        <d v="2016-05-01T00:00:00Z"/>
        <d v="2016-05-03T00:00:00Z"/>
        <d v="2016-05-04T00:00:00Z"/>
        <d v="2016-05-05T00:00:00Z"/>
        <d v="2016-05-06T00:00:00Z"/>
        <d v="2016-05-07T00:00:00Z"/>
        <d v="2016-05-08T00:00:00Z"/>
        <d v="2016-05-10T00:00:00Z"/>
        <d v="2016-05-11T00:00:00Z"/>
        <d v="2016-05-12T00:00:00Z"/>
        <d v="2016-05-13T00:00:00Z"/>
        <d v="2016-05-15T00:00:00Z"/>
        <d v="2016-05-17T00:00:00Z"/>
        <d v="2016-05-19T00:00:00Z"/>
        <d v="2016-05-20T00:00:00Z"/>
        <d v="2016-05-21T00:00:00Z"/>
        <d v="2016-05-22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6-01T00:00:00Z"/>
        <d v="2016-06-02T00:00:00Z"/>
        <d v="2016-06-03T00:00:00Z"/>
        <d v="2016-06-04T00:00:00Z"/>
        <d v="2016-06-05T00:00:00Z"/>
        <d v="2016-06-06T00:00:00Z"/>
        <d v="2016-06-08T00:00:00Z"/>
        <d v="2016-06-09T00:00:00Z"/>
        <d v="2016-06-10T00:00:00Z"/>
        <d v="2016-06-11T00:00:00Z"/>
        <d v="2016-06-12T00:00:00Z"/>
        <d v="2016-06-13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2T00:00:00Z"/>
        <d v="2016-06-23T00:00:00Z"/>
        <d v="2016-06-25T00:00:00Z"/>
        <d v="2016-06-27T00:00:00Z"/>
        <d v="2016-06-28T00:00:00Z"/>
        <d v="2016-06-29T00:00:00Z"/>
        <d v="2016-06-30T00:00:00Z"/>
        <d v="2016-07-01T00:00:00Z"/>
        <d v="2016-07-04T00:00:00Z"/>
        <d v="2016-07-05T00:00:00Z"/>
        <d v="2016-07-06T00:00:00Z"/>
        <d v="2016-07-07T00:00:00Z"/>
        <d v="2016-07-09T00:00:00Z"/>
        <d v="2016-07-11T00:00:00Z"/>
        <d v="2016-07-12T00:00:00Z"/>
        <d v="2016-07-13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3T00:00:00Z"/>
        <d v="2016-07-24T00:00:00Z"/>
        <d v="2016-07-25T00:00:00Z"/>
        <d v="2016-07-26T00:00:00Z"/>
        <d v="2016-07-28T00:00:00Z"/>
        <d v="2016-07-29T00:00:00Z"/>
        <d v="2016-07-31T00:00:00Z"/>
        <d v="2016-08-01T00:00:00Z"/>
        <d v="2016-08-02T00:00:00Z"/>
        <d v="2016-08-03T00:00:00Z"/>
        <d v="2016-08-04T00:00:00Z"/>
        <d v="2016-08-05T00:00:00Z"/>
        <d v="2016-08-07T00:00:00Z"/>
        <d v="2016-08-08T00:00:00Z"/>
        <d v="2016-08-09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5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6T00:00:00Z"/>
        <d v="2016-09-17T00:00:00Z"/>
        <d v="2016-09-18T00:00:00Z"/>
        <d v="2016-09-19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5T00:00:00Z"/>
        <d v="2016-10-06T00:00:00Z"/>
        <d v="2016-10-07T00:00:00Z"/>
        <d v="2016-10-08T00:00:00Z"/>
        <d v="2016-10-09T00:00:00Z"/>
        <d v="2016-10-10T00:00:00Z"/>
        <d v="2016-10-11T00:00:00Z"/>
        <d v="2016-10-12T00:00:00Z"/>
        <d v="2016-10-13T00:00:00Z"/>
        <d v="2016-10-14T00:00:00Z"/>
        <d v="2016-10-15T00:00:00Z"/>
        <d v="2016-10-16T00:00:00Z"/>
        <d v="2016-10-17T00:00:00Z"/>
        <d v="2016-10-18T00:00:00Z"/>
        <d v="2016-10-19T00:00:00Z"/>
        <d v="2016-10-21T00:00:00Z"/>
        <d v="2016-10-22T00:00:00Z"/>
        <d v="2016-10-23T00:00:00Z"/>
        <d v="2016-10-24T00:00:00Z"/>
        <d v="2016-10-25T00:00:00Z"/>
        <d v="2016-10-26T00:00:00Z"/>
        <d v="2016-10-27T00:00:00Z"/>
        <d v="2016-10-28T00:00:00Z"/>
        <d v="2016-10-29T00:00:00Z"/>
        <d v="2016-10-31T00:00:00Z"/>
        <d v="2016-11-02T00:00:00Z"/>
        <d v="2016-11-03T00:00:00Z"/>
        <d v="2016-11-04T00:00:00Z"/>
        <d v="2016-11-06T00:00:00Z"/>
        <d v="2016-11-08T00:00:00Z"/>
        <d v="2016-11-09T00:00:00Z"/>
        <d v="2016-11-11T00:00:00Z"/>
        <d v="2016-11-12T00:00:00Z"/>
        <d v="2016-11-13T00:00:00Z"/>
        <d v="2016-11-14T00:00:00Z"/>
        <d v="2016-11-15T00:00:00Z"/>
        <d v="2016-11-16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6T00:00:00Z"/>
        <d v="2016-11-27T00:00:00Z"/>
        <d v="2016-11-30T00:00:00Z"/>
        <d v="2016-12-03T00:00:00Z"/>
        <d v="2016-12-04T00:00:00Z"/>
        <d v="2016-12-06T00:00:00Z"/>
        <d v="2016-12-07T00:00:00Z"/>
        <d v="2016-12-08T00:00:00Z"/>
        <d v="2016-12-09T00:00:00Z"/>
        <d v="2016-12-10T00:00:00Z"/>
        <d v="2016-12-11T00:00:00Z"/>
        <d v="2016-12-12T00:00:00Z"/>
        <d v="2016-12-13T00:00:00Z"/>
        <d v="2016-12-15T00:00:00Z"/>
        <d v="2016-12-16T00:00:00Z"/>
        <d v="2016-12-17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6T00:00:00Z"/>
        <d v="2016-12-27T00:00:00Z"/>
        <d v="2016-12-28T00:00:00Z"/>
        <d v="2016-12-29T00:00:00Z"/>
        <d v="2016-12-30T00:00:00Z"/>
        <d v="2017-01-03T00:00:00Z"/>
        <d v="2017-01-04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4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3T00:00:00Z"/>
        <d v="2017-02-14T00:00:00Z"/>
        <d v="2017-02-15T00:00:00Z"/>
        <d v="2017-02-16T00:00:00Z"/>
        <d v="2017-02-18T00:00:00Z"/>
        <d v="2017-02-19T00:00:00Z"/>
        <d v="2017-02-20T00:00:00Z"/>
        <d v="2017-02-21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1T00:00:00Z"/>
        <d v="2017-03-12T00:00:00Z"/>
        <d v="2017-03-13T00:00:00Z"/>
        <d v="2017-03-15T00:00:00Z"/>
        <d v="2017-03-16T00:00:00Z"/>
        <d v="2017-03-18T00:00:00Z"/>
        <d v="2017-03-19T00:00:00Z"/>
        <d v="2017-03-20T00:00:00Z"/>
        <d v="2017-03-22T00:00:00Z"/>
        <d v="2017-03-23T00:00:00Z"/>
        <d v="2017-03-24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9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7T00:00:00Z"/>
        <d v="2017-04-28T00:00:00Z"/>
        <d v="2017-04-29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1T00:00:00Z"/>
        <d v="2017-05-13T00:00:00Z"/>
        <d v="2017-05-14T00:00:00Z"/>
        <d v="2017-05-15T00:00:00Z"/>
        <d v="2017-05-16T00:00:00Z"/>
        <d v="2017-05-18T00:00:00Z"/>
        <d v="2017-05-19T00:00:00Z"/>
        <d v="2017-05-20T00:00:00Z"/>
        <d v="2017-05-21T00:00:00Z"/>
        <d v="2017-05-22T00:00:00Z"/>
        <d v="2017-05-23T00:00:00Z"/>
        <d v="2017-05-24T00:00:00Z"/>
        <d v="2017-05-25T00:00:00Z"/>
        <d v="2017-05-26T00:00:00Z"/>
        <d v="2017-05-27T00:00:00Z"/>
        <d v="2017-05-28T00:00:00Z"/>
        <d v="2017-05-29T00:00:00Z"/>
        <d v="2017-05-30T00:00:00Z"/>
        <d v="2017-05-31T00:00:00Z"/>
        <d v="2017-06-02T00:00:00Z"/>
        <d v="2017-06-03T00:00:00Z"/>
        <d v="2017-06-05T00:00:00Z"/>
        <d v="2017-06-07T00:00:00Z"/>
        <d v="2017-06-09T00:00:00Z"/>
        <d v="2017-06-10T00:00:00Z"/>
        <d v="2017-06-11T00:00:00Z"/>
        <d v="2017-06-12T00:00:00Z"/>
        <d v="2017-06-13T00:00:00Z"/>
        <d v="2017-06-14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6T00:00:00Z"/>
        <d v="2017-06-27T00:00:00Z"/>
        <d v="2017-06-30T00:00:00Z"/>
        <d v="2017-07-02T00:00:00Z"/>
        <d v="2017-07-04T00:00:00Z"/>
        <d v="2017-07-06T00:00:00Z"/>
        <d v="2017-07-07T00:00:00Z"/>
        <d v="2017-07-09T00:00:00Z"/>
        <d v="2017-07-11T00:00:00Z"/>
        <d v="2017-07-12T00:00:00Z"/>
        <d v="2017-07-13T00:00:00Z"/>
        <d v="2017-07-14T00:00:00Z"/>
        <d v="2017-07-15T00:00:00Z"/>
        <d v="2017-07-16T00:00:00Z"/>
        <d v="2017-07-18T00:00:00Z"/>
        <d v="2017-07-19T00:00:00Z"/>
        <d v="2017-07-20T00:00:00Z"/>
        <d v="2017-07-22T00:00:00Z"/>
        <d v="2017-07-23T00:00:00Z"/>
        <d v="2017-07-26T00:00:00Z"/>
        <d v="2017-07-27T00:00:00Z"/>
        <d v="2017-07-29T00:00:00Z"/>
        <d v="2017-07-30T00:00:00Z"/>
        <d v="2017-07-31T00:00:00Z"/>
        <d v="2017-08-02T00:00:00Z"/>
        <d v="2017-08-04T00:00:00Z"/>
        <d v="2017-08-06T00:00:00Z"/>
        <d v="2017-08-07T00:00:00Z"/>
        <d v="2017-08-08T00:00:00Z"/>
        <d v="2017-08-09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1T00:00:00Z"/>
        <d v="2017-09-01T00:00:00Z"/>
        <d v="2017-09-02T00:00:00Z"/>
        <d v="2017-09-03T00:00:00Z"/>
        <d v="2017-09-04T00:00:00Z"/>
        <d v="2017-09-05T00:00:00Z"/>
        <d v="2017-09-06T00:00:00Z"/>
        <d v="2017-09-07T00:00:00Z"/>
        <d v="2017-09-08T00:00:00Z"/>
        <d v="2017-09-10T00:00:00Z"/>
        <d v="2017-09-11T00:00:00Z"/>
        <d v="2017-09-12T00:00:00Z"/>
        <d v="2017-09-13T00:00:00Z"/>
        <d v="2017-09-14T00:00:00Z"/>
        <d v="2017-09-15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7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7T00:00:00Z"/>
        <d v="2017-10-08T00:00:00Z"/>
        <d v="2017-10-09T00:00:00Z"/>
        <d v="2017-10-10T00:00:00Z"/>
        <d v="2017-10-12T00:00:00Z"/>
        <d v="2017-10-13T00:00:00Z"/>
        <d v="2017-10-14T00:00:00Z"/>
        <d v="2017-10-15T00:00:00Z"/>
        <d v="2017-10-16T00:00:00Z"/>
        <d v="2017-10-17T00:00:00Z"/>
        <d v="2017-10-19T00:00:00Z"/>
        <d v="2017-10-21T00:00:00Z"/>
        <d v="2017-10-22T00:00:00Z"/>
        <d v="2017-10-23T00:00:00Z"/>
        <d v="2017-10-24T00:00:00Z"/>
        <d v="2017-10-25T00:00:00Z"/>
        <d v="2017-10-26T00:00:00Z"/>
        <d v="2017-10-27T00:00:00Z"/>
        <d v="2017-10-28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7T00:00:00Z"/>
        <d v="2017-12-08T00:00:00Z"/>
        <d v="2017-12-09T00:00:00Z"/>
        <d v="2017-12-10T00:00:00Z"/>
        <d v="2017-12-11T00:00:00Z"/>
        <d v="2017-12-14T00:00:00Z"/>
        <d v="2017-12-15T00:00:00Z"/>
        <d v="2017-12-16T00:00:00Z"/>
        <d v="2017-12-17T00:00:00Z"/>
        <d v="2017-12-20T00:00:00Z"/>
        <d v="2017-12-22T00:00:00Z"/>
        <d v="2017-12-24T00:00:00Z"/>
        <d v="2017-12-25T00:00:00Z"/>
        <d v="2017-12-26T00:00:00Z"/>
        <d v="2017-12-27T00:00:00Z"/>
        <d v="2017-12-28T00:00:00Z"/>
        <d v="2017-12-30T00:00:00Z"/>
        <d v="2017-12-31T00:00:00Z"/>
        <d v="2018-01-01T00:00:00Z"/>
        <d v="2018-01-02T00:00:00Z"/>
        <d v="2018-01-04T00:00:00Z"/>
        <d v="2018-01-05T00:00:00Z"/>
        <d v="2018-01-06T00:00:00Z"/>
        <d v="2018-01-07T00:00:00Z"/>
        <d v="2018-01-09T00:00:00Z"/>
        <d v="2018-01-10T00:00:00Z"/>
        <d v="2018-01-11T00:00:00Z"/>
        <d v="2018-01-12T00:00:00Z"/>
        <d v="2018-01-13T00:00:00Z"/>
        <d v="2018-01-14T00:00:00Z"/>
        <d v="2018-01-15T00:00:00Z"/>
        <d v="2018-01-16T00:00:00Z"/>
        <d v="2018-01-17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2-01T00:00:00Z"/>
        <d v="2018-02-02T00:00:00Z"/>
        <d v="2018-02-05T00:00:00Z"/>
        <d v="2018-02-06T00:00:00Z"/>
        <d v="2018-02-07T00:00:00Z"/>
        <d v="2018-02-08T00:00:00Z"/>
        <d v="2018-02-09T00:00:00Z"/>
        <d v="2018-02-11T00:00:00Z"/>
        <d v="2018-02-12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1T00:00:00Z"/>
        <d v="2018-02-23T00:00:00Z"/>
        <d v="2018-02-25T00:00:00Z"/>
        <d v="2018-02-26T00:00:00Z"/>
        <d v="2018-02-27T00:00:00Z"/>
        <d v="2018-03-01T00:00:00Z"/>
        <d v="2018-03-03T00:00:00Z"/>
        <d v="2018-03-04T00:00:00Z"/>
        <d v="2018-03-05T00:00:00Z"/>
        <d v="2018-03-06T00:00:00Z"/>
        <d v="2018-03-07T00:00:00Z"/>
        <d v="2018-03-08T00:00:00Z"/>
        <d v="2018-03-10T00:00:00Z"/>
        <d v="2018-03-11T00:00:00Z"/>
        <d v="2018-03-14T00:00:00Z"/>
        <d v="2018-03-15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6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6-17T00:00:00Z"/>
        <d v="2018-07-01T00:00:00Z"/>
        <d v="2018-07-10T00:00:00Z"/>
        <d v="2018-07-11T00:00:00Z"/>
        <d v="2018-07-12T00:00:00Z"/>
        <d v="2018-08-23T00:00:00Z"/>
        <d v="2018-08-25T00:00:00Z"/>
        <d v="2018-09-06T00:00:00Z"/>
        <d v="2018-10-21T00:00:00Z"/>
        <d v="2018-11-18T00:00:00Z"/>
        <d v="2018-11-28T00:00:00Z"/>
        <d v="2018-12-28T00:00:00Z"/>
        <m/>
      </sharedItems>
    </cacheField>
    <cacheField name="required_date" numFmtId="164">
      <sharedItems containsDate="1" containsString="0" containsBlank="1">
        <d v="2016-01-03T00:00:00Z"/>
        <d v="2016-01-04T00:00:00Z"/>
        <d v="2016-01-05T00:00:00Z"/>
        <d v="2016-01-06T00:00:00Z"/>
        <d v="2016-01-07T00:00:00Z"/>
        <d v="2016-01-08T00:00:00Z"/>
        <d v="2016-01-11T00:00:00Z"/>
        <d v="2016-01-10T00:00:00Z"/>
        <d v="2016-01-15T00:00:00Z"/>
        <d v="2016-01-14T00:00:00Z"/>
        <d v="2016-01-17T00:00:00Z"/>
        <d v="2016-01-16T00:00:00Z"/>
        <d v="2016-01-18T00:00:00Z"/>
        <d v="2016-01-19T00:00:00Z"/>
        <d v="2016-01-20T00:00:00Z"/>
        <d v="2016-01-21T00:00:00Z"/>
        <d v="2016-01-22T00:00:00Z"/>
        <d v="2016-01-24T00:00:00Z"/>
        <d v="2016-01-25T00:00:00Z"/>
        <d v="2016-01-28T00:00:00Z"/>
        <d v="2016-01-27T00:00:00Z"/>
        <d v="2016-01-26T00:00:00Z"/>
        <d v="2016-01-30T00:00:00Z"/>
        <d v="2016-01-31T00:00:00Z"/>
        <d v="2016-02-01T00:00:00Z"/>
        <d v="2016-02-03T00:00:00Z"/>
        <d v="2016-02-02T00:00:00Z"/>
        <d v="2016-02-04T00:00:00Z"/>
        <d v="2016-02-07T00:00:00Z"/>
        <d v="2016-02-06T00:00:00Z"/>
        <d v="2016-02-08T00:00:00Z"/>
        <d v="2016-02-09T00:00:00Z"/>
        <d v="2016-02-10T00:00:00Z"/>
        <d v="2016-02-12T00:00:00Z"/>
        <d v="2016-02-11T00:00:00Z"/>
        <d v="2016-02-14T00:00:00Z"/>
        <d v="2016-02-15T00:00:00Z"/>
        <d v="2016-02-16T00:00:00Z"/>
        <d v="2016-02-19T00:00:00Z"/>
        <d v="2016-02-18T00:00:00Z"/>
        <d v="2016-02-20T00:00:00Z"/>
        <d v="2016-02-21T00:00:00Z"/>
        <d v="2016-02-22T00:00:00Z"/>
        <d v="2016-02-23T00:00:00Z"/>
        <d v="2016-02-24T00:00:00Z"/>
        <d v="2016-02-25T00:00:00Z"/>
        <d v="2016-02-27T00:00:00Z"/>
        <d v="2016-02-28T00:00:00Z"/>
        <d v="2016-02-29T00:00:00Z"/>
        <d v="2016-03-01T00:00:00Z"/>
        <d v="2016-03-04T00:00:00Z"/>
        <d v="2016-03-05T00:00:00Z"/>
        <d v="2016-03-06T00:00:00Z"/>
        <d v="2016-03-09T00:00:00Z"/>
        <d v="2016-03-08T00:00:00Z"/>
        <d v="2016-03-10T00:00:00Z"/>
        <d v="2016-03-11T00:00:00Z"/>
        <d v="2016-03-13T00:00:00Z"/>
        <d v="2016-03-14T00:00:00Z"/>
        <d v="2016-03-15T00:00:00Z"/>
        <d v="2016-03-16T00:00:00Z"/>
        <d v="2016-03-18T00:00:00Z"/>
        <d v="2016-03-19T00:00:00Z"/>
        <d v="2016-03-20T00:00:00Z"/>
        <d v="2016-03-21T00:00:00Z"/>
        <d v="2016-03-22T00:00:00Z"/>
        <d v="2016-03-23T00:00:00Z"/>
        <d v="2016-03-24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6T00:00:00Z"/>
        <d v="2016-04-04T00:00:00Z"/>
        <d v="2016-04-07T00:00:00Z"/>
        <d v="2016-04-08T00:00:00Z"/>
        <d v="2016-04-10T00:00:00Z"/>
        <d v="2016-04-11T00:00:00Z"/>
        <d v="2016-04-09T00:00:00Z"/>
        <d v="2016-04-12T00:00:00Z"/>
        <d v="2016-04-14T00:00:00Z"/>
        <d v="2016-04-13T00:00:00Z"/>
        <d v="2016-04-16T00:00:00Z"/>
        <d v="2016-04-19T00:00:00Z"/>
        <d v="2016-04-17T00:00:00Z"/>
        <d v="2016-04-20T00:00:00Z"/>
        <d v="2016-04-21T00:00:00Z"/>
        <d v="2016-04-22T00:00:00Z"/>
        <d v="2016-04-23T00:00:00Z"/>
        <d v="2016-04-24T00:00:00Z"/>
        <d v="2016-04-25T00:00:00Z"/>
        <d v="2016-04-28T00:00:00Z"/>
        <d v="2016-04-30T00:00:00Z"/>
        <d v="2016-05-01T00:00:00Z"/>
        <d v="2016-05-03T00:00:00Z"/>
        <d v="2016-05-04T00:00:00Z"/>
        <d v="2016-05-05T00:00:00Z"/>
        <d v="2016-05-07T00:00:00Z"/>
        <d v="2016-05-06T00:00:00Z"/>
        <d v="2016-05-08T00:00:00Z"/>
        <d v="2016-05-09T00:00:00Z"/>
        <d v="2016-05-12T00:00:00Z"/>
        <d v="2016-05-13T00:00:00Z"/>
        <d v="2016-05-14T00:00:00Z"/>
        <d v="2016-05-15T00:00:00Z"/>
        <d v="2016-05-16T00:00:00Z"/>
        <d v="2016-05-18T00:00:00Z"/>
        <d v="2016-05-20T00:00:00Z"/>
        <d v="2016-05-19T00:00:00Z"/>
        <d v="2016-05-21T00:00:00Z"/>
        <d v="2016-05-22T00:00:00Z"/>
        <d v="2016-05-23T00:00:00Z"/>
        <d v="2016-05-24T00:00:00Z"/>
        <d v="2016-05-25T00:00:00Z"/>
        <d v="2016-05-27T00:00:00Z"/>
        <d v="2016-05-26T00:00:00Z"/>
        <d v="2016-05-29T00:00:00Z"/>
        <d v="2016-05-30T00:00:00Z"/>
        <d v="2016-05-31T00:00:00Z"/>
        <d v="2016-06-01T00:00:00Z"/>
        <d v="2016-06-04T00:00:00Z"/>
        <d v="2016-06-02T00:00:00Z"/>
        <d v="2016-06-05T00:00:00Z"/>
        <d v="2016-06-06T00:00:00Z"/>
        <d v="2016-06-07T00:00:00Z"/>
        <d v="2016-06-09T00:00:00Z"/>
        <d v="2016-06-08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8T00:00:00Z"/>
        <d v="2016-06-19T00:00:00Z"/>
        <d v="2016-06-20T00:00:00Z"/>
        <d v="2016-06-23T00:00:00Z"/>
        <d v="2016-06-22T00:00:00Z"/>
        <d v="2016-06-25T00:00:00Z"/>
        <d v="2016-06-26T00:00:00Z"/>
        <d v="2016-06-28T00:00:00Z"/>
        <d v="2016-06-29T00:00:00Z"/>
        <d v="2016-06-30T00:00:00Z"/>
        <d v="2016-07-03T00:00:00Z"/>
        <d v="2016-07-02T00:00:00Z"/>
        <d v="2016-07-04T00:00:00Z"/>
        <d v="2016-07-07T00:00:00Z"/>
        <d v="2016-07-05T00:00:00Z"/>
        <d v="2016-07-06T00:00:00Z"/>
        <d v="2016-07-08T00:00:00Z"/>
        <d v="2016-07-09T00:00:00Z"/>
        <d v="2016-07-10T00:00:00Z"/>
        <d v="2016-07-11T00:00:00Z"/>
        <d v="2016-07-12T00:00:00Z"/>
        <d v="2016-07-13T00:00:00Z"/>
        <d v="2016-07-14T00:00:00Z"/>
        <d v="2016-07-15T00:00:00Z"/>
        <d v="2016-07-17T00:00:00Z"/>
        <d v="2016-07-19T00:00:00Z"/>
        <d v="2016-07-20T00:00:00Z"/>
        <d v="2016-07-21T00:00:00Z"/>
        <d v="2016-07-22T00:00:00Z"/>
        <d v="2016-07-24T00:00:00Z"/>
        <d v="2016-07-26T00:00:00Z"/>
        <d v="2016-07-27T00:00:00Z"/>
        <d v="2016-07-28T00:00:00Z"/>
        <d v="2016-07-29T00:00:00Z"/>
        <d v="2016-07-31T00:00:00Z"/>
        <d v="2016-07-30T00:00:00Z"/>
        <d v="2016-08-03T00:00:00Z"/>
        <d v="2016-08-01T00:00:00Z"/>
        <d v="2016-08-02T00:00:00Z"/>
        <d v="2016-08-04T00:00:00Z"/>
        <d v="2016-08-05T00:00:00Z"/>
        <d v="2016-08-06T00:00:00Z"/>
        <d v="2016-08-07T00:00:00Z"/>
        <d v="2016-08-10T00:00:00Z"/>
        <d v="2016-08-09T00:00:00Z"/>
        <d v="2016-08-11T00:00:00Z"/>
        <d v="2016-08-12T00:00:00Z"/>
        <d v="2016-08-14T00:00:00Z"/>
        <d v="2016-08-15T00:00:00Z"/>
        <d v="2016-08-18T00:00:00Z"/>
        <d v="2016-08-16T00:00:00Z"/>
        <d v="2016-08-19T00:00:00Z"/>
        <d v="2016-08-20T00:00:00Z"/>
        <d v="2016-08-21T00:00:00Z"/>
        <d v="2016-08-23T00:00:00Z"/>
        <d v="2016-08-22T00:00:00Z"/>
        <d v="2016-08-24T00:00:00Z"/>
        <d v="2016-08-26T00:00:00Z"/>
        <d v="2016-08-28T00:00:00Z"/>
        <d v="2016-08-27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7T00:00:00Z"/>
        <d v="2016-09-09T00:00:00Z"/>
        <d v="2016-09-11T00:00:00Z"/>
        <d v="2016-09-10T00:00:00Z"/>
        <d v="2016-09-12T00:00:00Z"/>
        <d v="2016-09-13T00:00:00Z"/>
        <d v="2016-09-15T00:00:00Z"/>
        <d v="2016-09-19T00:00:00Z"/>
        <d v="2016-09-18T00:00:00Z"/>
        <d v="2016-09-20T00:00:00Z"/>
        <d v="2016-09-21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30T00:00:00Z"/>
        <d v="2016-10-01T00:00:00Z"/>
        <d v="2016-09-29T00:00:00Z"/>
        <d v="2016-10-02T00:00:00Z"/>
        <d v="2016-10-04T00:00:00Z"/>
        <d v="2016-10-05T00:00:00Z"/>
        <d v="2016-10-07T00:00:00Z"/>
        <d v="2016-10-06T00:00:00Z"/>
        <d v="2016-10-09T00:00:00Z"/>
        <d v="2016-10-08T00:00:00Z"/>
        <d v="2016-10-10T00:00:00Z"/>
        <d v="2016-10-12T00:00:00Z"/>
        <d v="2016-10-11T00:00:00Z"/>
        <d v="2016-10-14T00:00:00Z"/>
        <d v="2016-10-13T00:00:00Z"/>
        <d v="2016-10-16T00:00:00Z"/>
        <d v="2016-10-15T00:00:00Z"/>
        <d v="2016-10-17T00:00:00Z"/>
        <d v="2016-10-18T00:00:00Z"/>
        <d v="2016-10-20T00:00:00Z"/>
        <d v="2016-10-22T00:00:00Z"/>
        <d v="2016-10-21T00:00:00Z"/>
        <d v="2016-10-23T00:00:00Z"/>
        <d v="2016-10-24T00:00:00Z"/>
        <d v="2016-10-26T00:00:00Z"/>
        <d v="2016-10-25T00:00:00Z"/>
        <d v="2016-10-28T00:00:00Z"/>
        <d v="2016-10-29T00:00:00Z"/>
        <d v="2016-10-31T00:00:00Z"/>
        <d v="2016-10-30T00:00:00Z"/>
        <d v="2016-11-01T00:00:00Z"/>
        <d v="2016-11-02T00:00:00Z"/>
        <d v="2016-11-05T00:00:00Z"/>
        <d v="2016-11-04T00:00:00Z"/>
        <d v="2016-11-07T00:00:00Z"/>
        <d v="2016-11-06T00:00:00Z"/>
        <d v="2016-11-09T00:00:00Z"/>
        <d v="2016-11-10T00:00:00Z"/>
        <d v="2016-11-12T00:00:00Z"/>
        <d v="2016-11-11T00:00:00Z"/>
        <d v="2016-11-13T00:00:00Z"/>
        <d v="2016-11-14T00:00:00Z"/>
        <d v="2016-11-15T00:00:00Z"/>
        <d v="2016-11-17T00:00:00Z"/>
        <d v="2016-11-16T00:00:00Z"/>
        <d v="2016-11-19T00:00:00Z"/>
        <d v="2016-11-22T00:00:00Z"/>
        <d v="2016-11-20T00:00:00Z"/>
        <d v="2016-11-23T00:00:00Z"/>
        <d v="2016-11-25T00:00:00Z"/>
        <d v="2016-11-24T00:00:00Z"/>
        <d v="2016-11-26T00:00:00Z"/>
        <d v="2016-11-27T00:00:00Z"/>
        <d v="2016-11-28T00:00:00Z"/>
        <d v="2016-11-30T00:00:00Z"/>
        <d v="2016-12-02T00:00:00Z"/>
        <d v="2016-12-05T00:00:00Z"/>
        <d v="2016-12-04T00:00:00Z"/>
        <d v="2016-12-06T00:00:00Z"/>
        <d v="2016-12-08T00:00:00Z"/>
        <d v="2016-12-07T00:00:00Z"/>
        <d v="2016-12-09T00:00:00Z"/>
        <d v="2016-12-10T00:00:00Z"/>
        <d v="2016-12-12T00:00:00Z"/>
        <d v="2016-12-13T00:00:00Z"/>
        <d v="2016-12-11T00:00:00Z"/>
        <d v="2016-12-14T00:00:00Z"/>
        <d v="2016-12-15T00:00:00Z"/>
        <d v="2016-12-17T00:00:00Z"/>
        <d v="2016-12-19T00:00:00Z"/>
        <d v="2016-12-21T00:00:00Z"/>
        <d v="2016-12-22T00:00:00Z"/>
        <d v="2016-12-23T00:00:00Z"/>
        <d v="2016-12-25T00:00:00Z"/>
        <d v="2016-12-24T00:00:00Z"/>
        <d v="2016-12-26T00:00:00Z"/>
        <d v="2016-12-28T00:00:00Z"/>
        <d v="2016-12-29T00:00:00Z"/>
        <d v="2016-12-27T00:00:00Z"/>
        <d v="2016-12-31T00:00:00Z"/>
        <d v="2017-01-01T00:00:00Z"/>
        <d v="2017-01-02T00:00:00Z"/>
        <d v="2017-01-04T00:00:00Z"/>
        <d v="2017-01-05T00:00:00Z"/>
        <d v="2017-01-07T00:00:00Z"/>
        <d v="2017-01-08T00:00:00Z"/>
        <d v="2017-01-10T00:00:00Z"/>
        <d v="2017-01-09T00:00:00Z"/>
        <d v="2017-01-11T00:00:00Z"/>
        <d v="2017-01-12T00:00:00Z"/>
        <d v="2017-01-14T00:00:00Z"/>
        <d v="2017-01-13T00:00:00Z"/>
        <d v="2017-01-15T00:00:00Z"/>
        <d v="2017-01-17T00:00:00Z"/>
        <d v="2017-01-19T00:00:00Z"/>
        <d v="2017-01-18T00:00:00Z"/>
        <d v="2017-01-20T00:00:00Z"/>
        <d v="2017-01-22T00:00:00Z"/>
        <d v="2017-01-23T00:00:00Z"/>
        <d v="2017-01-24T00:00:00Z"/>
        <d v="2017-01-25T00:00:00Z"/>
        <d v="2017-01-28T00:00:00Z"/>
        <d v="2017-01-29T00:00:00Z"/>
        <d v="2017-01-31T00:00:00Z"/>
        <d v="2017-01-30T00:00:00Z"/>
        <d v="2017-02-01T00:00:00Z"/>
        <d v="2017-02-03T00:00:00Z"/>
        <d v="2017-02-05T00:00:00Z"/>
        <d v="2017-02-04T00:00:00Z"/>
        <d v="2017-02-06T00:00:00Z"/>
        <d v="2017-02-07T00:00:00Z"/>
        <d v="2017-02-08T00:00:00Z"/>
        <d v="2017-02-10T00:00:00Z"/>
        <d v="2017-02-09T00:00:00Z"/>
        <d v="2017-02-11T00:00:00Z"/>
        <d v="2017-02-12T00:00:00Z"/>
        <d v="2017-02-13T00:00:00Z"/>
        <d v="2017-02-15T00:00:00Z"/>
        <d v="2017-02-16T00:00:00Z"/>
        <d v="2017-02-14T00:00:00Z"/>
        <d v="2017-02-17T00:00:00Z"/>
        <d v="2017-02-18T00:00:00Z"/>
        <d v="2017-02-19T00:00:00Z"/>
        <d v="2017-02-20T00:00:00Z"/>
        <d v="2017-02-21T00:00:00Z"/>
        <d v="2017-02-22T00:00:00Z"/>
        <d v="2017-02-24T00:00:00Z"/>
        <d v="2017-02-27T00:00:00Z"/>
        <d v="2017-03-01T00:00:00Z"/>
        <d v="2017-02-28T00:00:00Z"/>
        <d v="2017-03-04T00:00:00Z"/>
        <d v="2017-03-02T00:00:00Z"/>
        <d v="2017-03-03T00:00:00Z"/>
        <d v="2017-03-05T00:00:00Z"/>
        <d v="2017-03-07T00:00:00Z"/>
        <d v="2017-03-08T00:00:00Z"/>
        <d v="2017-03-06T00:00:00Z"/>
        <d v="2017-03-09T00:00:00Z"/>
        <d v="2017-03-10T00:00:00Z"/>
        <d v="2017-03-11T00:00:00Z"/>
        <d v="2017-03-12T00:00:00Z"/>
        <d v="2017-03-14T00:00:00Z"/>
        <d v="2017-03-13T00:00:00Z"/>
        <d v="2017-03-15T00:00:00Z"/>
        <d v="2017-03-16T00:00:00Z"/>
        <d v="2017-03-17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8T00:00:00Z"/>
        <d v="2017-03-29T00:00:00Z"/>
        <d v="2017-03-31T00:00:00Z"/>
        <d v="2017-03-30T00:00:00Z"/>
        <d v="2017-04-01T00:00:00Z"/>
        <d v="2017-04-02T00:00:00Z"/>
        <d v="2017-04-03T00:00:00Z"/>
        <d v="2017-04-04T00:00:00Z"/>
        <d v="2017-04-05T00:00:00Z"/>
        <d v="2017-04-07T00:00:00Z"/>
        <d v="2017-04-08T00:00:00Z"/>
        <d v="2017-04-09T00:00:00Z"/>
        <d v="2017-04-10T00:00:00Z"/>
        <d v="2017-04-14T00:00:00Z"/>
        <d v="2017-04-12T00:00:00Z"/>
        <d v="2017-04-13T00:00:00Z"/>
        <d v="2017-04-15T00:00:00Z"/>
        <d v="2017-04-16T00:00:00Z"/>
        <d v="2017-04-17T00:00:00Z"/>
        <d v="2017-04-18T00:00:00Z"/>
        <d v="2017-04-19T00:00:00Z"/>
        <d v="2017-04-20T00:00:00Z"/>
        <d v="2017-04-22T00:00:00Z"/>
        <d v="2017-04-21T00:00:00Z"/>
        <d v="2017-04-23T00:00:00Z"/>
        <d v="2017-04-24T00:00:00Z"/>
        <d v="2017-04-25T00:00:00Z"/>
        <d v="2017-04-27T00:00:00Z"/>
        <d v="2017-04-26T00:00:00Z"/>
        <d v="2017-04-29T00:00:00Z"/>
        <d v="2017-04-30T00:00:00Z"/>
        <d v="2017-05-02T00:00:00Z"/>
        <d v="2017-05-03T00:00:00Z"/>
        <d v="2017-05-04T00:00:00Z"/>
        <d v="2017-05-06T00:00:00Z"/>
        <d v="2017-05-05T00:00:00Z"/>
        <d v="2017-05-08T00:00:00Z"/>
        <d v="2017-05-07T00:00:00Z"/>
        <d v="2017-05-10T00:00:00Z"/>
        <d v="2017-05-09T00:00:00Z"/>
        <d v="2017-05-11T00:00:00Z"/>
        <d v="2017-05-12T00:00:00Z"/>
        <d v="2017-05-13T00:00:00Z"/>
        <d v="2017-05-14T00:00:00Z"/>
        <d v="2017-05-15T00:00:00Z"/>
        <d v="2017-05-16T00:00:00Z"/>
        <d v="2017-05-17T00:00:00Z"/>
        <d v="2017-05-18T00:00:00Z"/>
        <d v="2017-05-19T00:00:00Z"/>
        <d v="2017-05-21T00:00:00Z"/>
        <d v="2017-05-22T00:00:00Z"/>
        <d v="2017-05-24T00:00:00Z"/>
        <d v="2017-05-23T00:00:00Z"/>
        <d v="2017-05-26T00:00:00Z"/>
        <d v="2017-05-28T00:00:00Z"/>
        <d v="2017-05-27T00:00:00Z"/>
        <d v="2017-05-29T00:00:00Z"/>
        <d v="2017-05-31T00:00:00Z"/>
        <d v="2017-05-30T00:00:00Z"/>
        <d v="2017-06-01T00:00:00Z"/>
        <d v="2017-06-02T00:00:00Z"/>
        <d v="2017-06-03T00:00:00Z"/>
        <d v="2017-06-05T00:00:00Z"/>
        <d v="2017-06-06T00:00:00Z"/>
        <d v="2017-06-08T00:00:00Z"/>
        <d v="2017-06-10T00:00:00Z"/>
        <d v="2017-06-13T00:00:00Z"/>
        <d v="2017-06-14T00:00:00Z"/>
        <d v="2017-06-12T00:00:00Z"/>
        <d v="2017-06-16T00:00:00Z"/>
        <d v="2017-06-15T00:00:00Z"/>
        <d v="2017-06-18T00:00:00Z"/>
        <d v="2017-06-17T00:00:00Z"/>
        <d v="2017-06-19T00:00:00Z"/>
        <d v="2017-06-20T00:00:00Z"/>
        <d v="2017-06-21T00:00:00Z"/>
        <d v="2017-06-22T00:00:00Z"/>
        <d v="2017-06-24T00:00:00Z"/>
        <d v="2017-06-23T00:00:00Z"/>
        <d v="2017-06-25T00:00:00Z"/>
        <d v="2017-06-27T00:00:00Z"/>
        <d v="2017-06-28T00:00:00Z"/>
        <d v="2017-06-29T00:00:00Z"/>
        <d v="2017-07-02T00:00:00Z"/>
        <d v="2017-07-03T00:00:00Z"/>
        <d v="2017-07-04T00:00:00Z"/>
        <d v="2017-07-07T00:00:00Z"/>
        <d v="2017-07-10T00:00:00Z"/>
        <d v="2017-07-11T00:00:00Z"/>
        <d v="2017-07-13T00:00:00Z"/>
        <d v="2017-07-12T00:00:00Z"/>
        <d v="2017-07-14T00:00:00Z"/>
        <d v="2017-07-16T00:00:00Z"/>
        <d v="2017-07-17T00:00:00Z"/>
        <d v="2017-07-18T00:00:00Z"/>
        <d v="2017-07-19T00:00:00Z"/>
        <d v="2017-07-21T00:00:00Z"/>
        <d v="2017-07-20T00:00:00Z"/>
        <d v="2017-07-22T00:00:00Z"/>
        <d v="2017-07-23T00:00:00Z"/>
        <d v="2017-07-24T00:00:00Z"/>
        <d v="2017-07-26T00:00:00Z"/>
        <d v="2017-07-25T00:00:00Z"/>
        <d v="2017-07-28T00:00:00Z"/>
        <d v="2017-07-30T00:00:00Z"/>
        <d v="2017-08-01T00:00:00Z"/>
        <d v="2017-08-02T00:00:00Z"/>
        <d v="2017-07-31T00:00:00Z"/>
        <d v="2017-08-04T00:00:00Z"/>
        <d v="2017-08-07T00:00:00Z"/>
        <d v="2017-08-06T00:00:00Z"/>
        <d v="2017-08-09T00:00:00Z"/>
        <d v="2017-08-10T00:00:00Z"/>
        <d v="2017-08-08T00:00:00Z"/>
        <d v="2017-08-11T00:00:00Z"/>
        <d v="2017-08-12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6T00:00:00Z"/>
        <d v="2017-08-25T00:00:00Z"/>
        <d v="2017-08-28T00:00:00Z"/>
        <d v="2017-08-27T00:00:00Z"/>
        <d v="2017-08-29T00:00:00Z"/>
        <d v="2017-08-30T00:00:00Z"/>
        <d v="2017-08-31T00:00:00Z"/>
        <d v="2017-09-02T00:00:00Z"/>
        <d v="2017-09-04T00:00:00Z"/>
        <d v="2017-09-05T00:00:00Z"/>
        <d v="2017-09-07T00:00:00Z"/>
        <d v="2017-09-06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20T00:00:00Z"/>
        <d v="2017-09-21T00:00:00Z"/>
        <d v="2017-09-22T00:00:00Z"/>
        <d v="2017-09-23T00:00:00Z"/>
        <d v="2017-09-26T00:00:00Z"/>
        <d v="2017-09-27T00:00:00Z"/>
        <d v="2017-09-30T00:00:00Z"/>
        <d v="2017-10-01T00:00:00Z"/>
        <d v="2017-10-02T00:00:00Z"/>
        <d v="2017-10-03T00:00:00Z"/>
        <d v="2017-10-04T00:00:00Z"/>
        <d v="2017-10-07T00:00:00Z"/>
        <d v="2017-10-05T00:00:00Z"/>
        <d v="2017-10-06T00:00:00Z"/>
        <d v="2017-10-10T00:00:00Z"/>
        <d v="2017-10-11T00:00:00Z"/>
        <d v="2017-10-13T00:00:00Z"/>
        <d v="2017-10-12T00:00:00Z"/>
        <d v="2017-10-15T00:00:00Z"/>
        <d v="2017-10-16T00:00:00Z"/>
        <d v="2017-10-14T00:00:00Z"/>
        <d v="2017-10-17T00:00:00Z"/>
        <d v="2017-10-18T00:00:00Z"/>
        <d v="2017-10-19T00:00:00Z"/>
        <d v="2017-10-22T00:00:00Z"/>
        <d v="2017-10-21T00:00:00Z"/>
        <d v="2017-10-23T00:00:00Z"/>
        <d v="2017-10-24T00:00:00Z"/>
        <d v="2017-10-25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7T00:00:00Z"/>
        <d v="2017-11-06T00:00:00Z"/>
        <d v="2017-11-08T00:00:00Z"/>
        <d v="2017-11-11T00:00:00Z"/>
        <d v="2017-11-12T00:00:00Z"/>
        <d v="2017-11-10T00:00:00Z"/>
        <d v="2017-11-13T00:00:00Z"/>
        <d v="2017-11-14T00:00:00Z"/>
        <d v="2017-11-16T00:00:00Z"/>
        <d v="2017-11-18T00:00:00Z"/>
        <d v="2017-11-17T00:00:00Z"/>
        <d v="2017-11-19T00:00:00Z"/>
        <d v="2017-11-20T00:00:00Z"/>
        <d v="2017-11-21T00:00:00Z"/>
        <d v="2017-11-22T00:00:00Z"/>
        <d v="2017-11-23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3T00:00:00Z"/>
        <d v="2017-12-04T00:00:00Z"/>
        <d v="2017-12-02T00:00:00Z"/>
        <d v="2017-12-05T00:00:00Z"/>
        <d v="2017-12-07T00:00:00Z"/>
        <d v="2017-12-06T00:00:00Z"/>
        <d v="2017-12-10T00:00:00Z"/>
        <d v="2017-12-11T00:00:00Z"/>
        <d v="2017-12-13T00:00:00Z"/>
        <d v="2017-12-12T00:00:00Z"/>
        <d v="2017-12-17T00:00:00Z"/>
        <d v="2017-12-18T00:00:00Z"/>
        <d v="2017-12-19T00:00:00Z"/>
        <d v="2017-12-21T00:00:00Z"/>
        <d v="2017-12-23T00:00:00Z"/>
        <d v="2017-12-24T00:00:00Z"/>
        <d v="2017-12-25T00:00:00Z"/>
        <d v="2017-12-26T00:00:00Z"/>
        <d v="2017-12-28T00:00:00Z"/>
        <d v="2017-12-27T00:00:00Z"/>
        <d v="2017-12-29T00:00:00Z"/>
        <d v="2017-12-30T00:00:00Z"/>
        <d v="2017-12-31T00:00:00Z"/>
        <d v="2018-01-03T00:00:00Z"/>
        <d v="2018-01-01T00:00:00Z"/>
        <d v="2018-01-04T00:00:00Z"/>
        <d v="2018-01-02T00:00:00Z"/>
        <d v="2018-01-05T00:00:00Z"/>
        <d v="2018-01-06T00:00:00Z"/>
        <d v="2018-01-07T00:00:00Z"/>
        <d v="2018-01-09T00:00:00Z"/>
        <d v="2018-01-08T00:00:00Z"/>
        <d v="2018-01-10T00:00:00Z"/>
        <d v="2018-01-12T00:00:00Z"/>
        <d v="2018-01-11T00:00:00Z"/>
        <d v="2018-01-14T00:00:00Z"/>
        <d v="2018-01-13T00:00:00Z"/>
        <d v="2018-01-15T00:00:00Z"/>
        <d v="2018-01-16T00:00:00Z"/>
        <d v="2018-01-18T00:00:00Z"/>
        <d v="2018-01-17T00:00:00Z"/>
        <d v="2018-01-19T00:00:00Z"/>
        <d v="2018-01-20T00:00:00Z"/>
        <d v="2018-01-21T00:00:00Z"/>
        <d v="2018-01-23T00:00:00Z"/>
        <d v="2018-01-22T00:00:00Z"/>
        <d v="2018-01-25T00:00:00Z"/>
        <d v="2018-01-24T00:00:00Z"/>
        <d v="2018-01-28T00:00:00Z"/>
        <d v="2018-01-27T00:00:00Z"/>
        <d v="2018-01-30T00:00:00Z"/>
        <d v="2018-01-29T00:00:00Z"/>
        <d v="2018-02-01T00:00:00Z"/>
        <d v="2018-01-31T00:00:00Z"/>
        <d v="2018-02-02T00:00:00Z"/>
        <d v="2018-02-03T00:00:00Z"/>
        <d v="2018-02-05T00:00:00Z"/>
        <d v="2018-02-08T00:00:00Z"/>
        <d v="2018-02-06T00:00:00Z"/>
        <d v="2018-02-09T00:00:00Z"/>
        <d v="2018-02-10T00:00:00Z"/>
        <d v="2018-02-11T00:00:00Z"/>
        <d v="2018-02-12T00:00:00Z"/>
        <d v="2018-02-13T00:00:00Z"/>
        <d v="2018-02-14T00:00:00Z"/>
        <d v="2018-02-15T00:00:00Z"/>
        <d v="2018-02-16T00:00:00Z"/>
        <d v="2018-02-18T00:00:00Z"/>
        <d v="2018-02-17T00:00:00Z"/>
        <d v="2018-02-19T00:00:00Z"/>
        <d v="2018-02-21T00:00:00Z"/>
        <d v="2018-02-22T00:00:00Z"/>
        <d v="2018-02-26T00:00:00Z"/>
        <d v="2018-02-28T00:00:00Z"/>
        <d v="2018-02-27T00:00:00Z"/>
        <d v="2018-03-02T00:00:00Z"/>
        <d v="2018-03-03T00:00:00Z"/>
        <d v="2018-03-05T00:00:00Z"/>
        <d v="2018-03-04T00:00:00Z"/>
        <d v="2018-03-06T00:00:00Z"/>
        <d v="2018-03-07T00:00:00Z"/>
        <d v="2018-03-10T00:00:00Z"/>
        <d v="2018-03-09T00:00:00Z"/>
        <d v="2018-03-08T00:00:00Z"/>
        <d v="2018-03-13T00:00:00Z"/>
        <d v="2018-03-12T00:00:00Z"/>
        <d v="2018-03-16T00:00:00Z"/>
        <d v="2018-03-15T00:00:00Z"/>
        <d v="2018-03-17T00:00:00Z"/>
        <d v="2018-03-18T00:00:00Z"/>
        <d v="2018-03-20T00:00:00Z"/>
        <d v="2018-03-19T00:00:00Z"/>
        <d v="2018-03-22T00:00:00Z"/>
        <d v="2018-03-23T00:00:00Z"/>
        <d v="2018-03-21T00:00:00Z"/>
        <d v="2018-03-25T00:00:00Z"/>
        <d v="2018-03-24T00:00:00Z"/>
        <d v="2018-03-28T00:00:00Z"/>
        <d v="2018-03-29T00:00:00Z"/>
        <d v="2018-03-27T00:00:00Z"/>
        <d v="2018-03-30T00:00:00Z"/>
        <d v="2018-03-31T00:00:00Z"/>
        <d v="2018-04-01T00:00:00Z"/>
        <d v="2018-04-03T00:00:00Z"/>
        <d v="2018-04-02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6-17T00:00:00Z"/>
        <d v="2018-07-01T00:00:00Z"/>
        <d v="2018-07-10T00:00:00Z"/>
        <d v="2018-07-11T00:00:00Z"/>
        <d v="2018-07-12T00:00:00Z"/>
        <d v="2018-08-23T00:00:00Z"/>
        <d v="2018-08-25T00:00:00Z"/>
        <d v="2018-09-06T00:00:00Z"/>
        <d v="2018-10-21T00:00:00Z"/>
        <d v="2018-11-18T00:00:00Z"/>
        <d v="2018-11-28T00:00:00Z"/>
        <d v="2018-12-28T00:00:00Z"/>
        <m/>
      </sharedItems>
    </cacheField>
    <cacheField name="shipped_date">
      <sharedItems containsDate="1" containsBlank="1" containsMixedTypes="1">
        <d v="2016-01-03T00:00:00Z"/>
        <d v="2016-01-05T00:00:00Z"/>
        <d v="2016-01-06T00:00:00Z"/>
        <d v="2016-01-08T00:00:00Z"/>
        <d v="2016-01-07T00:00:00Z"/>
        <d v="2016-01-09T00:00:00Z"/>
        <d v="2016-01-11T00:00:00Z"/>
        <d v="2016-01-12T00:00:00Z"/>
        <d v="2016-01-15T00:00:00Z"/>
        <d v="2016-01-14T00:00:00Z"/>
        <d v="2016-01-16T00:00:00Z"/>
        <d v="2016-01-17T00:00:00Z"/>
        <d v="2016-01-18T00:00:00Z"/>
        <d v="2016-01-19T00:00:00Z"/>
        <d v="2016-01-21T00:00:00Z"/>
        <d v="2016-01-20T00:00:00Z"/>
        <d v="2016-01-22T00:00:00Z"/>
        <d v="2016-01-23T00:00:00Z"/>
        <d v="2016-01-24T00:00:00Z"/>
        <d v="2016-01-26T00:00:00Z"/>
        <d v="2016-01-29T00:00:00Z"/>
        <d v="2016-01-30T00:00:00Z"/>
        <d v="2016-01-31T00:00:00Z"/>
        <d v="2016-02-02T00:00:00Z"/>
        <d v="2016-02-03T00:00:00Z"/>
        <d v="2016-02-05T00:00:00Z"/>
        <d v="2016-02-07T00:00:00Z"/>
        <d v="2016-02-06T00:00:00Z"/>
        <d v="2016-02-09T00:00:00Z"/>
        <d v="2016-02-10T00:00:00Z"/>
        <d v="2016-02-11T00:00:00Z"/>
        <d v="2016-02-12T00:00:00Z"/>
        <d v="2016-02-13T00:00:00Z"/>
        <s v="NULL"/>
        <d v="2016-02-14T00:00:00Z"/>
        <d v="2016-02-15T00:00:00Z"/>
        <d v="2016-02-17T00:00:00Z"/>
        <d v="2016-02-19T00:00:00Z"/>
        <d v="2016-02-20T00:00:00Z"/>
        <d v="2016-02-18T00:00:00Z"/>
        <d v="2016-02-21T00:00:00Z"/>
        <d v="2016-02-23T00:00:00Z"/>
        <d v="2016-02-24T00:00:00Z"/>
        <d v="2016-02-28T00:00:00Z"/>
        <d v="2016-02-27T00:00:00Z"/>
        <d v="2016-02-29T00:00:00Z"/>
        <d v="2016-03-01T00:00:00Z"/>
        <d v="2016-03-03T00:00:00Z"/>
        <d v="2016-03-04T00:00:00Z"/>
        <d v="2016-03-05T00:00:00Z"/>
        <d v="2016-03-09T00:00:00Z"/>
        <d v="2016-03-07T00:00:00Z"/>
        <d v="2016-03-10T00:00:00Z"/>
        <d v="2016-03-11T00:00:00Z"/>
        <d v="2016-03-13T00:00:00Z"/>
        <d v="2016-03-14T00:00:00Z"/>
        <d v="2016-03-17T00:00:00Z"/>
        <d v="2016-03-16T00:00:00Z"/>
        <d v="2016-03-15T00:00:00Z"/>
        <d v="2016-03-18T00:00:00Z"/>
        <d v="2016-03-19T00:00:00Z"/>
        <d v="2016-03-21T00:00:00Z"/>
        <d v="2016-03-20T00:00:00Z"/>
        <d v="2016-03-23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4T00:00:00Z"/>
        <d v="2016-04-05T00:00:00Z"/>
        <d v="2016-04-06T00:00:00Z"/>
        <d v="2016-04-07T00:00:00Z"/>
        <d v="2016-04-09T00:00:00Z"/>
        <d v="2016-04-10T00:00:00Z"/>
        <d v="2016-04-11T00:00:00Z"/>
        <d v="2016-04-13T00:00:00Z"/>
        <d v="2016-04-14T00:00:00Z"/>
        <d v="2016-04-15T00:00:00Z"/>
        <d v="2016-04-17T00:00:00Z"/>
        <d v="2016-04-19T00:00:00Z"/>
        <d v="2016-04-18T00:00:00Z"/>
        <d v="2016-04-20T00:00:00Z"/>
        <d v="2016-04-22T00:00:00Z"/>
        <d v="2016-04-24T00:00:00Z"/>
        <d v="2016-04-25T00:00:00Z"/>
        <d v="2016-04-26T00:00:00Z"/>
        <d v="2016-04-28T00:00:00Z"/>
        <d v="2016-04-29T00:00:00Z"/>
        <d v="2016-04-30T00:00:00Z"/>
        <d v="2016-05-01T00:00:00Z"/>
        <d v="2016-05-03T00:00:00Z"/>
        <d v="2016-05-04T00:00:00Z"/>
        <d v="2016-05-02T00:00:00Z"/>
        <d v="2016-05-06T00:00:00Z"/>
        <d v="2016-05-05T00:00:00Z"/>
        <d v="2016-05-07T00:00:00Z"/>
        <d v="2016-05-09T00:00:00Z"/>
        <d v="2016-05-08T00:00:00Z"/>
        <d v="2016-05-11T00:00:00Z"/>
        <d v="2016-05-12T00:00:00Z"/>
        <d v="2016-05-13T00:00:00Z"/>
        <d v="2016-05-14T00:00:00Z"/>
        <d v="2016-05-15T00:00:00Z"/>
        <d v="2016-05-17T00:00:00Z"/>
        <d v="2016-05-19T00:00:00Z"/>
        <d v="2016-05-20T00:00:00Z"/>
        <d v="2016-05-21T00:00:00Z"/>
        <d v="2016-05-23T00:00:00Z"/>
        <d v="2016-05-24T00:00:00Z"/>
        <d v="2016-05-25T00:00:00Z"/>
        <d v="2016-05-26T00:00:00Z"/>
        <d v="2016-05-27T00:00:00Z"/>
        <d v="2016-05-29T00:00:00Z"/>
        <d v="2016-05-30T00:00:00Z"/>
        <d v="2016-05-28T00:00:00Z"/>
        <d v="2016-06-01T00:00:00Z"/>
        <d v="2016-05-31T00:00:00Z"/>
        <d v="2016-06-04T00:00:00Z"/>
        <d v="2016-06-02T00:00:00Z"/>
        <d v="2016-06-05T00:00:00Z"/>
        <d v="2016-06-07T00:00:00Z"/>
        <d v="2016-06-08T00:00:00Z"/>
        <d v="2016-06-09T00:00:00Z"/>
        <d v="2016-06-10T00:00:00Z"/>
        <d v="2016-06-12T00:00:00Z"/>
        <d v="2016-06-11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2T00:00:00Z"/>
        <d v="2016-06-23T00:00:00Z"/>
        <d v="2016-06-25T00:00:00Z"/>
        <d v="2016-06-26T00:00:00Z"/>
        <d v="2016-06-27T00:00:00Z"/>
        <d v="2016-06-28T00:00:00Z"/>
        <d v="2016-06-30T00:00:00Z"/>
        <d v="2016-07-01T00:00:00Z"/>
        <d v="2016-07-02T00:00:00Z"/>
        <d v="2016-07-04T00:00:00Z"/>
        <d v="2016-07-06T00:00:00Z"/>
        <d v="2016-07-07T00:00:00Z"/>
        <d v="2016-07-08T00:00:00Z"/>
        <d v="2016-07-09T00:00:00Z"/>
        <d v="2016-07-12T00:00:00Z"/>
        <d v="2016-07-11T00:00:00Z"/>
        <d v="2016-07-14T00:00:00Z"/>
        <d v="2016-07-13T00:00:00Z"/>
        <d v="2016-07-16T00:00:00Z"/>
        <d v="2016-07-15T00:00:00Z"/>
        <d v="2016-07-17T00:00:00Z"/>
        <d v="2016-07-19T00:00:00Z"/>
        <d v="2016-07-20T00:00:00Z"/>
        <d v="2016-07-21T00:00:00Z"/>
        <d v="2016-07-23T00:00:00Z"/>
        <d v="2016-07-22T00:00:00Z"/>
        <d v="2016-07-25T00:00:00Z"/>
        <d v="2016-07-26T00:00:00Z"/>
        <d v="2016-07-27T00:00:00Z"/>
        <d v="2016-07-28T00:00:00Z"/>
        <d v="2016-07-30T00:00:00Z"/>
        <d v="2016-07-29T00:00:00Z"/>
        <d v="2016-07-31T00:00:00Z"/>
        <d v="2016-08-01T00:00:00Z"/>
        <d v="2016-08-03T00:00:00Z"/>
        <d v="2016-08-02T00:00:00Z"/>
        <d v="2016-08-05T00:00:00Z"/>
        <d v="2016-08-04T00:00:00Z"/>
        <d v="2016-08-06T00:00:00Z"/>
        <d v="2016-08-07T00:00:00Z"/>
        <d v="2016-08-10T00:00:00Z"/>
        <d v="2016-08-11T00:00:00Z"/>
        <d v="2016-08-13T00:00:00Z"/>
        <d v="2016-08-15T00:00:00Z"/>
        <d v="2016-08-14T00:00:00Z"/>
        <d v="2016-08-17T00:00:00Z"/>
        <d v="2016-08-18T00:00:00Z"/>
        <d v="2016-08-20T00:00:00Z"/>
        <d v="2016-08-21T00:00:00Z"/>
        <d v="2016-08-23T00:00:00Z"/>
        <d v="2016-08-22T00:00:00Z"/>
        <d v="2016-08-25T00:00:00Z"/>
        <d v="2016-08-24T00:00:00Z"/>
        <d v="2016-08-27T00:00:00Z"/>
        <d v="2016-08-29T00:00:00Z"/>
        <d v="2016-09-01T00:00:00Z"/>
        <d v="2016-08-31T00:00:00Z"/>
        <d v="2016-09-02T00:00:00Z"/>
        <d v="2016-09-04T00:00:00Z"/>
        <d v="2016-09-03T00:00:00Z"/>
        <d v="2016-09-06T00:00:00Z"/>
        <d v="2016-09-05T00:00:00Z"/>
        <d v="2016-09-07T00:00:00Z"/>
        <d v="2016-09-08T00:00:00Z"/>
        <d v="2016-09-09T00:00:00Z"/>
        <d v="2016-09-11T00:00:00Z"/>
        <d v="2016-09-10T00:00:00Z"/>
        <d v="2016-09-12T00:00:00Z"/>
        <d v="2016-09-14T00:00:00Z"/>
        <d v="2016-09-13T00:00:00Z"/>
        <d v="2016-09-16T00:00:00Z"/>
        <d v="2016-09-19T00:00:00Z"/>
        <d v="2016-09-18T00:00:00Z"/>
        <d v="2016-09-21T00:00:00Z"/>
        <d v="2016-09-20T00:00:00Z"/>
        <d v="2016-09-22T00:00:00Z"/>
        <d v="2016-09-24T00:00:00Z"/>
        <d v="2016-09-23T00:00:00Z"/>
        <d v="2016-09-25T00:00:00Z"/>
        <d v="2016-09-26T00:00:00Z"/>
        <d v="2016-09-27T00:00:00Z"/>
        <d v="2016-09-29T00:00:00Z"/>
        <d v="2016-09-28T00:00:00Z"/>
        <d v="2016-10-01T00:00:00Z"/>
        <d v="2016-09-30T00:00:00Z"/>
        <d v="2016-10-02T00:00:00Z"/>
        <d v="2016-10-03T00:00:00Z"/>
        <d v="2016-10-04T00:00:00Z"/>
        <d v="2016-10-05T00:00:00Z"/>
        <d v="2016-10-06T00:00:00Z"/>
        <d v="2016-10-09T00:00:00Z"/>
        <d v="2016-10-07T00:00:00Z"/>
        <d v="2016-10-08T00:00:00Z"/>
        <d v="2016-10-11T00:00:00Z"/>
        <d v="2016-10-12T00:00:00Z"/>
        <d v="2016-10-13T00:00:00Z"/>
        <d v="2016-10-14T00:00:00Z"/>
        <d v="2016-10-15T00:00:00Z"/>
        <d v="2016-10-17T00:00:00Z"/>
        <d v="2016-10-16T00:00:00Z"/>
        <d v="2016-10-18T00:00:00Z"/>
        <d v="2016-10-19T00:00:00Z"/>
        <d v="2016-10-20T00:00:00Z"/>
        <d v="2016-10-21T00:00:00Z"/>
        <d v="2016-10-22T00:00:00Z"/>
        <d v="2016-10-24T00:00:00Z"/>
        <d v="2016-10-25T00:00:00Z"/>
        <d v="2016-10-27T00:00:00Z"/>
        <d v="2016-10-29T00:00:00Z"/>
        <d v="2016-10-28T00:00:00Z"/>
        <d v="2016-10-31T00:00:00Z"/>
        <d v="2016-10-30T00:00:00Z"/>
        <d v="2016-11-01T00:00:00Z"/>
        <d v="2016-11-03T00:00:00Z"/>
        <d v="2016-11-05T00:00:00Z"/>
        <d v="2016-11-06T00:00:00Z"/>
        <d v="2016-11-07T00:00:00Z"/>
        <d v="2016-11-08T00:00:00Z"/>
        <d v="2016-11-09T00:00:00Z"/>
        <d v="2016-11-10T00:00:00Z"/>
        <d v="2016-11-13T00:00:00Z"/>
        <d v="2016-11-15T00:00:00Z"/>
        <d v="2016-11-16T00:00:00Z"/>
        <d v="2016-11-17T00:00:00Z"/>
        <d v="2016-11-21T00:00:00Z"/>
        <d v="2016-11-22T00:00:00Z"/>
        <d v="2016-11-23T00:00:00Z"/>
        <d v="2016-11-24T00:00:00Z"/>
        <d v="2016-11-25T00:00:00Z"/>
        <d v="2016-11-27T00:00:00Z"/>
        <d v="2016-11-26T00:00:00Z"/>
        <d v="2016-11-29T00:00:00Z"/>
        <d v="2016-11-30T00:00:00Z"/>
        <d v="2016-11-28T00:00:00Z"/>
        <d v="2016-12-02T00:00:00Z"/>
        <d v="2016-12-06T00:00:00Z"/>
        <d v="2016-12-07T00:00:00Z"/>
        <d v="2016-12-05T00:00:00Z"/>
        <d v="2016-12-08T00:00:00Z"/>
        <d v="2016-12-09T00:00:00Z"/>
        <d v="2016-12-11T00:00:00Z"/>
        <d v="2016-12-10T00:00:00Z"/>
        <d v="2016-12-12T00:00:00Z"/>
        <d v="2016-12-13T00:00:00Z"/>
        <d v="2016-12-14T00:00:00Z"/>
        <d v="2016-12-18T00:00:00Z"/>
        <d v="2016-12-17T00:00:00Z"/>
        <d v="2016-12-19T00:00:00Z"/>
        <d v="2016-12-21T00:00:00Z"/>
        <d v="2016-12-23T00:00:00Z"/>
        <d v="2016-12-22T00:00:00Z"/>
        <d v="2016-12-25T00:00:00Z"/>
        <d v="2016-12-24T00:00:00Z"/>
        <d v="2016-12-27T00:00:00Z"/>
        <d v="2016-12-26T00:00:00Z"/>
        <d v="2016-12-28T00:00:00Z"/>
        <d v="2016-12-29T00:00:00Z"/>
        <d v="2016-12-30T00:00:00Z"/>
        <d v="2016-12-31T00:00:00Z"/>
        <d v="2017-01-05T00:00:00Z"/>
        <d v="2017-01-06T00:00:00Z"/>
        <d v="2017-01-07T00:00:00Z"/>
        <d v="2017-01-08T00:00:00Z"/>
        <d v="2017-01-10T00:00:00Z"/>
        <d v="2017-01-11T00:00:00Z"/>
        <d v="2017-01-13T00:00:00Z"/>
        <d v="2017-01-12T00:00:00Z"/>
        <d v="2017-01-15T00:00:00Z"/>
        <d v="2017-01-17T00:00:00Z"/>
        <d v="2017-01-18T00:00:00Z"/>
        <d v="2017-01-20T00:00:00Z"/>
        <d v="2017-01-19T00:00:00Z"/>
        <d v="2017-01-23T00:00:00Z"/>
        <d v="2017-01-22T00:00:00Z"/>
        <d v="2017-01-24T00:00:00Z"/>
        <d v="2017-01-25T00:00:00Z"/>
        <d v="2017-01-26T00:00:00Z"/>
        <d v="2017-01-29T00:00:00Z"/>
        <d v="2017-01-27T00:00:00Z"/>
        <d v="2017-01-30T00:00:00Z"/>
        <d v="2017-01-31T00:00:00Z"/>
        <d v="2017-02-01T00:00:00Z"/>
        <d v="2017-02-02T00:00:00Z"/>
        <d v="2017-02-04T00:00:00Z"/>
        <d v="2017-02-05T00:00:00Z"/>
        <d v="2017-02-06T00:00:00Z"/>
        <d v="2017-02-08T00:00:00Z"/>
        <d v="2017-02-07T00:00:00Z"/>
        <d v="2017-02-09T00:00:00Z"/>
        <d v="2017-02-11T00:00:00Z"/>
        <d v="2017-02-10T00:00:00Z"/>
        <d v="2017-02-12T00:00:00Z"/>
        <d v="2017-02-16T00:00:00Z"/>
        <d v="2017-02-14T00:00:00Z"/>
        <d v="2017-02-15T00:00:00Z"/>
        <d v="2017-02-18T00:00:00Z"/>
        <d v="2017-02-17T00:00:00Z"/>
        <d v="2017-02-19T00:00:00Z"/>
        <d v="2017-02-21T00:00:00Z"/>
        <d v="2017-02-22T00:00:00Z"/>
        <d v="2017-02-20T00:00:00Z"/>
        <d v="2017-02-23T00:00:00Z"/>
        <d v="2017-02-27T00:00:00Z"/>
        <d v="2017-03-01T00:00:00Z"/>
        <d v="2017-02-28T00:00:00Z"/>
        <d v="2017-03-03T00:00:00Z"/>
        <d v="2017-03-02T00:00:00Z"/>
        <d v="2017-03-04T00:00:00Z"/>
        <d v="2017-03-05T00:00:00Z"/>
        <d v="2017-03-07T00:00:00Z"/>
        <d v="2017-03-08T00:00:00Z"/>
        <d v="2017-03-09T00:00:00Z"/>
        <d v="2017-03-10T00:00:00Z"/>
        <d v="2017-03-12T00:00:00Z"/>
        <d v="2017-03-11T00:00:00Z"/>
        <d v="2017-03-13T00:00:00Z"/>
        <d v="2017-03-14T00:00:00Z"/>
        <d v="2017-03-16T00:00:00Z"/>
        <d v="2017-03-18T00:00:00Z"/>
        <d v="2017-03-17T00:00:00Z"/>
        <d v="2017-03-19T00:00:00Z"/>
        <d v="2017-03-20T00:00:00Z"/>
        <d v="2017-03-22T00:00:00Z"/>
        <d v="2017-03-23T00:00:00Z"/>
        <d v="2017-03-24T00:00:00Z"/>
        <d v="2017-03-26T00:00:00Z"/>
        <d v="2017-03-25T00:00:00Z"/>
        <d v="2017-03-29T00:00:00Z"/>
        <d v="2017-03-28T00:00:00Z"/>
        <d v="2017-03-30T00:00:00Z"/>
        <d v="2017-04-01T00:00:00Z"/>
        <d v="2017-03-31T00:00:00Z"/>
        <d v="2017-04-02T00:00:00Z"/>
        <d v="2017-04-03T00:00:00Z"/>
        <d v="2017-04-04T00:00:00Z"/>
        <d v="2017-04-05T00:00:00Z"/>
        <d v="2017-04-07T00:00:00Z"/>
        <d v="2017-04-08T00:00:00Z"/>
        <d v="2017-04-09T00:00:00Z"/>
        <d v="2017-04-10T00:00:00Z"/>
        <d v="2017-04-12T00:00:00Z"/>
        <d v="2017-04-15T00:00:00Z"/>
        <d v="2017-04-14T00:00:00Z"/>
        <d v="2017-04-16T00:00:00Z"/>
        <d v="2017-04-17T00:00:00Z"/>
        <d v="2017-04-19T00:00:00Z"/>
        <d v="2017-04-18T00:00:00Z"/>
        <d v="2017-04-20T00:00:00Z"/>
        <d v="2017-04-21T00:00:00Z"/>
        <d v="2017-04-22T00:00:00Z"/>
        <d v="2017-04-24T00:00:00Z"/>
        <d v="2017-04-23T00:00:00Z"/>
        <d v="2017-04-25T00:00:00Z"/>
        <d v="2017-04-26T00:00:00Z"/>
        <d v="2017-04-28T00:00:00Z"/>
        <d v="2017-04-30T00:00:00Z"/>
        <d v="2017-04-29T00:00:00Z"/>
        <d v="2017-05-01T00:00:00Z"/>
        <d v="2017-05-02T00:00:00Z"/>
        <d v="2017-05-03T00:00:00Z"/>
        <d v="2017-05-06T00:00:00Z"/>
        <d v="2017-05-05T00:00:00Z"/>
        <d v="2017-05-08T00:00:00Z"/>
        <d v="2017-05-09T00:00:00Z"/>
        <d v="2017-05-10T00:00:00Z"/>
        <d v="2017-05-11T00:00:00Z"/>
        <d v="2017-05-14T00:00:00Z"/>
        <d v="2017-05-12T00:00:00Z"/>
        <d v="2017-05-15T00:00:00Z"/>
        <d v="2017-05-16T00:00:00Z"/>
        <d v="2017-05-18T00:00:00Z"/>
        <d v="2017-05-17T00:00:00Z"/>
        <d v="2017-05-19T00:00:00Z"/>
        <d v="2017-05-21T00:00:00Z"/>
        <d v="2017-05-22T00:00:00Z"/>
        <d v="2017-05-24T00:00:00Z"/>
        <d v="2017-05-26T00:00:00Z"/>
        <d v="2017-05-27T00:00:00Z"/>
        <d v="2017-05-28T00:00:00Z"/>
        <d v="2017-05-29T00:00:00Z"/>
        <d v="2017-05-31T00:00:00Z"/>
        <d v="2017-05-30T00:00:00Z"/>
        <d v="2017-06-01T00:00:00Z"/>
        <d v="2017-06-02T00:00:00Z"/>
        <d v="2017-06-03T00:00:00Z"/>
        <d v="2017-06-06T00:00:00Z"/>
        <d v="2017-06-08T00:00:00Z"/>
        <d v="2017-06-09T00:00:00Z"/>
        <d v="2017-06-12T00:00:00Z"/>
        <d v="2017-06-13T00:00:00Z"/>
        <d v="2017-06-14T00:00:00Z"/>
        <d v="2017-06-15T00:00:00Z"/>
        <d v="2017-06-17T00:00:00Z"/>
        <d v="2017-06-16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7T00:00:00Z"/>
        <d v="2017-06-28T00:00:00Z"/>
        <d v="2017-06-29T00:00:00Z"/>
        <d v="2017-07-01T00:00:00Z"/>
        <d v="2017-07-04T00:00:00Z"/>
        <d v="2017-07-05T00:00:00Z"/>
        <d v="2017-07-03T00:00:00Z"/>
        <d v="2017-07-07T00:00:00Z"/>
        <d v="2017-07-09T00:00:00Z"/>
        <d v="2017-07-11T00:00:00Z"/>
        <d v="2017-07-14T00:00:00Z"/>
        <d v="2017-07-12T00:00:00Z"/>
        <d v="2017-07-15T00:00:00Z"/>
        <d v="2017-07-16T00:00:00Z"/>
        <d v="2017-07-17T00:00:00Z"/>
        <d v="2017-07-18T00:00:00Z"/>
        <d v="2017-07-19T00:00:00Z"/>
        <d v="2017-07-21T00:00:00Z"/>
        <d v="2017-07-20T00:00:00Z"/>
        <d v="2017-07-23T00:00:00Z"/>
        <d v="2017-07-24T00:00:00Z"/>
        <d v="2017-07-26T00:00:00Z"/>
        <d v="2017-07-25T00:00:00Z"/>
        <d v="2017-07-29T00:00:00Z"/>
        <d v="2017-07-28T00:00:00Z"/>
        <d v="2017-07-30T00:00:00Z"/>
        <d v="2017-08-01T00:00:00Z"/>
        <d v="2017-07-31T00:00:00Z"/>
        <d v="2017-08-02T00:00:00Z"/>
        <d v="2017-08-03T00:00:00Z"/>
        <d v="2017-08-05T00:00:00Z"/>
        <d v="2017-08-07T00:00:00Z"/>
        <d v="2017-08-08T00:00:00Z"/>
        <d v="2017-08-10T00:00:00Z"/>
        <d v="2017-08-09T00:00:00Z"/>
        <d v="2017-08-12T00:00:00Z"/>
        <d v="2017-08-11T00:00:00Z"/>
        <d v="2017-08-13T00:00:00Z"/>
        <d v="2017-08-15T00:00:00Z"/>
        <d v="2017-08-14T00:00:00Z"/>
        <d v="2017-08-17T00:00:00Z"/>
        <d v="2017-08-18T00:00:00Z"/>
        <d v="2017-08-19T00:00:00Z"/>
        <d v="2017-08-21T00:00:00Z"/>
        <d v="2017-08-22T00:00:00Z"/>
        <d v="2017-08-20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0T00:00:00Z"/>
        <d v="2017-08-31T00:00:00Z"/>
        <d v="2017-09-02T00:00:00Z"/>
        <d v="2017-09-03T00:00:00Z"/>
        <d v="2017-09-04T00:00:00Z"/>
        <d v="2017-09-05T00:00:00Z"/>
        <d v="2017-09-07T00:00:00Z"/>
        <d v="2017-09-08T00:00:00Z"/>
        <d v="2017-09-09T00:00:00Z"/>
        <d v="2017-09-10T00:00:00Z"/>
        <d v="2017-09-11T00:00:00Z"/>
        <d v="2017-09-13T00:00:00Z"/>
        <d v="2017-09-12T00:00:00Z"/>
        <d v="2017-09-14T00:00:00Z"/>
        <d v="2017-09-16T00:00:00Z"/>
        <d v="2017-09-15T00:00:00Z"/>
        <d v="2017-09-20T00:00:00Z"/>
        <d v="2017-09-19T00:00:00Z"/>
        <d v="2017-09-21T00:00:00Z"/>
        <d v="2017-09-23T00:00:00Z"/>
        <d v="2017-09-22T00:00:00Z"/>
        <d v="2017-09-24T00:00:00Z"/>
        <d v="2017-09-26T00:00:00Z"/>
        <d v="2017-09-27T00:00:00Z"/>
        <d v="2017-09-28T00:00:00Z"/>
        <d v="2017-09-30T00:00:00Z"/>
        <d v="2017-10-01T00:00:00Z"/>
        <d v="2017-10-03T00:00:00Z"/>
        <d v="2017-10-04T00:00:00Z"/>
        <d v="2017-10-02T00:00:00Z"/>
        <d v="2017-10-05T00:00:00Z"/>
        <d v="2017-10-06T00:00:00Z"/>
        <d v="2017-10-07T00:00:00Z"/>
        <d v="2017-10-08T00:00:00Z"/>
        <d v="2017-10-09T00:00:00Z"/>
        <d v="2017-10-11T00:00:00Z"/>
        <d v="2017-10-12T00:00:00Z"/>
        <d v="2017-10-13T00:00:00Z"/>
        <d v="2017-10-15T00:00:00Z"/>
        <d v="2017-10-16T00:00:00Z"/>
        <d v="2017-10-17T00:00:00Z"/>
        <d v="2017-10-18T00:00:00Z"/>
        <d v="2017-10-19T00:00:00Z"/>
        <d v="2017-10-22T00:00:00Z"/>
        <d v="2017-10-21T00:00:00Z"/>
        <d v="2017-10-20T00:00:00Z"/>
        <d v="2017-10-23T00:00:00Z"/>
        <d v="2017-10-24T00:00:00Z"/>
        <d v="2017-10-26T00:00:00Z"/>
        <d v="2017-10-25T00:00:00Z"/>
        <d v="2017-10-28T00:00:00Z"/>
        <d v="2017-10-29T00:00:00Z"/>
        <d v="2017-10-27T00:00:00Z"/>
        <d v="2017-10-30T00:00:00Z"/>
        <d v="2017-10-31T00:00:00Z"/>
        <d v="2017-11-02T00:00:00Z"/>
        <d v="2017-11-03T00:00:00Z"/>
        <d v="2017-11-01T00:00:00Z"/>
        <d v="2017-11-04T00:00:00Z"/>
        <d v="2017-11-07T00:00:00Z"/>
        <d v="2017-11-06T00:00:00Z"/>
        <d v="2017-11-09T00:00:00Z"/>
        <d v="2017-11-08T00:00:00Z"/>
        <d v="2017-11-11T00:00:00Z"/>
        <d v="2017-11-12T00:00:00Z"/>
        <d v="2017-11-14T00:00:00Z"/>
        <d v="2017-11-13T00:00:00Z"/>
        <d v="2017-11-16T00:00:00Z"/>
        <d v="2017-11-17T00:00:00Z"/>
        <d v="2017-11-18T00:00:00Z"/>
        <d v="2017-11-20T00:00:00Z"/>
        <d v="2017-11-19T00:00:00Z"/>
        <d v="2017-11-21T00:00:00Z"/>
        <d v="2017-11-22T00:00:00Z"/>
        <d v="2017-11-24T00:00:00Z"/>
        <d v="2017-11-26T00:00:00Z"/>
        <d v="2017-11-25T00:00:00Z"/>
        <d v="2017-11-27T00:00:00Z"/>
        <d v="2017-11-29T00:00:00Z"/>
        <d v="2017-11-30T00:00:00Z"/>
        <d v="2017-12-01T00:00:00Z"/>
        <d v="2017-12-02T00:00:00Z"/>
        <d v="2017-12-04T00:00:00Z"/>
        <d v="2017-12-03T00:00:00Z"/>
        <d v="2017-12-05T00:00:00Z"/>
        <d v="2017-12-07T00:00:00Z"/>
        <d v="2017-12-06T00:00:00Z"/>
        <d v="2017-12-09T00:00:00Z"/>
        <d v="2017-12-10T00:00:00Z"/>
        <d v="2017-12-12T00:00:00Z"/>
        <d v="2017-12-11T00:00:00Z"/>
        <d v="2017-12-14T00:00:00Z"/>
        <d v="2017-12-15T00:00:00Z"/>
        <d v="2017-12-16T00:00:00Z"/>
        <d v="2017-12-17T00:00:00Z"/>
        <d v="2017-12-19T00:00:00Z"/>
        <d v="2017-12-18T00:00:00Z"/>
        <d v="2017-12-22T00:00:00Z"/>
        <d v="2017-12-25T00:00:00Z"/>
        <d v="2017-12-24T00:00:00Z"/>
        <d v="2017-12-26T00:00:00Z"/>
        <d v="2017-12-27T00:00:00Z"/>
        <d v="2017-12-28T00:00:00Z"/>
        <d v="2017-12-29T00:00:00Z"/>
        <d v="2017-12-30T00:00:00Z"/>
        <d v="2017-12-31T00:00:00Z"/>
        <d v="2018-01-02T00:00:00Z"/>
        <d v="2018-01-01T00:00:00Z"/>
        <d v="2018-01-03T00:00:00Z"/>
        <d v="2018-01-05T00:00:00Z"/>
        <d v="2018-01-06T00:00:00Z"/>
        <d v="2018-01-07T00:00:00Z"/>
        <d v="2018-01-08T00:00:00Z"/>
        <d v="2018-01-09T00:00:00Z"/>
        <d v="2018-01-10T00:00:00Z"/>
        <d v="2018-01-12T00:00:00Z"/>
        <d v="2018-01-13T00:00:00Z"/>
        <d v="2018-01-14T00:00:00Z"/>
        <d v="2018-01-15T00:00:00Z"/>
        <d v="2018-01-18T00:00:00Z"/>
        <d v="2018-01-17T00:00:00Z"/>
        <d v="2018-01-16T00:00:00Z"/>
        <d v="2018-01-19T00:00:00Z"/>
        <d v="2018-01-21T00:00:00Z"/>
        <d v="2018-01-20T00:00:00Z"/>
        <d v="2018-01-22T00:00:00Z"/>
        <d v="2018-01-24T00:00:00Z"/>
        <d v="2018-01-23T00:00:00Z"/>
        <d v="2018-01-25T00:00:00Z"/>
        <d v="2018-01-28T00:00:00Z"/>
        <d v="2018-01-27T00:00:00Z"/>
        <d v="2018-01-29T00:00:00Z"/>
        <d v="2018-01-30T00:00:00Z"/>
        <d v="2018-02-01T00:00:00Z"/>
        <d v="2018-01-31T00:00:00Z"/>
        <d v="2018-02-03T00:00:00Z"/>
        <d v="2018-02-04T00:00:00Z"/>
        <d v="2018-02-05T00:00:00Z"/>
        <d v="2018-02-08T00:00:00Z"/>
        <d v="2018-02-09T00:00:00Z"/>
        <d v="2018-02-11T00:00:00Z"/>
        <d v="2018-02-12T00:00:00Z"/>
        <d v="2018-02-14T00:00:00Z"/>
        <d v="2018-02-13T00:00:00Z"/>
        <d v="2018-02-15T00:00:00Z"/>
        <d v="2018-02-16T00:00:00Z"/>
        <d v="2018-02-19T00:00:00Z"/>
        <d v="2018-02-18T00:00:00Z"/>
        <d v="2018-02-20T00:00:00Z"/>
        <d v="2018-02-21T00:00:00Z"/>
        <d v="2018-02-22T00:00:00Z"/>
        <d v="2018-02-24T00:00:00Z"/>
        <d v="2018-02-27T00:00:00Z"/>
        <d v="2018-03-01T00:00:00Z"/>
        <d v="2018-02-28T00:00:00Z"/>
        <d v="2018-03-02T00:00:00Z"/>
        <d v="2018-03-04T00:00:00Z"/>
        <d v="2018-03-06T00:00:00Z"/>
        <d v="2018-03-05T00:00:00Z"/>
        <d v="2018-03-07T00:00:00Z"/>
        <d v="2018-03-08T00:00:00Z"/>
        <d v="2018-03-10T00:00:00Z"/>
        <d v="2018-03-09T00:00:00Z"/>
        <d v="2018-03-11T00:00:00Z"/>
        <d v="2018-03-14T00:00:00Z"/>
        <d v="2018-03-12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8T00:00:00Z"/>
        <d v="2018-03-29T00:00:00Z"/>
        <d v="2018-03-30T00:00:00Z"/>
        <d v="2018-03-31T00:00:00Z"/>
        <d v="2018-04-02T00:00:00Z"/>
        <d v="2018-04-01T00:00:00Z"/>
        <m/>
      </sharedItems>
    </cacheField>
    <cacheField name="store_id" numFmtId="0">
      <sharedItems containsString="0" containsBlank="1" containsNumber="1" containsInteger="1">
        <n v="1.0"/>
        <n v="2.0"/>
        <n v="3.0"/>
        <m/>
      </sharedItems>
    </cacheField>
    <cacheField name="staff_id" numFmtId="0">
      <sharedItems containsString="0" containsBlank="1" containsNumber="1" containsInteger="1">
        <n v="2.0"/>
        <n v="6.0"/>
        <n v="7.0"/>
        <n v="3.0"/>
        <n v="8.0"/>
        <n v="9.0"/>
        <m/>
      </sharedItems>
    </cacheField>
    <cacheField name="customer name" numFmtId="0">
      <sharedItems containsBlank="1">
        <s v="Johnathan Velazquez"/>
        <s v="Jaqueline Cummings"/>
        <s v="Joshua Robertson"/>
        <s v="Nova Hess"/>
        <s v="Arla Ellis"/>
        <s v="Sharyn Hopkins"/>
        <s v="Laureen Paul"/>
        <s v="Leslie Higgins"/>
        <s v="Neil Mccall"/>
        <s v="Alane Munoz"/>
        <s v="Tarra Guerrero"/>
        <s v="Marvin Mullins"/>
        <s v="Patience Clayton"/>
        <s v="Maribel William"/>
        <s v="Ellsworth Michael"/>
        <s v="Lea Key"/>
        <s v="Sindy Anderson"/>
        <s v="Lanita Burton"/>
        <s v="Norine Huffman"/>
        <s v="Randee Pitts"/>
        <s v="Neoma Daugherty"/>
        <s v="Tangela Hurley"/>
        <s v="Drucilla Gilliam"/>
        <s v="Ashton Lott"/>
        <s v="Sam Lester"/>
        <s v="Jackeline Colon"/>
        <s v="Pamala Henry"/>
        <s v="Eleni Gordon"/>
        <s v="Laureen Barry"/>
        <s v="Yvone Guerrero"/>
        <s v="Edgar Quinn"/>
        <s v="Kimbery Nieves"/>
        <s v="Verona O'neill"/>
        <s v="Sarai Mckee"/>
        <s v="Neville Mcclain"/>
        <s v="Shantel Gregory"/>
        <s v="Tomika Larson"/>
        <s v="Lashandra Turner"/>
        <s v="Travis Whitley"/>
        <s v="Darren Witt"/>
        <s v="Ingeborg Ellison"/>
        <s v="Corene Swanson"/>
        <s v="Elana Miles"/>
        <s v="Olympia Figueroa"/>
        <s v="Carissa Cross"/>
        <s v="Eldridge Greer"/>
        <s v="Joshua Berg"/>
        <s v="Josephine Dale"/>
        <s v="Taisha Vang"/>
        <s v="Silas Tate"/>
        <s v="Jamaal Baker"/>
        <s v="Twana Arnold"/>
        <s v="Margit Osborn"/>
        <s v="Inge Olsen"/>
        <s v="Chanel May"/>
        <s v="Nathaniel Davidson"/>
        <s v="Dalia Carson"/>
        <s v="Tiana Henderson"/>
        <s v="Rodney Odom"/>
        <s v="Joesph Delacruz"/>
        <s v="Mark Garrett"/>
        <s v="Denis Logan"/>
        <s v="Dann Huff"/>
        <s v="Corine Stuart"/>
        <s v="Serafina Clemons"/>
        <s v="Susannah Fields"/>
        <s v="Lazaro Moran"/>
        <s v="Kristen Alvarez"/>
        <s v="Ophelia Decker"/>
        <s v="Cleotilde Booth"/>
        <s v="Cathey Lamb"/>
        <s v="Cesar Wilkins"/>
        <s v="Gabriel Wagner"/>
        <s v="Mariela Huffman"/>
        <s v="Euna Lopez"/>
        <s v="Genoveva Baldwin"/>
        <s v="Rochelle Ward"/>
        <s v="Trinidad Chapman"/>
        <s v="Ellena Clements"/>
        <s v="Jeannie Wilcox"/>
        <s v="Max Charles"/>
        <s v="Bronwyn Vargas"/>
        <s v="Gertrude Terry"/>
        <s v="Christia Wilkins"/>
        <s v="Aaron Knapp"/>
        <s v="Lavette Wright"/>
        <s v="Rosa Kinney"/>
        <s v="Rodolfo Buck"/>
        <s v="Calandra Stanton"/>
        <s v="Romaine Haley"/>
        <s v="Catrice Hicks"/>
        <s v="Kimberli Cline"/>
        <s v="Cindie Franklin"/>
        <s v="Thurman Ellis"/>
        <s v="Casey Gill"/>
        <s v="Keitha Black"/>
        <s v="Alpha King"/>
        <s v="Leticia Snyder"/>
        <s v="Rikki Morrow"/>
        <s v="Luke Kramer"/>
        <s v="Katheleen Marks"/>
        <s v="Trisha Johnson"/>
        <s v="Brigida Larson"/>
        <s v="Latasha Hays"/>
        <s v="Vikki Erickson"/>
        <s v="Valery Saunders"/>
        <s v="Kiara Deleon"/>
        <s v="Robby Sykes"/>
        <s v="Ben Stone"/>
        <s v="Launa Hull"/>
        <s v="Zulema Browning"/>
        <s v="Micki Rutledge"/>
        <s v="Theresia Barron"/>
        <s v="Mark Benton"/>
        <s v="Starr Schneider"/>
        <s v="Burma Summers"/>
        <s v="Gwenn Melton"/>
        <s v="Danille Mcfarland"/>
        <s v="Bryce Monroe"/>
        <s v="Sharie Alvarez"/>
        <s v="Tomika Wilder"/>
        <s v="Wallace Lane"/>
        <s v="Lecia Hancock"/>
        <s v="Elouise Fry"/>
        <s v="Laverne Craft"/>
        <s v="Shenna Espinoza"/>
        <s v="Chelsey Boyd"/>
        <s v="Lissa Vargas"/>
        <s v="Armand Whitehead"/>
        <s v="Marcelino Mcbride"/>
        <s v="Hortencia Graham"/>
        <s v="Monika Berg"/>
        <s v="Jerome Bolton"/>
        <s v="Tuan Wolfe"/>
        <s v="Alexandria Zamora"/>
        <s v="Gena Owens"/>
        <s v="Jina Cooper"/>
        <s v="Katharine Herrera"/>
        <s v="Ezra Silva"/>
        <s v="Devin Velazquez"/>
        <s v="Erlene Cook"/>
        <s v="Regine Gonzales"/>
        <s v="Merlin Foreman"/>
        <s v="Hubert Reilly"/>
        <s v="Lavonne Anderson"/>
        <s v="Keturah Massey"/>
        <s v="Diana Guerra"/>
        <s v="Senaida Thompson"/>
        <s v="Han Schneider"/>
        <s v="Reena Higgins"/>
        <s v="Katina Mcintosh"/>
        <s v="Parker Prince"/>
        <s v="Edda Young"/>
        <s v="Dione Pratt"/>
        <s v="Loni Duncan"/>
        <s v="Sheri Cole"/>
        <s v="Mozelle Carter"/>
        <s v="Dacia William"/>
        <s v="Araceli Golden"/>
        <s v="Harris Pittman"/>
        <s v="Kasie Rodriquez"/>
        <s v="Williemae Holloway"/>
        <s v="Magdalena Sherman"/>
        <s v="Leonore Dorsey"/>
        <s v="Adriene Rivera"/>
        <s v="Abbey Pugh"/>
        <s v="Rico Salas"/>
        <s v="Kandace Ayers"/>
        <s v="Carie Kidd"/>
        <s v="Aubrey Durham"/>
        <s v="Elvera Peck"/>
        <s v="Cindi Ellis"/>
        <s v="Destiny Goodman"/>
        <s v="Steve Bender"/>
        <s v="Melba Wilkinson"/>
        <s v="Lucy Woods"/>
        <s v="Graig Roth"/>
        <s v="Shery Acosta"/>
        <s v="Kristel Bullock"/>
        <s v="Latosha Dalton"/>
        <s v="Phylis Adkins"/>
        <s v="Adelle Larsen"/>
        <s v="Brianna Moss"/>
        <s v="Corene Wall"/>
        <s v="Waldo Hart"/>
        <s v="Jeniffer Ratliff"/>
        <s v="Lorrie Pollard"/>
        <s v="Allie Conley"/>
        <s v="Violet Valenzuela"/>
        <s v="Ruthanne Hoover"/>
        <s v="Viva Dawson"/>
        <s v="Trena Rogers"/>
        <s v="Carroll Kelly"/>
        <s v="Kasha Sullivan"/>
        <s v="Tammie Cherry"/>
        <s v="Erlinda Nielsen"/>
        <s v="Allison Nolan"/>
        <s v="Marisa Chambers"/>
        <s v="Lanelle Guerra"/>
        <s v="Brenda Tate"/>
        <s v="Joi Reeves"/>
        <s v="Henrietta Wagner"/>
        <s v="Danilo Holmes"/>
        <s v="Myrtie James"/>
        <s v="Tania Swanson"/>
        <s v="Marget Hodge"/>
        <s v="Leanna Manning"/>
        <s v="Clarita Curry"/>
        <s v="Lynn Mcmahon"/>
        <s v="Penney Hall"/>
        <s v="Lanora Robbins"/>
        <s v="Lilliam Nolan"/>
        <s v="Kaci Gallegos"/>
        <s v="Kelsey Noble"/>
        <s v="Angelina Lloyd"/>
        <s v="Sebrina Hart"/>
        <s v="Vernetta Banks"/>
        <s v="Inez Snider"/>
        <s v="Noble Glover"/>
        <s v="Donovan Cantrell"/>
        <s v="Gertrud Rhodes"/>
        <s v="Veronique Fulton"/>
        <s v="Carola Rodriquez"/>
        <s v="Fransisca Nicholson"/>
        <s v="Tony Hicks"/>
        <s v="Kirstie Vazquez"/>
        <s v="Jamika Blanchard"/>
        <s v="Evelina Manning"/>
        <s v="Ryan Carter"/>
        <s v="Rosamaria Meyer"/>
        <s v="Latashia Travis"/>
        <s v="Melita Dominguez"/>
        <s v="Merrie Fowler"/>
        <s v="Eli Contreras"/>
        <s v="Stephaine Riddle"/>
        <s v="Carman Hardy"/>
        <s v="Annett Rush"/>
        <s v="Lashawn Ortiz"/>
        <s v="Kanesha Vega"/>
        <s v="Divina Madden"/>
        <s v="Almeta Benjamin"/>
        <s v="Barrett Sanders"/>
        <s v="Venus Hewitt"/>
        <s v="Scarlet Yates"/>
        <s v="Caren Stephens"/>
        <s v="Joann Barber"/>
        <s v="Kimberley Reynolds"/>
        <s v="Miquel Neal"/>
        <s v="Weldon Michael"/>
        <s v="Arlena Buckner"/>
        <s v="Lorrie Becker"/>
        <s v="Earline Gordon"/>
        <s v="Faustino Delacruz"/>
        <s v="Ophelia Rodgers"/>
        <s v="Theo Reese"/>
        <s v="Joeann Garrison"/>
        <s v="Cecil Hopper"/>
        <s v="Ginette Edwards"/>
        <s v="Yvette Rogers"/>
        <s v="Pasquale Hogan"/>
        <s v="Matilda Larson"/>
        <s v="Ai Forbes"/>
        <s v="Charolette Rice"/>
        <s v="Arnita Thomas"/>
        <s v="Lurline Rivers"/>
        <s v="Randolph Chase"/>
        <s v="Shery Randolph"/>
        <s v="Terrell Mathis"/>
        <s v="Ethelyn Ray"/>
        <s v="Christoper Mccall"/>
        <s v="Ezra Fowler"/>
        <s v="Tona Velasquez"/>
        <s v="Octavia Case"/>
        <s v="Rozanne Reyes"/>
        <s v="Magali Dixon"/>
        <s v="Thad Castro"/>
        <s v="Raven Curtis"/>
        <s v="Rosalba O'neal"/>
        <s v="Tomeka Higgins"/>
        <s v="Cris Dunn"/>
        <s v="Regina Burns"/>
        <s v="Olevia Pitts"/>
        <s v="Inger Jennings"/>
        <s v="Justin Newton"/>
        <s v="Latasha Stanley"/>
        <s v="Delbert Wilkins"/>
        <s v="Ouida Gregory"/>
        <s v="Phyllis Hill"/>
        <s v="Marni Bolton"/>
        <s v="Alane Kennedy"/>
        <s v="Van Peters"/>
        <s v="Rubye Mccall"/>
        <s v="Lavona Austin"/>
        <s v="Benny Bender"/>
        <s v="Gabriela Warren"/>
        <s v="Justina Jenkins"/>
        <s v="Janna Hayden"/>
        <s v="Rayna Perry"/>
        <s v="Emmaline Huber"/>
        <s v="Carlena Salinas"/>
        <s v="Bernita Mcdaniel"/>
        <s v="Chelsey Hardin"/>
        <s v="Camille Harvey"/>
        <s v="Charleen Hurst"/>
        <s v="Christoper Gould"/>
        <s v="Charlyn Cantrell"/>
        <s v="Gilma Dejesus"/>
        <s v="Deloris Larson"/>
        <s v="Shayla Hart"/>
        <s v="Jame Riggs"/>
        <s v="Dagny Owen"/>
        <s v="Janie Herrera"/>
        <s v="Rufina Chandler"/>
        <s v="Shawnda Glover"/>
        <s v="Mariam Miranda"/>
        <s v="Mallie Osborn"/>
        <s v="Danyell Dickerson"/>
        <s v="Carola Johns"/>
        <s v="Arcelia Vinson"/>
        <s v="Lea Irwin"/>
        <s v="Heide Reed"/>
        <s v="Garland Weaver"/>
        <s v="Ernestina Skinner"/>
        <s v="Bernetta Summers"/>
        <s v="Tiesha Daniel"/>
        <s v="Angele Schroeder"/>
        <s v="Josh Shaw"/>
        <s v="Gabriel Pitts"/>
        <s v="Yang Roth"/>
        <s v="Antonetta Rocha"/>
        <s v="Major Merrill"/>
        <s v="Hollis Rasmussen"/>
        <s v="Phebe Soto"/>
        <s v="Saran Moses"/>
        <s v="Adriene Rollins"/>
        <s v="Omega Huff"/>
        <s v="Shirely Cantrell"/>
        <s v="Anisha Lang"/>
        <s v="Karren Lamb"/>
        <s v="Reyes Merritt"/>
        <s v="Iva Wilcox"/>
        <s v="Romaine Salazar"/>
        <s v="Shauna Edwards"/>
        <s v="Lynne Anderson"/>
        <s v="Jerald Blackwell"/>
        <s v="Daina Sampson"/>
        <s v="Jamaal Albert"/>
        <s v="Cinda Rocha"/>
        <s v="Emmitt Sanchez"/>
        <s v="Phylicia Stout"/>
        <s v="Jenine Crane"/>
        <s v="Sebrina Gross"/>
        <s v="Sheila Goodman"/>
        <s v="Garry Espinoza"/>
        <s v="Larissa Hays"/>
        <s v="Dorthea Walker"/>
        <s v="Clorinda Donovan"/>
        <s v="Demarcus Reese"/>
        <s v="Hedwig Paul"/>
        <s v="Brain Skinner"/>
        <s v="Mariette Trevino"/>
        <s v="Christel Cardenas"/>
        <s v="Arielle Levine"/>
        <s v="Afton Juarez"/>
        <s v="Amina Salazar"/>
        <s v="Garth Huff"/>
        <s v="Raymonde Garcia"/>
        <s v="Ashlie Parrish"/>
        <s v="Boyd Irwin"/>
        <s v="Majorie Wyatt"/>
        <s v="Dante Grimes"/>
        <s v="Christiane Bradford"/>
        <s v="Kristel Byrd"/>
        <s v="Thad Gilliam"/>
        <s v="Alec Peck"/>
        <s v="Hassan Nash"/>
        <s v="Han Wade"/>
        <s v="Vanessa West"/>
        <s v="Clelia Workman"/>
        <s v="Aleta Mack"/>
        <s v="Conception Slater"/>
        <s v="Odette Moses"/>
        <s v="Christiana Gross"/>
        <s v="Jennette Wooten"/>
        <s v="Mirella Duffy"/>
        <s v="Saturnina Garner"/>
        <s v="Shirely Stanley"/>
        <s v="Elinore Aguilar"/>
        <s v="Carley Reynolds"/>
        <s v="Alysha Powers"/>
        <s v="Tammera Fischer"/>
        <s v="Hans Price"/>
        <s v="Timothy Byers"/>
        <s v="Son Warner"/>
        <s v="Chasidy Tran"/>
        <s v="Lee Roman"/>
        <s v="Alline Beasley"/>
        <s v="Sylvie Wilkerson"/>
        <s v="Corina Lynch"/>
        <s v="Salena Day"/>
        <s v="Laverna Hernandez"/>
        <s v="Genevieve Juarez"/>
        <s v="Eliz Lynch"/>
        <s v="Keri Bridges"/>
        <s v="Shemeka Lyons"/>
        <s v="Luke Fuller"/>
        <s v="Herminia Reyes"/>
        <s v="Ferne Kline"/>
        <s v="Carmina Emerson"/>
        <s v="Kristofer Craig"/>
        <s v="Vernia Madden"/>
        <s v="Bonita Marshall"/>
        <s v="Johana Jacobson"/>
        <s v="Angie Powers"/>
        <s v="Titus Bullock"/>
        <s v="Petronila Norris"/>
        <s v="Le Deleon"/>
        <s v="Suellen Mercado"/>
        <s v="Dewayne Herring"/>
        <s v="Tommie Melton"/>
        <s v="Tessie Farmer"/>
        <s v="Tonja Henderson"/>
        <s v="Douglass Little"/>
        <s v="Bee Baker"/>
        <s v="Laraine Robbins"/>
        <s v="Deja Chaney"/>
        <s v="Carlie Terrell"/>
        <s v="Karla Kirk"/>
        <s v="Jerri Guthrie"/>
        <s v="Rochell Cantrell"/>
        <s v="Yun Nelson"/>
        <s v="Adam Thornton"/>
        <s v="Javier Nichols"/>
        <s v="Meredith Bryan"/>
        <s v="Hilda Harvey"/>
        <s v="Morton Barron"/>
        <s v="Etsuko Garrison"/>
        <s v="Pandora Estes"/>
        <s v="Olevia Noel"/>
        <s v="Bart Hess"/>
        <s v="Vallie Dixon"/>
        <s v="Nichelle Howell"/>
        <s v="Justa Thompson"/>
        <s v="Laurence Christian"/>
        <s v="Charlsie Carson"/>
        <s v="Trinidad Mcclain"/>
        <s v="Shanna Bonner"/>
        <s v="Vanda Holmes"/>
        <s v="Hildegarde Christensen"/>
        <s v="Alanna Barry"/>
        <s v="Kami Rios"/>
        <s v="Andy O'neill"/>
        <s v="Mila Good"/>
        <s v="Ladawn Downs"/>
        <s v="Brittney Rojas"/>
        <s v="Lezlie Thompson"/>
        <s v="Brent Calderon"/>
        <s v="Georgeann Waller"/>
        <s v="Cheryll Snyder"/>
        <s v="Ernest Rollins"/>
        <s v="Marry Benjamin"/>
        <s v="Adelaida Hancock"/>
        <s v="Chere Mcfadden"/>
        <s v="Derrick Marks"/>
        <s v="Alane Mccarty"/>
        <s v="Jeanett Herman"/>
        <s v="Elmo Arnold"/>
        <s v="Rory Cooper"/>
        <s v="Manie Sanchez"/>
        <s v="Basilia Thornton"/>
        <s v="Josie Schultz"/>
        <s v="Jayme Zamora"/>
        <s v="Ivette Warren"/>
        <s v="Darcel Harmon"/>
        <s v="Jayson Rutledge"/>
        <s v="Whitney Cash"/>
        <s v="Diana Cobb"/>
        <s v="Iola Rasmussen"/>
        <s v="Birdie Kramer"/>
        <s v="Vinnie Chan"/>
        <s v="George Pickett"/>
        <s v="Evelin Vargas"/>
        <s v="Carisa Carpenter"/>
        <s v="Onita Macdonald"/>
        <s v="Ji Burt"/>
        <s v="Graciela Barber"/>
        <s v="Rosalie Coffey"/>
        <s v="Tanesha Sawyer"/>
        <s v="Kecia Olsen"/>
        <s v="Ayanna Rhodes"/>
        <s v="Kandis Mills"/>
        <s v="Divina Reeves"/>
        <s v="Rodrick Shelton"/>
        <s v="Julee Woodard"/>
        <s v="Barton Cox"/>
        <s v="Shaunda Barnett"/>
        <s v="Yvonne Bean"/>
        <s v="Mercedez Brooks"/>
        <s v="Erlinda Osborne"/>
        <s v="Lory Berg"/>
        <s v="Enoch Rosario"/>
        <s v="Octavia Donaldson"/>
        <s v="Jeromy Elliott"/>
        <s v="Ulysses Gaines"/>
        <s v="Klara Mosley"/>
        <s v="Jacquline Duncan"/>
        <s v="Lory Page"/>
        <s v="Guillermo Hart"/>
        <s v="Marcel Lindsay"/>
        <s v="Shila White"/>
        <s v="Margene Eaton"/>
        <s v="Juliane Dillard"/>
        <s v="Fran Yang"/>
        <s v="Ronald Parsons"/>
        <s v="Augustus Schmidt"/>
        <s v="Lois Steele"/>
        <s v="Rebbecca Espinoza"/>
        <s v="Lucas Estes"/>
        <s v="Omega Johnston"/>
        <s v="Tonda Webb"/>
        <s v="Irving Pitts"/>
        <s v="Gayle Wilkinson"/>
        <s v="Mandi Gibbs"/>
        <s v="Yolando Wade"/>
        <s v="Merlene Vinson"/>
        <s v="Zelda Pratt"/>
        <s v="Ashleigh Finch"/>
        <s v="Farrah Orr"/>
        <s v="Roseanne Maynard"/>
        <s v="Cira Downs"/>
        <s v="Agatha Daniels"/>
        <s v="Delana Scott"/>
        <s v="Jewel Sparks"/>
        <s v="Lorrie Justice"/>
        <s v="Zulema Clemons"/>
        <s v="Melani Jarvis"/>
        <s v="Alica Hunter"/>
        <s v="Chere Hardin"/>
        <s v="Bao Wade"/>
        <s v="Loise Walker"/>
        <s v="Aleta Shepard"/>
        <s v="Bobbi Banks"/>
        <s v="Bobbie Foster"/>
        <s v="Alissa Craft"/>
        <s v="Beatris Joyner"/>
        <s v="Alexis Mack"/>
        <s v="Liliana Kerr"/>
        <s v="Katharina Bates"/>
        <s v="Buford Bridges"/>
        <s v="Bethany Herring"/>
        <s v="Lezlie Lamb"/>
        <s v="Christel Barber"/>
        <s v="Thanh Figueroa"/>
        <s v="Marjorie Logan"/>
        <s v="Davis Long"/>
        <s v="Rodger Rojas"/>
        <s v="Aisha Woods"/>
        <s v="Nathaniel Richard"/>
        <s v="Jennie Middleton"/>
        <s v="Tayna Wade"/>
        <s v="Lenita Bonner"/>
        <s v="Terese Briggs"/>
        <s v="Loreen Byers"/>
        <s v="Genoveva Tyler"/>
        <s v="Johna Powers"/>
        <s v="Leone Emerson"/>
        <s v="Deloris Burke"/>
        <s v="Houston Vasquez"/>
        <s v="Earline Ballard"/>
        <s v="Yahaira Robertson"/>
        <s v="Omer Estrada"/>
        <s v="Vonda Berger"/>
        <s v="Pearlie Cochran"/>
        <s v="Edgar Horn"/>
        <s v="Deandrea Cox"/>
        <s v="Alden Atkinson"/>
        <s v="America Swanson"/>
        <s v="Grace Madden"/>
        <s v="Marisol Goodman"/>
        <s v="Nicki Fry"/>
        <s v="Casimira Chapman"/>
        <s v="Brenton Whitaker"/>
        <s v="Jong Guthrie"/>
        <s v="Tisha Petty"/>
        <s v="Sherie Ayala"/>
        <s v="Aileen Marquez"/>
        <s v="Shasta Combs"/>
        <s v="Ronna Butler"/>
        <s v="Debra Burks"/>
        <s v="Sharika Colon"/>
        <s v="Amparo Burks"/>
        <s v="Tina Bush"/>
        <s v="Vernon Knowles"/>
        <s v="Floretta Higgins"/>
        <s v="Leila Barr"/>
        <s v="Georgetta Hardin"/>
        <s v="Anderson Martin"/>
        <s v="Ardelia Cooley"/>
        <s v="Stefani Gamble"/>
        <s v="Jovita Bishop"/>
        <s v="Leeanne Cross"/>
        <s v="Taylor Cole"/>
        <s v="Charlene Norris"/>
        <s v="Eun Harris"/>
        <s v="Tricia Daniels"/>
        <s v="Ivette Estes"/>
        <s v="Le Wood"/>
        <s v="Tanesha Hampton"/>
        <s v="Terese Palmer"/>
        <s v="Collen Hayes"/>
        <s v="Anton Barton"/>
        <s v="Nevada Hood"/>
        <s v="Myron Johns"/>
        <s v="Ghislaine Compton"/>
        <s v="Carmela Hays"/>
        <s v="Wes Stanton"/>
        <s v="Tora Dunlap"/>
        <s v="Kandace Hughes"/>
        <s v="Margaretta Clayton"/>
        <s v="Loyce Conway"/>
        <s v="Lean Stark"/>
        <s v="Margert Stevens"/>
        <s v="Shantae Hammond"/>
        <s v="Santos Valencia"/>
        <s v="Andreas Herman"/>
        <s v="Mia Delgado"/>
        <s v="Hee Greer"/>
        <s v="Verda Gilbert"/>
        <s v="Felicidad Golden"/>
        <s v="Alejandrina Hodges"/>
        <s v="Adam Henderson"/>
        <s v="Lizette Ellison"/>
        <s v="Lonna Franks"/>
        <s v="Sunshine Rosario"/>
        <s v="Consuela Collier"/>
        <s v="Annis Sanchez"/>
        <s v="Jaimee Day"/>
        <s v="Jenny Bell"/>
        <s v="Ara Vazquez"/>
        <s v="Hue Dalton"/>
        <s v="Toya Pratt"/>
        <s v="Milagros Weber"/>
        <s v="Barbra Dickerson"/>
        <s v="Gilberto Sanders"/>
        <s v="Kanesha Hudson"/>
        <s v="Venessa Frost"/>
        <s v="Mable Pratt"/>
        <s v="Tonisha Fowler"/>
        <s v="Sheryl Chase"/>
        <s v="Ashlee Pena"/>
        <s v="Leigh Burke"/>
        <s v="Caleb England"/>
        <s v="Herta Rollins"/>
        <s v="Reatha Perez"/>
        <s v="Syreeta Hendricks"/>
        <s v="Lavonda Stephenson"/>
        <s v="Klara Kim"/>
        <s v="Christia Carson"/>
        <s v="Carolyne Conley"/>
        <s v="Virgina Berg"/>
        <s v="Elvia Cardenas"/>
        <s v="Delmar Wise"/>
        <s v="Doreatha Ford"/>
        <s v="Boyce Burks"/>
        <s v="Petronila Gallegos"/>
        <s v="Elnora Simpson"/>
        <s v="Ivonne Yang"/>
        <s v="Zina Bonner"/>
        <s v="Delila Hamilton"/>
        <s v="Lidia Ashley"/>
        <s v="Toshia Cardenas"/>
        <s v="Laci Castro"/>
        <s v="Quyen Houston"/>
        <s v="Ayanna Cherry"/>
        <s v="Alesia Horne"/>
        <s v="Selene Austin"/>
        <s v="Jesica Fields"/>
        <s v="Willian Hardin"/>
        <s v="Collen Dennis"/>
        <s v="Carson Macias"/>
        <s v="Kasha Todd"/>
        <s v="Lise Hebert"/>
        <s v="Damien Dorsey"/>
        <s v="Sarah Kirkland"/>
        <s v="Chauncey Donaldson"/>
        <s v="Alejandro Norman"/>
        <s v="Jasmin Young"/>
        <s v="Ciera Koch"/>
        <s v="Daryl Spence"/>
        <s v="Stephanie Browning"/>
        <s v="Dorothea Miranda"/>
        <s v="Zoraida Patton"/>
        <s v="Dottie Roberts"/>
        <s v="Ileana Holt"/>
        <s v="Roy Chan"/>
        <s v="Ashanti Parks"/>
        <s v="Shara Pope"/>
        <s v="Carmelina Sellers"/>
        <s v="Danny Kim"/>
        <s v="Dale Rasmussen"/>
        <s v="Marquerite Dawson"/>
        <s v="Michel Blankenship"/>
        <s v="Phillis Fowler"/>
        <s v="Elma Molina"/>
        <s v="Tereasa Bird"/>
        <s v="Zelma Browning"/>
        <s v="Ashely Holmes"/>
        <s v="Collin Webster"/>
        <s v="Donnetta Henson"/>
        <s v="Angelika Perry"/>
        <s v="Kathyrn Bush"/>
        <s v="Lore Sykes"/>
        <s v="Dwain Carlson"/>
        <s v="Jennell Solis"/>
        <s v="Maple Griffin"/>
        <s v="Hubert Stone"/>
        <s v="Bettyann Acosta"/>
        <s v="Moira Lester"/>
        <s v="Elenore William"/>
        <s v="Bernetta Marquez"/>
        <s v="Pamala Fowler"/>
        <s v="Maximina Hutchinson"/>
        <s v="Klara Stanley"/>
        <s v="Lanie Dunn"/>
        <s v="Jeni Booker"/>
        <s v="Caroll Hays"/>
        <s v="Kendra Harrington"/>
        <s v="Thalia Dillard"/>
        <s v="Holly Nieves"/>
        <s v="Shonta Mercer"/>
        <s v="Lena Mills"/>
        <s v="Charleen Joyner"/>
        <s v="Vernita Ball"/>
        <s v="Yan Mcgowan"/>
        <s v="Maryalice Henry"/>
        <s v="Flossie Holder"/>
        <s v="Freddie Mathis"/>
        <s v="Hilary Savage"/>
        <s v="Scarlet Reed"/>
        <s v="Nita Guy"/>
        <s v="Ann Heath"/>
        <s v="Kimberely Bowen"/>
        <s v="Sommer Hopkins"/>
        <s v="Joe Melton"/>
        <s v="Kattie Stevenson"/>
        <s v="Susann Bass"/>
        <s v="Khalilah Robertson"/>
        <s v="Shiloh Bates"/>
        <s v="Wm Pope"/>
        <s v="Giselle Robles"/>
        <s v="Alysia Nicholson"/>
        <s v="Tuyet Rosa"/>
        <s v="Ramiro Byers"/>
        <s v="Bettie Pierce"/>
        <s v="Manie Maxwell"/>
        <s v="Angella Bridges"/>
        <s v="Dorthey Jackson"/>
        <s v="Jennette Baker"/>
        <s v="Janella Bright"/>
        <s v="Kenton Hughes"/>
        <s v="Yevette Elliott"/>
        <s v="Jonna Brown"/>
        <s v="Yu Mcdonald"/>
        <s v="Shu Mays"/>
        <s v="Lolita Mosley"/>
        <s v="Blanca Hooper"/>
        <s v="Joni Lee"/>
        <s v="Carita Salinas"/>
        <s v="Trudy Riddle"/>
        <s v="Jama Rodriquez"/>
        <s v="Kandi Mcneil"/>
        <s v="Donette Mccarthy"/>
        <s v="Magda Eaton"/>
        <s v="Collene Knox"/>
        <s v="Nestor Haynes"/>
        <s v="Latricia Lindsey"/>
        <s v="Nichelle Rosario"/>
        <s v="Julius Holt"/>
        <s v="Gertha Mejia"/>
        <s v="Florencio Davenport"/>
        <s v="Shonta Preston"/>
        <s v="Chere Alston"/>
        <s v="Jenise Preston"/>
        <s v="Candelaria Coffey"/>
        <s v="Ana Palmer"/>
        <s v="Paul Lester"/>
        <s v="Conchita Boone"/>
        <s v="Chi Goff"/>
        <s v="Yanira Bradshaw"/>
        <s v="Armando Black"/>
        <s v="Letitia Franco"/>
        <s v="Vince Schneider"/>
        <s v="Winfred Harris"/>
        <s v="Lenore Valdez"/>
        <s v="Geraldine O'donnell"/>
        <s v="Larraine Horn"/>
        <s v="Patrina Tanner"/>
        <s v="Georgeann Rojas"/>
        <s v="Evelina Byrd"/>
        <s v="Nanette Roman"/>
        <s v="Shanti Johnston"/>
        <s v="Annett Garrett"/>
        <s v="Claris Santiago"/>
        <s v="Clementine Mooney"/>
        <s v="Carola Mcpherson"/>
        <s v="Agustina Lawrence"/>
        <s v="Clementina Sargent"/>
        <s v="Gwendolyn Miller"/>
        <s v="Giovanna Jefferson"/>
        <s v="Pamelia Newman"/>
        <s v="Bennett Armstrong"/>
        <s v="Brittni Green"/>
        <s v="Dionne Norris"/>
        <s v="Ira Moore"/>
        <s v="Luciano Marsh"/>
        <s v="Shiloh Reeves"/>
        <s v="Karl Stephens"/>
        <s v="Kerrie O'neill"/>
        <s v="Rosanne George"/>
        <s v="Marina Hinton"/>
        <s v="Sherita Cherry"/>
        <s v="Siobhan Lang"/>
        <s v="Eliseo Knight"/>
        <s v="Novella Ross"/>
        <s v="Collene Roman"/>
        <s v="Hipolito Padilla"/>
        <s v="Dung King"/>
        <s v="Season Harvey"/>
        <s v="Macie Ayers"/>
        <s v="Loraine Sykes"/>
        <s v="Larae Carney"/>
        <s v="Marilyn Frank"/>
        <s v="Rudolf Moran"/>
        <s v="Angelique Merrill"/>
        <s v="Sanora Webster"/>
        <s v="Gabriella Jones"/>
        <s v="Gilberte Duke"/>
        <s v="Carissa Foreman"/>
        <s v="Kermit Hyde"/>
        <s v="Arminda Weber"/>
        <s v="Sandee Alvarado"/>
        <s v="Kam Wilder"/>
        <s v="Valentin Mclaughlin"/>
        <s v="Lashawna Richardson"/>
        <s v="Charlesetta Soto"/>
        <s v="Jesus Burch"/>
        <s v="Nathanael Bradley"/>
        <s v="Elease Dejesus"/>
        <s v="Marcell Barrett"/>
        <s v="Lurlene Finch"/>
        <s v="Louanne Martin"/>
        <s v="Domingo Casey"/>
        <s v="Felica Munoz"/>
        <s v="Miranda Kennedy"/>
        <s v="Kandace Giles"/>
        <s v="Virgen Clemons"/>
        <s v="Marcy Rodriguez"/>
        <s v="Trena Hudson"/>
        <s v="Nelle Beck"/>
        <s v="Dane Mcdaniel"/>
        <s v="Debbra Jacobson"/>
        <s v="Moses Pope"/>
        <s v="Ross Pugh"/>
        <s v="Mercy Brown"/>
        <s v="Coleman Boyd"/>
        <s v="Edythe Valencia"/>
        <s v="Sheree Pena"/>
        <s v="Erlinda Humphrey"/>
        <s v="Delma Bailey"/>
        <s v="Chantell Bridges"/>
        <s v="Garry Juarez"/>
        <s v="Edmund Gaines"/>
        <s v="Miriam Baker"/>
        <s v="Aimee Merritt"/>
        <s v="Laure Pena"/>
        <s v="Sally Kinney"/>
        <s v="Obdulia Barber"/>
        <s v="Inga Koch"/>
        <s v="Elanor Patrick"/>
        <s v="Bridgette Guerra"/>
        <s v="Josef Greer"/>
        <s v="Renita Henry"/>
        <s v="Samual Warner"/>
        <s v="Mi Gray"/>
        <s v="Loan Graham"/>
        <s v="Deane Sears"/>
        <s v="Lorraine Marks"/>
        <s v="Eliana Reese"/>
        <s v="Janine Manning"/>
        <s v="Luz House"/>
        <s v="Kerrie Morton"/>
        <s v="Sharla Flynn"/>
        <s v="Cassondra Pruitt"/>
        <s v="Graig Cannon"/>
        <s v="Rudolf Gilliam"/>
        <s v="Zella Fernandez"/>
        <s v="Doris Kaufman"/>
        <s v="Judith Finley"/>
        <s v="Luciana Mcgee"/>
        <s v="Chloe Patel"/>
        <s v="Rutha Howell"/>
        <s v="Tajuana Riddle"/>
        <s v="Novella Patel"/>
        <s v="Ehtel Cobb"/>
        <s v="Romana Barnes"/>
        <s v="Agatha Melton"/>
        <s v="Jayne Kirkland"/>
        <s v="Conrad Mueller"/>
        <s v="Mariana Strong"/>
        <s v="Lee Dunn"/>
        <s v="Stephen Vega"/>
        <s v="Myron Ruiz"/>
        <s v="Abram Copeland"/>
        <s v="Tressa Weiss"/>
        <s v="Douglas Richards"/>
        <s v="Alita Salinas"/>
        <s v="Corrina Sawyer"/>
        <s v="Mellisa Farley"/>
        <s v="Melanie Hayes"/>
        <s v="Walton Dejesus"/>
        <s v="Hugh Craft"/>
        <s v="Chasidy Webster"/>
        <s v="Genny Hensley"/>
        <s v="Carter Bentley"/>
        <s v="Daphine Willis"/>
        <s v="Jone Bernard"/>
        <s v="Loreta Johnston"/>
        <s v="Andreas Mayer"/>
        <s v="Myesha Burgess"/>
        <s v="Skye Pope"/>
        <s v="Rosalva Hamilton"/>
        <s v="Nicholas Vazquez"/>
        <s v="Tamela Harrell"/>
        <s v="Arvilla Weiss"/>
        <s v="Nicki Larson"/>
        <s v="Ashleigh Frank"/>
        <s v="Phebe Turner"/>
        <s v="Annabelle Hebert"/>
        <s v="Camila Carroll"/>
        <s v="Shona Mcmillan"/>
        <s v="Rita Bailey"/>
        <s v="Genoveva Lloyd"/>
        <s v="Lizzie Joyner"/>
        <s v="Marissa Summers"/>
        <s v="Zona Cameron"/>
        <s v="Augustus Steele"/>
        <s v="Jeni Farley"/>
        <s v="Leif Short"/>
        <s v="Ebony Cotton"/>
        <s v="Mila Moody"/>
        <s v="Cecelia Gill"/>
        <s v="Corinna Adams"/>
        <s v="Londa Gould"/>
        <s v="Claudio Wise"/>
        <s v="Cindi Larson"/>
        <s v="Julienne Moody"/>
        <s v="Lavinia Cotton"/>
        <s v="Myrl Gay"/>
        <s v="Alfredo Dodson"/>
        <s v="Raphael O'neil"/>
        <s v="Romeo Steele"/>
        <s v="Bettie Glover"/>
        <s v="Cecilia Camacho"/>
        <s v="Dollie Cervantes"/>
        <s v="Vito Pickett"/>
        <s v="Victor Pittman"/>
        <s v="Effie Jenkins"/>
        <s v="Vernell Goff"/>
        <s v="Jeanie Kirkland"/>
        <s v="Honey Camacho"/>
        <s v="Deandrea Vega"/>
        <s v="Lolita O'neill"/>
        <s v="Hermila Mckay"/>
        <s v="Vicki Wiggins"/>
        <s v="Harold O'connor"/>
        <s v="Krystin Marshall"/>
        <s v="Basil Ballard"/>
        <s v="Beryl Bennett"/>
        <s v="Catherine Miles"/>
        <s v="Darcie Morgan"/>
        <s v="Cyndi Dyer"/>
        <s v="Lewis Garner"/>
        <s v="Tonda Armstrong"/>
        <s v="Penni Best"/>
        <s v="Marlo Jefferson"/>
        <s v="Ulrike Chan"/>
        <s v="Myung Hooper"/>
        <s v="Olimpia Mays"/>
        <s v="Lina Meadows"/>
        <s v="Arie Hunter"/>
        <s v="Patsy Russo"/>
        <s v="Travis Goodman"/>
        <s v="Eric Hardin"/>
        <s v="Babara Ochoa"/>
        <s v="Oliva Blackwell"/>
        <s v="India Barron"/>
        <s v="Jasper Castro"/>
        <s v="Nettie Mcdaniel"/>
        <s v="Barry Buckner"/>
        <s v="Edra Fitzgerald"/>
        <s v="Herlinda Stone"/>
        <s v="Tisa Whitney"/>
        <s v="Vashti Rosario"/>
        <s v="Kellye Campbell"/>
        <s v="Tama Berg"/>
        <s v="Rona Rojas"/>
        <s v="Cherelle Key"/>
        <s v="Cheree Hale"/>
        <s v="Dannette Guerrero"/>
        <s v="Crystle Gilliam"/>
        <s v="Shea Howell"/>
        <s v="Emmett Casey"/>
        <s v="Soledad Moses"/>
        <s v="Elaina Key"/>
        <s v="Mica Barry"/>
        <s v="Cassie Cline"/>
        <s v="Carina Lynch"/>
        <s v="Marlen Dawson"/>
        <s v="Heather Perry"/>
        <s v="Mellisa Griffin"/>
        <s v="Tomasa Carson"/>
        <s v="Jamika Acevedo"/>
        <s v="Georgina Gonzales"/>
        <s v="Ciera Webb"/>
        <s v="Morton Lee"/>
        <s v="Sherril Alvarado"/>
        <s v="Ilda Roberson"/>
        <s v="Dorine Roberson"/>
        <s v="Felice Guzman"/>
        <s v="Jutta Everett"/>
        <s v="Romelia Myers"/>
        <s v="Florrie Little"/>
        <s v="Damian Dawson"/>
        <s v="Cleopatra Tate"/>
        <s v="Berna Moore"/>
        <s v="Serina Hensley"/>
        <s v="Ricki Bullock"/>
        <s v="Lyndsey Bean"/>
        <s v="Jenniffer Bullock"/>
        <s v="Marylyn Browning"/>
        <s v="Shawnna Frank"/>
        <s v="Luis Tyler"/>
        <s v="Crysta Velez"/>
        <s v="Regenia Vaughan"/>
        <s v="Raul Melendez"/>
        <s v="Barbera Riggs"/>
        <s v="Courtney Wyatt"/>
        <s v="Lise Alvarado"/>
        <s v="Emelda Dickerson"/>
        <s v="Delaine Estes"/>
        <s v="Nikita Roy"/>
        <s v="Deshawn Mendoza"/>
        <s v="Sharell Ross"/>
        <s v="Tangela Quinn"/>
        <s v="Dexter Roberts"/>
        <s v="Chantay Maynard"/>
        <s v="Martha Burgess"/>
        <s v="Cori Schwartz"/>
        <s v="Jerri Henry"/>
        <s v="Consuela Romero"/>
        <s v="Renna Williams"/>
        <s v="Hope Cotton"/>
        <s v="Lucio Sherman"/>
        <s v="Kermit Bowman"/>
        <s v="Efren Whitfield"/>
        <s v="Mikel Wilkerson"/>
        <s v="Phuong Wolf"/>
        <s v="Shiela Calderon"/>
        <s v="Renato Morton"/>
        <s v="Wynona Douglas"/>
        <s v="Jeffry Church"/>
        <s v="Whitley Cannon"/>
        <s v="Lloyd Miranda"/>
        <s v="Bea Kane"/>
        <s v="Trista Lambert"/>
        <s v="Mina Carrillo"/>
        <s v="Glady Wells"/>
        <s v="Genny Fields"/>
        <s v="Trinity Riddle"/>
        <s v="Margret Barnett"/>
        <s v="Deangelo Cooley"/>
        <s v="Lashunda Cole"/>
        <s v="Aide Franco"/>
        <s v="Kaylee English"/>
        <s v="Inocencia Key"/>
        <s v="Delana Wagner"/>
        <s v="Alyse Jacobson"/>
        <s v="Aleta Stone"/>
        <s v="Randee Lester"/>
        <s v="Penny Acevedo"/>
        <s v="Tu Ramirez"/>
        <s v="Somer Jordan"/>
        <s v="Adena Blake"/>
        <s v="Oralia Farley"/>
        <s v="Gustavo Gamble"/>
        <s v="Janae Doyle"/>
        <s v="Parthenia Holman"/>
        <s v="Benito Hendrix"/>
        <s v="Pinkie Kirkland"/>
        <s v="Krissy Ochoa"/>
        <s v="Yang Giles"/>
        <s v="Pearl Fox"/>
        <s v="Sherilyn Wilcox"/>
        <s v="Alissa Hood"/>
        <s v="Katelin Kennedy"/>
        <s v="Wendie Nash"/>
        <s v="Margorie Wynn"/>
        <s v="Buford Gilbert"/>
        <s v="Diana Reyes"/>
        <s v="Kate Barber"/>
        <s v="Rozella Fitzgerald"/>
        <s v="Ivelisse Nixon"/>
        <s v="Cristobal Hutchinson"/>
        <s v="Marjory Leonard"/>
        <s v="Tammy Austin"/>
        <s v="Sherise Mercer"/>
        <s v="Hilde Nieves"/>
        <s v="Willow Gardner"/>
        <s v="Sonja Walls"/>
        <s v="Jenna Saunders"/>
        <s v="Lamar Greer"/>
        <s v="Eloisa Tucker"/>
        <s v="Dorine Thornton"/>
        <s v="Malisa Mitchell"/>
        <s v="Kim Clark"/>
        <s v="Majorie Glover"/>
        <s v="Trang Hardin"/>
        <s v="Devin Shaffer"/>
        <s v="Tad Gardner"/>
        <s v="Julia Joyner"/>
        <s v="Rodrigo Durham"/>
        <s v="Lucilla Williams"/>
        <s v="Joy Underwood"/>
        <s v="Brianne Hays"/>
        <s v="Kathie Freeman"/>
        <s v="Coleen Navarro"/>
        <s v="Ocie Slater"/>
        <s v="Lillia Gillespie"/>
        <s v="Tilda Melton"/>
        <s v="Virgil Frost"/>
        <s v="Jule Davenport"/>
        <s v="Tonja Bean"/>
        <s v="Edris Barrett"/>
        <s v="Alejandro Haney"/>
        <s v="Shay Stephenson"/>
        <s v="Neida King"/>
        <s v="Dori Alvarez"/>
        <s v="Gussie Harding"/>
        <s v="Monty Frost"/>
        <s v="Caroline Jenkins"/>
        <s v="Tobie Little"/>
        <s v="Agnes Sims"/>
        <s v="Keturah Reid"/>
        <s v="Desiree Branch"/>
        <s v="Hye Mercer"/>
        <s v="Tempie Jacobson"/>
        <s v="Wai Soto"/>
        <s v="Mary Singleton"/>
        <s v="Arline Lawson"/>
        <s v="Karole Alvarez"/>
        <s v="Valeri Marshall"/>
        <s v="Janelle Maldonado"/>
        <s v="Ira Erickson"/>
        <s v="Brittney Woodward"/>
        <s v="Ken Charles"/>
        <s v="Douglass Blankenship"/>
        <s v="Adrien Hunter"/>
        <s v="Bong Hebert"/>
        <s v="Molly Langley"/>
        <s v="Vance Taylor"/>
        <s v="Barton Crosby"/>
        <s v="Shanelle Anderson"/>
        <s v="Eliz Whitney"/>
        <s v="Cesar Jackson"/>
        <s v="Candis Harding"/>
        <s v="Antony Atkinson"/>
        <s v="Tam Fisher"/>
        <s v="Piedad Irwin"/>
        <s v="Risa Gallagher"/>
        <s v="Anya Contreras"/>
        <s v="Cami Williamson"/>
        <s v="Qiana Jackson"/>
        <s v="Lekisha Pope"/>
        <s v="Andria Rivers"/>
        <s v="Lizzette Stein"/>
        <s v="Elenore Hensley"/>
        <s v="Willis Randolph"/>
        <s v="Celestine Kent"/>
        <s v="Nathalie Knowles"/>
        <s v="Letisha May"/>
        <s v="Verdell Joyner"/>
        <s v="Philip Bryan"/>
        <s v="Gilbert Calhoun"/>
        <s v="Bernardina Cooper"/>
        <s v="Minnie Compton"/>
        <s v="Narcisa Knapp"/>
        <s v="Jenell Crosby"/>
        <s v="Catarina Mendez"/>
        <s v="Yvone Yates"/>
        <s v="Kiana Rivera"/>
        <s v="Sharie Whitaker"/>
        <s v="Bettye Espinoza"/>
        <s v="Arvilla Osborn"/>
        <s v="Lynda Newman"/>
        <s v="Myrtle Gardner"/>
        <s v="Stacie Sims"/>
        <s v="Efren Oliver"/>
        <s v="Priscilla Wilkins"/>
        <s v="Natosha Rowland"/>
        <s v="Kaley Blanchard"/>
        <s v="Heather Chaney"/>
        <s v="Nakisha Clay"/>
        <s v="Maira Long"/>
        <s v="Mechelle Chan"/>
        <s v="Rolanda Larsen"/>
        <s v="Jacalyn Barnett"/>
        <s v="Ami Mcmahon"/>
        <s v="Junita Reese"/>
        <s v="Sharyn Brewer"/>
        <s v="Daisy Ward"/>
        <s v="Lucile Manning"/>
        <s v="Tajuana Rollins"/>
        <s v="Marcene Curtis"/>
        <s v="Charmain Webster"/>
        <s v="Ollie Zimmerman"/>
        <s v="Onita Johns"/>
        <s v="Treasa Dickerson"/>
        <s v="Yan Trevino"/>
        <s v="Everett Vega"/>
        <s v="Kallie Best"/>
        <s v="Jewell Reyes"/>
        <s v="Jeffrey Hill"/>
        <s v="Izola Hobbs"/>
        <s v="Terra Pickett"/>
        <s v="Eleanor Mendez"/>
        <s v="Eliana Silva"/>
        <s v="Verna Solis"/>
        <s v="Kaila Walters"/>
        <s v="Clare Neal"/>
        <s v="Nenita Mooney"/>
        <s v="Rudolph Velez"/>
        <s v="Nanette Harris"/>
        <s v="Alina Mcleod"/>
        <s v="Genevie Miles"/>
        <s v="Sung Chambers"/>
        <s v="Grisel Maynard"/>
        <s v="Jeromy Burch"/>
        <s v="Letty Cobb"/>
        <s v="Danielle Bond"/>
        <s v="Carter Booth"/>
        <s v="Ling Newman"/>
        <s v="Robena Hill"/>
        <s v="Tommie Cooley"/>
        <s v="Aron Wiggins"/>
        <s v="Teofila Fischer"/>
        <s v="Terrance Lynn"/>
        <s v="Rubin Decker"/>
        <s v="Jeannette Skinner"/>
        <s v="Justina Long"/>
        <s v="Corrinne Garrison"/>
        <s v="Lakenya Oliver"/>
        <s v="Laurette Hebert"/>
        <s v="Shanice Spears"/>
        <s v="Leola Gould"/>
        <s v="Willetta Murphy"/>
        <s v="Angele Castro"/>
        <s v="Melia Brady"/>
        <s v="Jenee Rasmussen"/>
        <s v="Shae Hickman"/>
        <s v="Garret Clay"/>
        <s v="Elvina Gates"/>
        <s v="Veronika Rollins"/>
        <s v="Jane Henderson"/>
        <s v="Merideth Preston"/>
        <s v="Melodie Melton"/>
        <s v="Lamar Bush"/>
        <s v="Earl Stanley"/>
        <s v="Jeanice Frost"/>
        <s v="Elmo Sweeney"/>
        <s v="Ilona Spears"/>
        <s v="Cassidy Clark"/>
        <s v="Caridad Compton"/>
        <s v="Nicolas Carlson"/>
        <s v="Charise Burt"/>
        <s v="Edith Davenport"/>
        <s v="Shanita Wiley"/>
        <s v="Porter Bass"/>
        <s v="Sylvester Chan"/>
        <s v="Georgeanna Webster"/>
        <s v="Abby Gamble"/>
        <s v="Kylee Dickson"/>
        <s v="Jessika Bray"/>
        <s v="Carline Collier"/>
        <s v="Janetta Aguirre"/>
        <s v="Queenie Vance"/>
        <s v="Mellie Puckett"/>
        <s v="Sheila Travis"/>
        <s v="Jenine Dawson"/>
        <s v="Cher Alston"/>
        <s v="Ayana Keith"/>
        <s v="Rod Hatfield"/>
        <s v="Cicely Deleon"/>
        <s v="Erma Salinas"/>
        <s v="Minerva Decker"/>
        <s v="Augustina Joyner"/>
        <s v="Delfina Gilliam"/>
        <s v="Jana Thomas"/>
        <s v="Ruth Horton"/>
        <s v="Hae Ramirez"/>
        <s v="Mellisa Kim"/>
        <s v="Raeann Duncan"/>
        <s v="Todd Waters"/>
        <s v="Vivian Deleon"/>
        <s v="Deanne Parsons"/>
        <s v="Alishia Elliott"/>
        <s v="Ashanti Hammond"/>
        <s v="Sarita Parks"/>
        <s v="Muriel Juarez"/>
        <s v="Brigid Sharp"/>
        <s v="Bess Mcbride"/>
        <s v="Kara Higgins"/>
        <s v="Shenna Benton"/>
        <s v="Nicola Knight"/>
        <s v="Malinda Baxter"/>
        <s v="Christopher Richardson"/>
        <s v="Katia Henry"/>
        <s v="Santa Larson"/>
        <s v="Yevette Todd"/>
        <s v="Maurice Norton"/>
        <s v="Berneice Pollard"/>
        <s v="Takako Casey"/>
        <s v="Regine Odom"/>
        <s v="Gilberto Parsons"/>
        <s v="Loni Mullen"/>
        <s v="Shena Carter"/>
        <s v="Deirdre Ryan"/>
        <s v="Jamaal Morrison"/>
        <s v="Ja Dillard"/>
        <s v="Spring Hayes"/>
        <s v="Tena Cruz"/>
        <s v="Rey Lindsay"/>
        <s v="Aida Koch"/>
        <s v="Alma Peck"/>
        <s v="Latonya Dixon"/>
        <s v="Karren Stevenson"/>
        <s v="Cameron Carroll"/>
        <s v="Kiesha Bond"/>
        <s v="Jimmy Russell"/>
        <s v="Marguerite Berger"/>
        <s v="Nubia Anderson"/>
        <s v="Joel Wynn"/>
        <s v="Mathilda Pennington"/>
        <s v="Renay Atkins"/>
        <s v="Joaquin Hawkins"/>
        <s v="Elmira Levy"/>
        <s v="Lynwood Jackson"/>
        <s v="Dung Reid"/>
        <s v="Jeniffer Slater"/>
        <s v="Celestine Jacobs"/>
        <s v="Tenisha Lyons"/>
        <s v="Hortencia O'neil"/>
        <s v="Kenyetta Mason"/>
        <s v="Tena Huber"/>
        <s v="Erik Leblanc"/>
        <s v="Zora Ford"/>
        <s v="Lara Guy"/>
        <s v="James Robles"/>
        <s v="Desire Mcgowan"/>
        <s v="Stefany Potter"/>
        <s v="Louis Powell"/>
        <s v="Linnie Branch"/>
        <s v="Earlean Pena"/>
        <s v="Cassandra Nichols"/>
        <s v="Bella Perez"/>
        <s v="Kellie Franco"/>
        <s v="Parthenia Figueroa"/>
        <s v="Katherin Clark"/>
        <s v="Ruthanne Franco"/>
        <s v="Monica Sears"/>
        <s v="Diane Jones"/>
        <s v="Tiny French"/>
        <s v="Carolann Russell"/>
        <s v="Cinthia Poole"/>
        <s v="Rayford Simon"/>
        <s v="Bev Chang"/>
        <s v="Lavern Orr"/>
        <s v="Erna Sloan"/>
        <s v="Sheree Blanchard"/>
        <s v="Jonell Rivas"/>
        <s v="Selene Vega"/>
        <s v="Ester Acevedo"/>
        <s v="Lavina Dejesus"/>
        <s v="Emory O'connor"/>
        <s v="Latoya Johns"/>
        <s v="Addie Hahn"/>
        <s v="Patria Harper"/>
        <s v="Tara Maynard"/>
        <s v="Mazie Fernandez"/>
        <s v="Gayla Sims"/>
        <s v="Britteny Schroeder"/>
        <s v="Frederica Rojas"/>
        <s v="Laurel Schultz"/>
        <s v="Zenia Bruce"/>
        <s v="Homer Powers"/>
        <s v="Dortha Jarvis"/>
        <s v="Jerlene Rios"/>
        <s v="Julianne Shannon"/>
        <s v="Orval Hunter"/>
        <s v="Emmett Hahn"/>
        <s v="Damian Mills"/>
        <s v="Barry Albert"/>
        <s v="Reita Dickson"/>
        <s v="Sandy Mills"/>
        <s v="Lurlene Cotton"/>
        <s v="Whitney Estes"/>
        <s v="Sheba Knapp"/>
        <s v="Sophia Mcmillan"/>
        <s v="Kristy Watkins"/>
        <s v="Mireille Puckett"/>
        <s v="Leland Mcdowell"/>
        <s v="Fairy Robinson"/>
        <s v="Greta Page"/>
        <s v="Hue May"/>
        <s v="Shanda Stevenson"/>
        <s v="Ping Quinn"/>
        <s v="Desmond Rose"/>
        <s v="Wanita Davenport"/>
        <s v="Louise Flowers"/>
        <s v="Dorothea Chang"/>
        <s v="Stan Saunders"/>
        <s v="Cayla Johnson"/>
        <s v="Fannie Jenkins"/>
        <s v="Katherina Odom"/>
        <s v="Tameka Fisher"/>
        <s v="Alisia Albert"/>
        <s v="Wilda Petersen"/>
        <s v="Emanuel Mckee"/>
        <s v="Thalia Horne"/>
        <s v="Hayden Cross"/>
        <s v="Marshall Johnson"/>
        <s v="Yuk Vega"/>
        <s v="Guillermina Noble"/>
        <s v="Karey Steele"/>
        <s v="Cyndi Bush"/>
        <m/>
      </sharedItems>
    </cacheField>
    <cacheField name="customer state" numFmtId="0">
      <sharedItems containsBlank="1">
        <s v="CA"/>
        <s v="NY"/>
        <s v="TX"/>
        <m/>
      </sharedItems>
    </cacheField>
    <cacheField name="customer city " numFmtId="0">
      <sharedItems containsBlank="1">
        <s v="Pleasanton"/>
        <s v="Huntington Station"/>
        <s v="Patchogue"/>
        <s v="Duarte"/>
        <s v="Utica"/>
        <s v="Baldwinsville"/>
        <s v="Bellmore"/>
        <s v="Saratoga Springs"/>
        <s v="San Carlos"/>
        <s v="Yonkers"/>
        <s v="Auburn"/>
        <s v="San Diego"/>
        <s v="Niagara Falls"/>
        <s v="Torrance"/>
        <s v="Carmel"/>
        <s v="Banning"/>
        <s v="Pomona"/>
        <s v="Coachella"/>
        <s v="Encino"/>
        <s v="Canyon Country"/>
        <s v="Mount Vernon"/>
        <s v="Campbell"/>
        <s v="Santa Clara"/>
        <s v="Floral Park"/>
        <s v="Baldwin"/>
        <s v="Wappingers Falls"/>
        <s v="Bronx"/>
        <s v="Richmond Hill"/>
        <s v="Orchard Park"/>
        <s v="Merrick"/>
        <s v="Harlingen"/>
        <s v="Selden"/>
        <s v="Buffalo"/>
        <s v="West Hempstead"/>
        <s v="West Islip"/>
        <s v="Woodside"/>
        <s v="Long Beach"/>
        <s v="Saint Albans"/>
        <s v="Ithaca"/>
        <s v="Rego Park"/>
        <s v="Liverpool"/>
        <s v="Hopewell Junction"/>
        <s v="Central Islip"/>
        <s v="Ossining"/>
        <s v="Shirley"/>
        <s v="Corpus Christi"/>
        <s v="Elmhurst"/>
        <s v="Anaheim"/>
        <s v="Plainview"/>
        <s v="Garden City"/>
        <s v="Rome"/>
        <s v="Rochester"/>
        <s v="Franklin Square"/>
        <s v="Atwater"/>
        <s v="Monroe"/>
        <s v="Ridgecrest"/>
        <s v="Clifton Park"/>
        <s v="Far Rockaway"/>
        <s v="Sugar Land"/>
        <s v="New Windsor"/>
        <s v="Bayside"/>
        <s v="Ballston Spa"/>
        <s v="Port Washington"/>
        <s v="Glendora"/>
        <s v="Ronkonkoma"/>
        <s v="Santa Monica"/>
        <s v="Glen Cove"/>
        <s v="Upland"/>
        <s v="Brooklyn"/>
        <s v="Lake Jackson"/>
        <s v="San Pablo"/>
        <s v="Centereach"/>
        <s v="Lawndale"/>
        <s v="Lindenhurst"/>
        <s v="Rockville Centre"/>
        <s v="Pittsford"/>
        <s v="Fort Worth"/>
        <s v="Bethpage"/>
        <s v="Longview"/>
        <s v="Lancaster"/>
        <s v="Kingston"/>
        <s v="Victoria"/>
        <s v="Hempstead"/>
        <s v="Helotes"/>
        <s v="Amsterdam"/>
        <s v="Forest Hills"/>
        <s v="East Elmhurst"/>
        <s v="Freeport"/>
        <s v="Rocklin"/>
        <s v="New York"/>
        <s v="New Hyde Park"/>
        <s v="South Richmond Hill"/>
        <s v="Schenectady"/>
        <s v="Queensbury"/>
        <s v="Euless"/>
        <s v="Oswego"/>
        <s v="West Babylon"/>
        <s v="Desoto"/>
        <s v="Howard Beach"/>
        <s v="Brentwood"/>
        <s v="Oxnard"/>
        <s v="Amityville"/>
        <s v="Bakersfield"/>
        <s v="Port Jefferson Station"/>
        <s v="North Tonawanda"/>
        <s v="Rosedale"/>
        <s v="San Jose"/>
        <s v="Houston"/>
        <s v="Fullerton"/>
        <s v="Jamaica"/>
        <s v="Oakland"/>
        <s v="Jackson Heights"/>
        <s v="Westbury"/>
        <s v="Scarsdale"/>
        <s v="Palos Verdes Peninsula"/>
        <s v="Smithtown"/>
        <s v="East Northport"/>
        <s v="Plattsburgh"/>
        <s v="Massapequa"/>
        <s v="Maspeth"/>
        <s v="New City"/>
        <s v="San Angelo"/>
        <s v="Hicksville"/>
        <s v="Woodhaven"/>
        <s v="Hollis"/>
        <s v="Copperas Cove"/>
        <s v="Apple Valley"/>
        <s v="Coram"/>
        <s v="Fresh Meadows"/>
        <s v="Nanuet"/>
        <s v="Webster"/>
        <s v="Jamestown"/>
        <s v="Sunnyside"/>
        <s v="Farmingdale"/>
        <s v="Staten Island"/>
        <s v="Huntington"/>
        <s v="Garland"/>
        <s v="Ontario"/>
        <s v="Vista"/>
        <s v="Sacramento"/>
        <s v="San Lorenzo"/>
        <s v="Bay Shore"/>
        <s v="Whitestone"/>
        <s v="Troy"/>
        <s v="Poughkeepsie"/>
        <s v="Redondo Beach"/>
        <s v="Syosset"/>
        <s v="Spring Valley"/>
        <s v="Elmont"/>
        <s v="Ozone Park"/>
        <s v="Deer Park"/>
        <s v="Newburgh"/>
        <s v="Santa Cruz"/>
        <s v="Port Chester"/>
        <s v="Astoria"/>
        <s v="South Ozone Park"/>
        <s v="Fresno"/>
        <s v="Monsey"/>
        <s v="Yorktown Heights"/>
        <s v="El Paso"/>
        <s v="Los Banos"/>
        <s v="Canandaigua"/>
        <s v="Uniondale"/>
        <s v="Forney"/>
        <s v="Hamburg"/>
        <s v="Levittown"/>
        <s v="New Rochelle"/>
        <s v="Rowlett"/>
        <s v="South El Monte"/>
        <s v="Richardson"/>
        <s v="Endicott"/>
        <s v="Corona"/>
        <s v="Oakland Gardens"/>
        <s v="Springfield Gardens"/>
        <s v="Wantagh"/>
        <s v="San Antonio"/>
        <s v="Lockport"/>
        <s v="Los Angeles"/>
        <s v="Mountain View"/>
        <s v="Holbrook"/>
        <s v="Mahopac"/>
        <s v="Valley Stream"/>
        <s v="Commack"/>
        <s v="Mcallen"/>
        <s v="Fairport"/>
        <s v="Massapequa Park"/>
        <s v="Tonawanda"/>
        <s v="East Meadow"/>
        <s v="Flushing"/>
        <s v="Depew"/>
        <s v="Yuba City"/>
        <s v="Albany"/>
        <s v="Oceanside"/>
        <s v="Amarillo"/>
        <s v="Middle Village"/>
        <m/>
      </sharedItems>
    </cacheField>
    <cacheField name="staff name" numFmtId="0">
      <sharedItems containsBlank="1">
        <s v="Mireya Copeland"/>
        <s v="Marcelene Boyer"/>
        <s v="Venita Daniel"/>
        <s v="Genna Serrano"/>
        <s v="Kali Vargas"/>
        <s v="Layla Terrell"/>
        <m/>
      </sharedItems>
    </cacheField>
    <cacheField name="store name" numFmtId="0">
      <sharedItems containsBlank="1">
        <s v="Santa Cruz Bikes"/>
        <s v="Baldwin Bikes"/>
        <s v="Rowlett Bikes"/>
        <m/>
      </sharedItems>
    </cacheField>
    <cacheField name="store city " numFmtId="0">
      <sharedItems containsBlank="1">
        <s v="Santa Cruz"/>
        <s v="Baldwin"/>
        <s v="Rowlett"/>
        <m/>
      </sharedItems>
    </cacheField>
    <cacheField name="store state" numFmtId="0">
      <sharedItems containsBlank="1">
        <s v="CA"/>
        <s v="NY"/>
        <s v="TX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F199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ustom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requir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t="default"/>
      </items>
    </pivotField>
    <pivotField name="shipped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t="default"/>
      </items>
    </pivotField>
    <pivotField name="staff_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t="default"/>
      </items>
    </pivotField>
    <pivotField name="Customer State / City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Customer city " axis="axisRow" compact="0" outline="0" multipleItemSelectionAllowed="1" showAll="0" sortType="ascending">
      <items>
        <item x="195"/>
        <item x="191"/>
        <item x="193"/>
        <item x="101"/>
        <item x="84"/>
        <item x="47"/>
        <item x="126"/>
        <item x="154"/>
        <item x="53"/>
        <item x="10"/>
        <item x="102"/>
        <item x="24"/>
        <item x="5"/>
        <item x="61"/>
        <item x="15"/>
        <item x="141"/>
        <item x="60"/>
        <item x="6"/>
        <item x="77"/>
        <item x="99"/>
        <item x="26"/>
        <item x="68"/>
        <item x="32"/>
        <item x="21"/>
        <item x="161"/>
        <item x="19"/>
        <item x="14"/>
        <item x="71"/>
        <item x="42"/>
        <item x="56"/>
        <item x="17"/>
        <item x="182"/>
        <item x="125"/>
        <item x="127"/>
        <item x="171"/>
        <item x="45"/>
        <item x="150"/>
        <item x="189"/>
        <item x="97"/>
        <item x="3"/>
        <item x="86"/>
        <item x="187"/>
        <item x="116"/>
        <item x="159"/>
        <item x="46"/>
        <item x="148"/>
        <item x="18"/>
        <item x="170"/>
        <item x="94"/>
        <item x="184"/>
        <item x="57"/>
        <item x="133"/>
        <item x="23"/>
        <item x="188"/>
        <item x="85"/>
        <item x="163"/>
        <item x="76"/>
        <item x="52"/>
        <item x="87"/>
        <item x="128"/>
        <item x="156"/>
        <item x="108"/>
        <item x="49"/>
        <item x="136"/>
        <item x="66"/>
        <item x="63"/>
        <item x="164"/>
        <item x="30"/>
        <item x="83"/>
        <item x="82"/>
        <item x="122"/>
        <item x="179"/>
        <item x="124"/>
        <item x="41"/>
        <item x="107"/>
        <item x="98"/>
        <item x="135"/>
        <item x="1"/>
        <item x="38"/>
        <item x="111"/>
        <item x="109"/>
        <item x="131"/>
        <item x="80"/>
        <item x="69"/>
        <item x="79"/>
        <item x="72"/>
        <item x="165"/>
        <item x="73"/>
        <item x="40"/>
        <item x="176"/>
        <item x="36"/>
        <item x="78"/>
        <item x="177"/>
        <item x="160"/>
        <item x="180"/>
        <item x="119"/>
        <item x="118"/>
        <item x="185"/>
        <item x="183"/>
        <item x="29"/>
        <item x="194"/>
        <item x="54"/>
        <item x="157"/>
        <item x="20"/>
        <item x="178"/>
        <item x="129"/>
        <item x="120"/>
        <item x="90"/>
        <item x="166"/>
        <item x="59"/>
        <item x="89"/>
        <item x="151"/>
        <item x="12"/>
        <item x="104"/>
        <item x="110"/>
        <item x="172"/>
        <item x="192"/>
        <item x="137"/>
        <item x="28"/>
        <item x="43"/>
        <item x="95"/>
        <item x="100"/>
        <item x="149"/>
        <item x="114"/>
        <item x="2"/>
        <item x="75"/>
        <item x="48"/>
        <item x="117"/>
        <item x="0"/>
        <item x="16"/>
        <item x="153"/>
        <item x="103"/>
        <item x="62"/>
        <item x="144"/>
        <item x="93"/>
        <item x="145"/>
        <item x="39"/>
        <item x="169"/>
        <item x="27"/>
        <item x="55"/>
        <item x="51"/>
        <item x="88"/>
        <item x="74"/>
        <item x="50"/>
        <item x="64"/>
        <item x="105"/>
        <item x="167"/>
        <item x="139"/>
        <item x="37"/>
        <item x="121"/>
        <item x="175"/>
        <item x="8"/>
        <item x="11"/>
        <item x="106"/>
        <item x="140"/>
        <item x="70"/>
        <item x="22"/>
        <item x="152"/>
        <item x="65"/>
        <item x="7"/>
        <item x="113"/>
        <item x="92"/>
        <item x="31"/>
        <item x="44"/>
        <item x="115"/>
        <item x="168"/>
        <item x="155"/>
        <item x="91"/>
        <item x="147"/>
        <item x="173"/>
        <item x="134"/>
        <item x="58"/>
        <item x="132"/>
        <item x="146"/>
        <item x="186"/>
        <item x="13"/>
        <item x="143"/>
        <item x="162"/>
        <item x="67"/>
        <item x="4"/>
        <item x="181"/>
        <item x="81"/>
        <item x="138"/>
        <item x="174"/>
        <item x="25"/>
        <item x="130"/>
        <item x="96"/>
        <item x="33"/>
        <item x="34"/>
        <item x="112"/>
        <item x="142"/>
        <item x="123"/>
        <item x="35"/>
        <item x="9"/>
        <item x="158"/>
        <item x="190"/>
        <item t="default"/>
      </items>
    </pivotField>
    <pivotField name="staff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t="default"/>
      </items>
    </pivotField>
    <pivotField name="store city " compact="0" outline="0" multipleItemSelectionAllowed="1" showAll="0">
      <items>
        <item x="0"/>
        <item x="1"/>
        <item x="2"/>
        <item x="3"/>
        <item t="default"/>
      </items>
    </pivotField>
    <pivotField name="store sta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0"/>
  </rowFields>
  <colFields>
    <field x="9"/>
  </colFields>
  <dataFields>
    <dataField name="Total Order Id by Customer State and City" fld="1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rowGrandTotals="0" colGrandTotals="0" compact="0" compactData="0">
  <location ref="J1:N6" firstHeaderRow="0" firstDataRow="1" firstDataCol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t="default"/>
      </items>
    </pivotField>
    <pivotField name="requir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t="default"/>
      </items>
    </pivotField>
    <pivotField name="shipped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t="default"/>
      </items>
    </pivotField>
    <pivotField name="staff_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t="default"/>
      </items>
    </pivotField>
    <pivotField name="customer cit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staff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 name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store city " compact="0" outline="0" multipleItemSelectionAllowed="1" showAll="0">
      <items>
        <item x="0"/>
        <item x="1"/>
        <item x="2"/>
        <item x="3"/>
        <item t="default"/>
      </items>
    </pivotField>
    <pivotField name="store state" axis="axisCol" compact="0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2"/>
  </rowFields>
  <colFields>
    <field x="14"/>
  </colFields>
  <dataFields>
    <dataField name="Total Order Id by Store Name / State" fld="0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1" dataCaption="" rowGrandTotals="0" compact="0" compactData="0">
  <location ref="J11:K47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date" axis="axisRow" compact="0" numFmtId="164" outline="0" multipleItemSelectionAllowed="1" showAll="0" sortType="ascending">
      <items>
        <item x="7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t="default"/>
      </items>
    </pivotField>
    <pivotField name="requir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t="default"/>
      </items>
    </pivotField>
    <pivotField name="shipped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t="default"/>
      </items>
    </pivotField>
    <pivotField name="staff_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t="default"/>
      </items>
    </pivotField>
    <pivotField name="customer cit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staff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 name" compact="0" outline="0" multipleItemSelectionAllowed="1" showAll="0">
      <items>
        <item x="0"/>
        <item x="1"/>
        <item x="2"/>
        <item x="3"/>
        <item t="default"/>
      </items>
    </pivotField>
    <pivotField name="store city " compact="0" outline="0" multipleItemSelectionAllowed="1" showAll="0">
      <items>
        <item x="0"/>
        <item x="1"/>
        <item x="2"/>
        <item x="3"/>
        <item t="default"/>
      </items>
    </pivotField>
    <pivotField name="store stat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Total Order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0.13"/>
    <col customWidth="1" min="3" max="3" width="10.25"/>
    <col customWidth="1" min="4" max="4" width="9.5"/>
    <col customWidth="1" min="5" max="5" width="11.25"/>
    <col customWidth="1" min="6" max="6" width="11.0"/>
    <col customWidth="1" min="7" max="7" width="6.88"/>
    <col customWidth="1" min="8" max="8" width="6.38"/>
    <col customWidth="1" min="9" max="9" width="18.5"/>
    <col customWidth="1" min="10" max="10" width="11.88"/>
    <col customWidth="1" min="11" max="11" width="18.63"/>
    <col customWidth="1" min="12" max="12" width="13.63"/>
    <col customWidth="1" min="13" max="13" width="13.88"/>
    <col customWidth="1" min="14" max="14" width="9.38"/>
    <col customWidth="1" min="15" max="15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>
        <v>259.0</v>
      </c>
      <c r="C2" s="1">
        <v>4.0</v>
      </c>
      <c r="D2" s="4">
        <v>42370.0</v>
      </c>
      <c r="E2" s="4">
        <v>42372.0</v>
      </c>
      <c r="F2" s="4">
        <v>42372.0</v>
      </c>
      <c r="G2" s="1">
        <v>1.0</v>
      </c>
      <c r="H2" s="1">
        <v>2.0</v>
      </c>
      <c r="I2" s="3" t="str">
        <f>VLOOKUP(B2,Customers!A:J, 10,FALSE)</f>
        <v>Johnathan Velazquez</v>
      </c>
      <c r="J2" s="3" t="str">
        <f>VLOOKUP(B2,Customers!A:J,8,FALSE)</f>
        <v>CA</v>
      </c>
      <c r="K2" s="3" t="str">
        <f>VLOOKUP(B2,Customers!A:J,7,FALSE)</f>
        <v>Pleasanton</v>
      </c>
      <c r="L2" s="3" t="str">
        <f>VLOOKUP(H2,Staff!A:I,9,FALSE)</f>
        <v>Mireya Copeland</v>
      </c>
      <c r="M2" s="3" t="str">
        <f>VLOOKUP(G2,Store!A:H,2,FALSE)</f>
        <v>Santa Cruz Bikes</v>
      </c>
      <c r="N2" s="3" t="str">
        <f>VLOOKUP(G2,Store!A:H,6,FALSE)</f>
        <v>Santa Cruz</v>
      </c>
      <c r="O2" s="3" t="s">
        <v>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2.0</v>
      </c>
      <c r="B3" s="1">
        <v>1212.0</v>
      </c>
      <c r="C3" s="1">
        <v>4.0</v>
      </c>
      <c r="D3" s="4">
        <v>42370.0</v>
      </c>
      <c r="E3" s="4">
        <v>42373.0</v>
      </c>
      <c r="F3" s="4">
        <v>42372.0</v>
      </c>
      <c r="G3" s="1">
        <v>2.0</v>
      </c>
      <c r="H3" s="1">
        <v>6.0</v>
      </c>
      <c r="I3" s="3" t="str">
        <f>VLOOKUP(B3,Customers!A:J, 10,FALSE)</f>
        <v>Jaqueline Cummings</v>
      </c>
      <c r="J3" s="3" t="str">
        <f>VLOOKUP(B3,Customers!A:J,8,FALSE)</f>
        <v>NY</v>
      </c>
      <c r="K3" s="3" t="str">
        <f>VLOOKUP(B3,Customers!A:J,7,FALSE)</f>
        <v>Huntington Station</v>
      </c>
      <c r="L3" s="3" t="str">
        <f>VLOOKUP(H3,Staff!A:I,9,FALSE)</f>
        <v>Marcelene Boyer</v>
      </c>
      <c r="M3" s="3" t="str">
        <f>VLOOKUP(G3,Store!A:H,2,FALSE)</f>
        <v>Baldwin Bikes</v>
      </c>
      <c r="N3" s="3" t="str">
        <f>VLOOKUP(G3,Store!A:H,6,FALSE)</f>
        <v>Baldwin</v>
      </c>
      <c r="O3" s="3" t="s">
        <v>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1">
        <v>523.0</v>
      </c>
      <c r="C4" s="1">
        <v>4.0</v>
      </c>
      <c r="D4" s="4">
        <v>42371.0</v>
      </c>
      <c r="E4" s="4">
        <v>42374.0</v>
      </c>
      <c r="F4" s="4">
        <v>42372.0</v>
      </c>
      <c r="G4" s="1">
        <v>2.0</v>
      </c>
      <c r="H4" s="1">
        <v>7.0</v>
      </c>
      <c r="I4" s="3" t="str">
        <f>VLOOKUP(B4,Customers!A:J, 10,FALSE)</f>
        <v>Joshua Robertson</v>
      </c>
      <c r="J4" s="3" t="str">
        <f>VLOOKUP(B4,Customers!A:J,8,FALSE)</f>
        <v>NY</v>
      </c>
      <c r="K4" s="3" t="str">
        <f>VLOOKUP(B4,Customers!A:J,7,FALSE)</f>
        <v>Patchogue</v>
      </c>
      <c r="L4" s="3" t="str">
        <f>VLOOKUP(H4,Staff!A:I,9,FALSE)</f>
        <v>Venita Daniel</v>
      </c>
      <c r="M4" s="3" t="str">
        <f>VLOOKUP(G4,Store!A:H,2,FALSE)</f>
        <v>Baldwin Bikes</v>
      </c>
      <c r="N4" s="3" t="str">
        <f>VLOOKUP(G4,Store!A:H,6,FALSE)</f>
        <v>Baldwin</v>
      </c>
      <c r="O4" s="3" t="s">
        <v>16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4.0</v>
      </c>
      <c r="B5" s="1">
        <v>175.0</v>
      </c>
      <c r="C5" s="1">
        <v>4.0</v>
      </c>
      <c r="D5" s="4">
        <v>42372.0</v>
      </c>
      <c r="E5" s="4">
        <v>42373.0</v>
      </c>
      <c r="F5" s="4">
        <v>42374.0</v>
      </c>
      <c r="G5" s="1">
        <v>1.0</v>
      </c>
      <c r="H5" s="1">
        <v>3.0</v>
      </c>
      <c r="I5" s="3" t="str">
        <f>VLOOKUP(B5,Customers!A:J, 10,FALSE)</f>
        <v>Nova Hess</v>
      </c>
      <c r="J5" s="3" t="str">
        <f>VLOOKUP(B5,Customers!A:J,8,FALSE)</f>
        <v>CA</v>
      </c>
      <c r="K5" s="3" t="str">
        <f>VLOOKUP(B5,Customers!A:J,7,FALSE)</f>
        <v>Duarte</v>
      </c>
      <c r="L5" s="3" t="str">
        <f>VLOOKUP(H5,Staff!A:I,9,FALSE)</f>
        <v>Genna Serrano</v>
      </c>
      <c r="M5" s="3" t="str">
        <f>VLOOKUP(G5,Store!A:H,2,FALSE)</f>
        <v>Santa Cruz Bikes</v>
      </c>
      <c r="N5" s="3" t="str">
        <f>VLOOKUP(G5,Store!A:H,6,FALSE)</f>
        <v>Santa Cruz</v>
      </c>
      <c r="O5" s="3" t="s">
        <v>15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5.0</v>
      </c>
      <c r="B6" s="1">
        <v>1324.0</v>
      </c>
      <c r="C6" s="1">
        <v>4.0</v>
      </c>
      <c r="D6" s="4">
        <v>42372.0</v>
      </c>
      <c r="E6" s="4">
        <v>42375.0</v>
      </c>
      <c r="F6" s="4">
        <v>42375.0</v>
      </c>
      <c r="G6" s="1">
        <v>2.0</v>
      </c>
      <c r="H6" s="1">
        <v>6.0</v>
      </c>
      <c r="I6" s="3" t="str">
        <f>VLOOKUP(B6,Customers!A:J, 10,FALSE)</f>
        <v>Arla Ellis</v>
      </c>
      <c r="J6" s="3" t="str">
        <f>VLOOKUP(B6,Customers!A:J,8,FALSE)</f>
        <v>NY</v>
      </c>
      <c r="K6" s="3" t="str">
        <f>VLOOKUP(B6,Customers!A:J,7,FALSE)</f>
        <v>Utica</v>
      </c>
      <c r="L6" s="3" t="str">
        <f>VLOOKUP(H6,Staff!A:I,9,FALSE)</f>
        <v>Marcelene Boyer</v>
      </c>
      <c r="M6" s="3" t="str">
        <f>VLOOKUP(G6,Store!A:H,2,FALSE)</f>
        <v>Baldwin Bikes</v>
      </c>
      <c r="N6" s="3" t="str">
        <f>VLOOKUP(G6,Store!A:H,6,FALSE)</f>
        <v>Baldwin</v>
      </c>
      <c r="O6" s="3" t="s">
        <v>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6.0</v>
      </c>
      <c r="B7" s="1">
        <v>94.0</v>
      </c>
      <c r="C7" s="1">
        <v>4.0</v>
      </c>
      <c r="D7" s="4">
        <v>42373.0</v>
      </c>
      <c r="E7" s="4">
        <v>42376.0</v>
      </c>
      <c r="F7" s="4">
        <v>42374.0</v>
      </c>
      <c r="G7" s="1">
        <v>2.0</v>
      </c>
      <c r="H7" s="1">
        <v>6.0</v>
      </c>
      <c r="I7" s="3" t="str">
        <f>VLOOKUP(B7,Customers!A:J, 10,FALSE)</f>
        <v>Sharyn Hopkins</v>
      </c>
      <c r="J7" s="3" t="str">
        <f>VLOOKUP(B7,Customers!A:J,8,FALSE)</f>
        <v>NY</v>
      </c>
      <c r="K7" s="3" t="str">
        <f>VLOOKUP(B7,Customers!A:J,7,FALSE)</f>
        <v>Baldwinsville</v>
      </c>
      <c r="L7" s="3" t="str">
        <f>VLOOKUP(H7,Staff!A:I,9,FALSE)</f>
        <v>Marcelene Boyer</v>
      </c>
      <c r="M7" s="3" t="str">
        <f>VLOOKUP(G7,Store!A:H,2,FALSE)</f>
        <v>Baldwin Bikes</v>
      </c>
      <c r="N7" s="3" t="str">
        <f>VLOOKUP(G7,Store!A:H,6,FALSE)</f>
        <v>Baldwin</v>
      </c>
      <c r="O7" s="3" t="s">
        <v>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7.0</v>
      </c>
      <c r="B8" s="1">
        <v>324.0</v>
      </c>
      <c r="C8" s="1">
        <v>4.0</v>
      </c>
      <c r="D8" s="4">
        <v>42373.0</v>
      </c>
      <c r="E8" s="4">
        <v>42376.0</v>
      </c>
      <c r="F8" s="4">
        <v>42374.0</v>
      </c>
      <c r="G8" s="1">
        <v>2.0</v>
      </c>
      <c r="H8" s="1">
        <v>6.0</v>
      </c>
      <c r="I8" s="3" t="str">
        <f>VLOOKUP(B8,Customers!A:J, 10,FALSE)</f>
        <v>Laureen Paul</v>
      </c>
      <c r="J8" s="3" t="str">
        <f>VLOOKUP(B8,Customers!A:J,8,FALSE)</f>
        <v>NY</v>
      </c>
      <c r="K8" s="3" t="str">
        <f>VLOOKUP(B8,Customers!A:J,7,FALSE)</f>
        <v>Bellmore</v>
      </c>
      <c r="L8" s="3" t="str">
        <f>VLOOKUP(H8,Staff!A:I,9,FALSE)</f>
        <v>Marcelene Boyer</v>
      </c>
      <c r="M8" s="3" t="str">
        <f>VLOOKUP(G8,Store!A:H,2,FALSE)</f>
        <v>Baldwin Bikes</v>
      </c>
      <c r="N8" s="3" t="str">
        <f>VLOOKUP(G8,Store!A:H,6,FALSE)</f>
        <v>Baldwin</v>
      </c>
      <c r="O8" s="3" t="s">
        <v>16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8.0</v>
      </c>
      <c r="B9" s="1">
        <v>1204.0</v>
      </c>
      <c r="C9" s="1">
        <v>4.0</v>
      </c>
      <c r="D9" s="4">
        <v>42373.0</v>
      </c>
      <c r="E9" s="4">
        <v>42374.0</v>
      </c>
      <c r="F9" s="4">
        <v>42374.0</v>
      </c>
      <c r="G9" s="1">
        <v>2.0</v>
      </c>
      <c r="H9" s="1">
        <v>7.0</v>
      </c>
      <c r="I9" s="3" t="str">
        <f>VLOOKUP(B9,Customers!A:J, 10,FALSE)</f>
        <v>Leslie Higgins</v>
      </c>
      <c r="J9" s="3" t="str">
        <f>VLOOKUP(B9,Customers!A:J,8,FALSE)</f>
        <v>NY</v>
      </c>
      <c r="K9" s="3" t="str">
        <f>VLOOKUP(B9,Customers!A:J,7,FALSE)</f>
        <v>Saratoga Springs</v>
      </c>
      <c r="L9" s="3" t="str">
        <f>VLOOKUP(H9,Staff!A:I,9,FALSE)</f>
        <v>Venita Daniel</v>
      </c>
      <c r="M9" s="3" t="str">
        <f>VLOOKUP(G9,Store!A:H,2,FALSE)</f>
        <v>Baldwin Bikes</v>
      </c>
      <c r="N9" s="3" t="str">
        <f>VLOOKUP(G9,Store!A:H,6,FALSE)</f>
        <v>Baldwin</v>
      </c>
      <c r="O9" s="3" t="s">
        <v>16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9.0</v>
      </c>
      <c r="B10" s="1">
        <v>60.0</v>
      </c>
      <c r="C10" s="1">
        <v>4.0</v>
      </c>
      <c r="D10" s="4">
        <v>42374.0</v>
      </c>
      <c r="E10" s="4">
        <v>42377.0</v>
      </c>
      <c r="F10" s="4">
        <v>42377.0</v>
      </c>
      <c r="G10" s="1">
        <v>1.0</v>
      </c>
      <c r="H10" s="1">
        <v>2.0</v>
      </c>
      <c r="I10" s="3" t="str">
        <f>VLOOKUP(B10,Customers!A:J, 10,FALSE)</f>
        <v>Neil Mccall</v>
      </c>
      <c r="J10" s="3" t="str">
        <f>VLOOKUP(B10,Customers!A:J,8,FALSE)</f>
        <v>CA</v>
      </c>
      <c r="K10" s="3" t="str">
        <f>VLOOKUP(B10,Customers!A:J,7,FALSE)</f>
        <v>San Carlos</v>
      </c>
      <c r="L10" s="3" t="str">
        <f>VLOOKUP(H10,Staff!A:I,9,FALSE)</f>
        <v>Mireya Copeland</v>
      </c>
      <c r="M10" s="3" t="str">
        <f>VLOOKUP(G10,Store!A:H,2,FALSE)</f>
        <v>Santa Cruz Bikes</v>
      </c>
      <c r="N10" s="3" t="str">
        <f>VLOOKUP(G10,Store!A:H,6,FALSE)</f>
        <v>Santa Cruz</v>
      </c>
      <c r="O10" s="3" t="s">
        <v>15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10.0</v>
      </c>
      <c r="B11" s="1">
        <v>442.0</v>
      </c>
      <c r="C11" s="1">
        <v>4.0</v>
      </c>
      <c r="D11" s="4">
        <v>42374.0</v>
      </c>
      <c r="E11" s="4">
        <v>42375.0</v>
      </c>
      <c r="F11" s="4">
        <v>42375.0</v>
      </c>
      <c r="G11" s="1">
        <v>2.0</v>
      </c>
      <c r="H11" s="1">
        <v>6.0</v>
      </c>
      <c r="I11" s="3" t="str">
        <f>VLOOKUP(B11,Customers!A:J, 10,FALSE)</f>
        <v>Alane Munoz</v>
      </c>
      <c r="J11" s="3" t="str">
        <f>VLOOKUP(B11,Customers!A:J,8,FALSE)</f>
        <v>NY</v>
      </c>
      <c r="K11" s="3" t="str">
        <f>VLOOKUP(B11,Customers!A:J,7,FALSE)</f>
        <v>Yonkers</v>
      </c>
      <c r="L11" s="3" t="str">
        <f>VLOOKUP(H11,Staff!A:I,9,FALSE)</f>
        <v>Marcelene Boyer</v>
      </c>
      <c r="M11" s="3" t="str">
        <f>VLOOKUP(G11,Store!A:H,2,FALSE)</f>
        <v>Baldwin Bikes</v>
      </c>
      <c r="N11" s="3" t="str">
        <f>VLOOKUP(G11,Store!A:H,6,FALSE)</f>
        <v>Baldwin</v>
      </c>
      <c r="O11" s="3" t="s">
        <v>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11.0</v>
      </c>
      <c r="B12" s="1">
        <v>1326.0</v>
      </c>
      <c r="C12" s="1">
        <v>4.0</v>
      </c>
      <c r="D12" s="4">
        <v>42374.0</v>
      </c>
      <c r="E12" s="4">
        <v>42377.0</v>
      </c>
      <c r="F12" s="4">
        <v>42376.0</v>
      </c>
      <c r="G12" s="1">
        <v>2.0</v>
      </c>
      <c r="H12" s="1">
        <v>7.0</v>
      </c>
      <c r="I12" s="3" t="str">
        <f>VLOOKUP(B12,Customers!A:J, 10,FALSE)</f>
        <v>Tarra Guerrero</v>
      </c>
      <c r="J12" s="3" t="str">
        <f>VLOOKUP(B12,Customers!A:J,8,FALSE)</f>
        <v>NY</v>
      </c>
      <c r="K12" s="3" t="str">
        <f>VLOOKUP(B12,Customers!A:J,7,FALSE)</f>
        <v>Auburn</v>
      </c>
      <c r="L12" s="3" t="str">
        <f>VLOOKUP(H12,Staff!A:I,9,FALSE)</f>
        <v>Venita Daniel</v>
      </c>
      <c r="M12" s="3" t="str">
        <f>VLOOKUP(G12,Store!A:H,2,FALSE)</f>
        <v>Baldwin Bikes</v>
      </c>
      <c r="N12" s="3" t="str">
        <f>VLOOKUP(G12,Store!A:H,6,FALSE)</f>
        <v>Baldwin</v>
      </c>
      <c r="O12" s="3" t="s">
        <v>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12.0</v>
      </c>
      <c r="B13" s="1">
        <v>91.0</v>
      </c>
      <c r="C13" s="1">
        <v>4.0</v>
      </c>
      <c r="D13" s="4">
        <v>42375.0</v>
      </c>
      <c r="E13" s="4">
        <v>42377.0</v>
      </c>
      <c r="F13" s="4">
        <v>42378.0</v>
      </c>
      <c r="G13" s="1">
        <v>1.0</v>
      </c>
      <c r="H13" s="1">
        <v>2.0</v>
      </c>
      <c r="I13" s="3" t="str">
        <f>VLOOKUP(B13,Customers!A:J, 10,FALSE)</f>
        <v>Marvin Mullins</v>
      </c>
      <c r="J13" s="3" t="str">
        <f>VLOOKUP(B13,Customers!A:J,8,FALSE)</f>
        <v>CA</v>
      </c>
      <c r="K13" s="3" t="str">
        <f>VLOOKUP(B13,Customers!A:J,7,FALSE)</f>
        <v>San Diego</v>
      </c>
      <c r="L13" s="3" t="str">
        <f>VLOOKUP(H13,Staff!A:I,9,FALSE)</f>
        <v>Mireya Copeland</v>
      </c>
      <c r="M13" s="3" t="str">
        <f>VLOOKUP(G13,Store!A:H,2,FALSE)</f>
        <v>Santa Cruz Bikes</v>
      </c>
      <c r="N13" s="3" t="str">
        <f>VLOOKUP(G13,Store!A:H,6,FALSE)</f>
        <v>Santa Cruz</v>
      </c>
      <c r="O13" s="3" t="s">
        <v>15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13.0</v>
      </c>
      <c r="B14" s="1">
        <v>873.0</v>
      </c>
      <c r="C14" s="1">
        <v>4.0</v>
      </c>
      <c r="D14" s="4">
        <v>42377.0</v>
      </c>
      <c r="E14" s="4">
        <v>42380.0</v>
      </c>
      <c r="F14" s="4">
        <v>42380.0</v>
      </c>
      <c r="G14" s="1">
        <v>2.0</v>
      </c>
      <c r="H14" s="1">
        <v>6.0</v>
      </c>
      <c r="I14" s="3" t="str">
        <f>VLOOKUP(B14,Customers!A:J, 10,FALSE)</f>
        <v>Patience Clayton</v>
      </c>
      <c r="J14" s="3" t="str">
        <f>VLOOKUP(B14,Customers!A:J,8,FALSE)</f>
        <v>NY</v>
      </c>
      <c r="K14" s="3" t="str">
        <f>VLOOKUP(B14,Customers!A:J,7,FALSE)</f>
        <v>Niagara Falls</v>
      </c>
      <c r="L14" s="3" t="str">
        <f>VLOOKUP(H14,Staff!A:I,9,FALSE)</f>
        <v>Marcelene Boyer</v>
      </c>
      <c r="M14" s="3" t="str">
        <f>VLOOKUP(G14,Store!A:H,2,FALSE)</f>
        <v>Baldwin Bikes</v>
      </c>
      <c r="N14" s="3" t="str">
        <f>VLOOKUP(G14,Store!A:H,6,FALSE)</f>
        <v>Baldwin</v>
      </c>
      <c r="O14" s="3" t="s">
        <v>16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14.0</v>
      </c>
      <c r="B15" s="1">
        <v>258.0</v>
      </c>
      <c r="C15" s="1">
        <v>4.0</v>
      </c>
      <c r="D15" s="4">
        <v>42378.0</v>
      </c>
      <c r="E15" s="4">
        <v>42380.0</v>
      </c>
      <c r="F15" s="4">
        <v>42381.0</v>
      </c>
      <c r="G15" s="1">
        <v>1.0</v>
      </c>
      <c r="H15" s="1">
        <v>3.0</v>
      </c>
      <c r="I15" s="3" t="str">
        <f>VLOOKUP(B15,Customers!A:J, 10,FALSE)</f>
        <v>Maribel William</v>
      </c>
      <c r="J15" s="3" t="str">
        <f>VLOOKUP(B15,Customers!A:J,8,FALSE)</f>
        <v>CA</v>
      </c>
      <c r="K15" s="3" t="str">
        <f>VLOOKUP(B15,Customers!A:J,7,FALSE)</f>
        <v>Torrance</v>
      </c>
      <c r="L15" s="3" t="str">
        <f>VLOOKUP(H15,Staff!A:I,9,FALSE)</f>
        <v>Genna Serrano</v>
      </c>
      <c r="M15" s="3" t="str">
        <f>VLOOKUP(G15,Store!A:H,2,FALSE)</f>
        <v>Santa Cruz Bikes</v>
      </c>
      <c r="N15" s="3" t="str">
        <f>VLOOKUP(G15,Store!A:H,6,FALSE)</f>
        <v>Santa Cruz</v>
      </c>
      <c r="O15" s="3" t="s">
        <v>15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15.0</v>
      </c>
      <c r="B16" s="1">
        <v>450.0</v>
      </c>
      <c r="C16" s="1">
        <v>4.0</v>
      </c>
      <c r="D16" s="4">
        <v>42378.0</v>
      </c>
      <c r="E16" s="4">
        <v>42379.0</v>
      </c>
      <c r="F16" s="4">
        <v>42381.0</v>
      </c>
      <c r="G16" s="1">
        <v>2.0</v>
      </c>
      <c r="H16" s="1">
        <v>7.0</v>
      </c>
      <c r="I16" s="3" t="str">
        <f>VLOOKUP(B16,Customers!A:J, 10,FALSE)</f>
        <v>Ellsworth Michael</v>
      </c>
      <c r="J16" s="3" t="str">
        <f>VLOOKUP(B16,Customers!A:J,8,FALSE)</f>
        <v>NY</v>
      </c>
      <c r="K16" s="3" t="str">
        <f>VLOOKUP(B16,Customers!A:J,7,FALSE)</f>
        <v>Carmel</v>
      </c>
      <c r="L16" s="3" t="str">
        <f>VLOOKUP(H16,Staff!A:I,9,FALSE)</f>
        <v>Venita Daniel</v>
      </c>
      <c r="M16" s="3" t="str">
        <f>VLOOKUP(G16,Store!A:H,2,FALSE)</f>
        <v>Baldwin Bikes</v>
      </c>
      <c r="N16" s="3" t="str">
        <f>VLOOKUP(G16,Store!A:H,6,FALSE)</f>
        <v>Baldwin</v>
      </c>
      <c r="O16" s="3" t="s">
        <v>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16.0</v>
      </c>
      <c r="B17" s="1">
        <v>552.0</v>
      </c>
      <c r="C17" s="1">
        <v>4.0</v>
      </c>
      <c r="D17" s="4">
        <v>42381.0</v>
      </c>
      <c r="E17" s="4">
        <v>42384.0</v>
      </c>
      <c r="F17" s="4">
        <v>42384.0</v>
      </c>
      <c r="G17" s="1">
        <v>1.0</v>
      </c>
      <c r="H17" s="1">
        <v>3.0</v>
      </c>
      <c r="I17" s="3" t="str">
        <f>VLOOKUP(B17,Customers!A:J, 10,FALSE)</f>
        <v>Lea Key</v>
      </c>
      <c r="J17" s="3" t="str">
        <f>VLOOKUP(B17,Customers!A:J,8,FALSE)</f>
        <v>CA</v>
      </c>
      <c r="K17" s="3" t="str">
        <f>VLOOKUP(B17,Customers!A:J,7,FALSE)</f>
        <v>Banning</v>
      </c>
      <c r="L17" s="3" t="str">
        <f>VLOOKUP(H17,Staff!A:I,9,FALSE)</f>
        <v>Genna Serrano</v>
      </c>
      <c r="M17" s="3" t="str">
        <f>VLOOKUP(G17,Store!A:H,2,FALSE)</f>
        <v>Santa Cruz Bikes</v>
      </c>
      <c r="N17" s="3" t="str">
        <f>VLOOKUP(G17,Store!A:H,6,FALSE)</f>
        <v>Santa Cruz</v>
      </c>
      <c r="O17" s="3" t="s">
        <v>15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17.0</v>
      </c>
      <c r="B18" s="1">
        <v>1175.0</v>
      </c>
      <c r="C18" s="1">
        <v>4.0</v>
      </c>
      <c r="D18" s="4">
        <v>42381.0</v>
      </c>
      <c r="E18" s="4">
        <v>42383.0</v>
      </c>
      <c r="F18" s="4">
        <v>42383.0</v>
      </c>
      <c r="G18" s="1">
        <v>1.0</v>
      </c>
      <c r="H18" s="1">
        <v>3.0</v>
      </c>
      <c r="I18" s="3" t="str">
        <f>VLOOKUP(B18,Customers!A:J, 10,FALSE)</f>
        <v>Sindy Anderson</v>
      </c>
      <c r="J18" s="3" t="str">
        <f>VLOOKUP(B18,Customers!A:J,8,FALSE)</f>
        <v>CA</v>
      </c>
      <c r="K18" s="3" t="str">
        <f>VLOOKUP(B18,Customers!A:J,7,FALSE)</f>
        <v>Pomona</v>
      </c>
      <c r="L18" s="3" t="str">
        <f>VLOOKUP(H18,Staff!A:I,9,FALSE)</f>
        <v>Genna Serrano</v>
      </c>
      <c r="M18" s="3" t="str">
        <f>VLOOKUP(G18,Store!A:H,2,FALSE)</f>
        <v>Santa Cruz Bikes</v>
      </c>
      <c r="N18" s="3" t="str">
        <f>VLOOKUP(G18,Store!A:H,6,FALSE)</f>
        <v>Santa Cruz</v>
      </c>
      <c r="O18" s="3" t="s">
        <v>15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18.0</v>
      </c>
      <c r="B19" s="1">
        <v>541.0</v>
      </c>
      <c r="C19" s="1">
        <v>4.0</v>
      </c>
      <c r="D19" s="4">
        <v>42383.0</v>
      </c>
      <c r="E19" s="4">
        <v>42386.0</v>
      </c>
      <c r="F19" s="4">
        <v>42384.0</v>
      </c>
      <c r="G19" s="1">
        <v>1.0</v>
      </c>
      <c r="H19" s="1">
        <v>3.0</v>
      </c>
      <c r="I19" s="3" t="str">
        <f>VLOOKUP(B19,Customers!A:J, 10,FALSE)</f>
        <v>Lanita Burton</v>
      </c>
      <c r="J19" s="3" t="str">
        <f>VLOOKUP(B19,Customers!A:J,8,FALSE)</f>
        <v>CA</v>
      </c>
      <c r="K19" s="3" t="str">
        <f>VLOOKUP(B19,Customers!A:J,7,FALSE)</f>
        <v>Coachella</v>
      </c>
      <c r="L19" s="3" t="str">
        <f>VLOOKUP(H19,Staff!A:I,9,FALSE)</f>
        <v>Genna Serrano</v>
      </c>
      <c r="M19" s="3" t="str">
        <f>VLOOKUP(G19,Store!A:H,2,FALSE)</f>
        <v>Santa Cruz Bikes</v>
      </c>
      <c r="N19" s="3" t="str">
        <f>VLOOKUP(G19,Store!A:H,6,FALSE)</f>
        <v>Santa Cruz</v>
      </c>
      <c r="O19" s="3" t="s">
        <v>15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19.0</v>
      </c>
      <c r="B20" s="1">
        <v>696.0</v>
      </c>
      <c r="C20" s="1">
        <v>4.0</v>
      </c>
      <c r="D20" s="4">
        <v>42383.0</v>
      </c>
      <c r="E20" s="4">
        <v>42386.0</v>
      </c>
      <c r="F20" s="4">
        <v>42385.0</v>
      </c>
      <c r="G20" s="1">
        <v>1.0</v>
      </c>
      <c r="H20" s="1">
        <v>2.0</v>
      </c>
      <c r="I20" s="3" t="str">
        <f>VLOOKUP(B20,Customers!A:J, 10,FALSE)</f>
        <v>Norine Huffman</v>
      </c>
      <c r="J20" s="3" t="str">
        <f>VLOOKUP(B20,Customers!A:J,8,FALSE)</f>
        <v>CA</v>
      </c>
      <c r="K20" s="3" t="str">
        <f>VLOOKUP(B20,Customers!A:J,7,FALSE)</f>
        <v>Encino</v>
      </c>
      <c r="L20" s="3" t="str">
        <f>VLOOKUP(H20,Staff!A:I,9,FALSE)</f>
        <v>Mireya Copeland</v>
      </c>
      <c r="M20" s="3" t="str">
        <f>VLOOKUP(G20,Store!A:H,2,FALSE)</f>
        <v>Santa Cruz Bikes</v>
      </c>
      <c r="N20" s="3" t="str">
        <f>VLOOKUP(G20,Store!A:H,6,FALSE)</f>
        <v>Santa Cruz</v>
      </c>
      <c r="O20" s="3" t="s">
        <v>15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20.0</v>
      </c>
      <c r="B21" s="1">
        <v>923.0</v>
      </c>
      <c r="C21" s="1">
        <v>4.0</v>
      </c>
      <c r="D21" s="4">
        <v>42383.0</v>
      </c>
      <c r="E21" s="4">
        <v>42385.0</v>
      </c>
      <c r="F21" s="4">
        <v>42386.0</v>
      </c>
      <c r="G21" s="1">
        <v>1.0</v>
      </c>
      <c r="H21" s="1">
        <v>2.0</v>
      </c>
      <c r="I21" s="3" t="str">
        <f>VLOOKUP(B21,Customers!A:J, 10,FALSE)</f>
        <v>Randee Pitts</v>
      </c>
      <c r="J21" s="3" t="str">
        <f>VLOOKUP(B21,Customers!A:J,8,FALSE)</f>
        <v>CA</v>
      </c>
      <c r="K21" s="3" t="str">
        <f>VLOOKUP(B21,Customers!A:J,7,FALSE)</f>
        <v>Canyon Country</v>
      </c>
      <c r="L21" s="3" t="str">
        <f>VLOOKUP(H21,Staff!A:I,9,FALSE)</f>
        <v>Mireya Copeland</v>
      </c>
      <c r="M21" s="3" t="str">
        <f>VLOOKUP(G21,Store!A:H,2,FALSE)</f>
        <v>Santa Cruz Bikes</v>
      </c>
      <c r="N21" s="3" t="str">
        <f>VLOOKUP(G21,Store!A:H,6,FALSE)</f>
        <v>Santa Cruz</v>
      </c>
      <c r="O21" s="3" t="s">
        <v>15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21.0</v>
      </c>
      <c r="B22" s="1">
        <v>1250.0</v>
      </c>
      <c r="C22" s="1">
        <v>4.0</v>
      </c>
      <c r="D22" s="4">
        <v>42384.0</v>
      </c>
      <c r="E22" s="4">
        <v>42385.0</v>
      </c>
      <c r="F22" s="4">
        <v>42387.0</v>
      </c>
      <c r="G22" s="1">
        <v>2.0</v>
      </c>
      <c r="H22" s="1">
        <v>6.0</v>
      </c>
      <c r="I22" s="3" t="str">
        <f>VLOOKUP(B22,Customers!A:J, 10,FALSE)</f>
        <v>Neoma Daugherty</v>
      </c>
      <c r="J22" s="3" t="str">
        <f>VLOOKUP(B22,Customers!A:J,8,FALSE)</f>
        <v>NY</v>
      </c>
      <c r="K22" s="3" t="str">
        <f>VLOOKUP(B22,Customers!A:J,7,FALSE)</f>
        <v>Mount Vernon</v>
      </c>
      <c r="L22" s="3" t="str">
        <f>VLOOKUP(H22,Staff!A:I,9,FALSE)</f>
        <v>Marcelene Boyer</v>
      </c>
      <c r="M22" s="3" t="str">
        <f>VLOOKUP(G22,Store!A:H,2,FALSE)</f>
        <v>Baldwin Bikes</v>
      </c>
      <c r="N22" s="3" t="str">
        <f>VLOOKUP(G22,Store!A:H,6,FALSE)</f>
        <v>Baldwin</v>
      </c>
      <c r="O22" s="3" t="s">
        <v>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22.0</v>
      </c>
      <c r="B23" s="1">
        <v>1035.0</v>
      </c>
      <c r="C23" s="1">
        <v>4.0</v>
      </c>
      <c r="D23" s="4">
        <v>42385.0</v>
      </c>
      <c r="E23" s="4">
        <v>42387.0</v>
      </c>
      <c r="F23" s="4">
        <v>42386.0</v>
      </c>
      <c r="G23" s="1">
        <v>1.0</v>
      </c>
      <c r="H23" s="1">
        <v>2.0</v>
      </c>
      <c r="I23" s="3" t="str">
        <f>VLOOKUP(B23,Customers!A:J, 10,FALSE)</f>
        <v>Tangela Hurley</v>
      </c>
      <c r="J23" s="3" t="str">
        <f>VLOOKUP(B23,Customers!A:J,8,FALSE)</f>
        <v>CA</v>
      </c>
      <c r="K23" s="3" t="str">
        <f>VLOOKUP(B23,Customers!A:J,7,FALSE)</f>
        <v>Campbell</v>
      </c>
      <c r="L23" s="3" t="str">
        <f>VLOOKUP(H23,Staff!A:I,9,FALSE)</f>
        <v>Mireya Copeland</v>
      </c>
      <c r="M23" s="3" t="str">
        <f>VLOOKUP(G23,Store!A:H,2,FALSE)</f>
        <v>Santa Cruz Bikes</v>
      </c>
      <c r="N23" s="3" t="str">
        <f>VLOOKUP(G23,Store!A:H,6,FALSE)</f>
        <v>Santa Cruz</v>
      </c>
      <c r="O23" s="3" t="s">
        <v>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23.0</v>
      </c>
      <c r="B24" s="1">
        <v>1149.0</v>
      </c>
      <c r="C24" s="1">
        <v>4.0</v>
      </c>
      <c r="D24" s="4">
        <v>42385.0</v>
      </c>
      <c r="E24" s="4">
        <v>42388.0</v>
      </c>
      <c r="F24" s="4">
        <v>42388.0</v>
      </c>
      <c r="G24" s="1">
        <v>1.0</v>
      </c>
      <c r="H24" s="1">
        <v>2.0</v>
      </c>
      <c r="I24" s="3" t="str">
        <f>VLOOKUP(B24,Customers!A:J, 10,FALSE)</f>
        <v>Drucilla Gilliam</v>
      </c>
      <c r="J24" s="3" t="str">
        <f>VLOOKUP(B24,Customers!A:J,8,FALSE)</f>
        <v>CA</v>
      </c>
      <c r="K24" s="3" t="str">
        <f>VLOOKUP(B24,Customers!A:J,7,FALSE)</f>
        <v>Santa Clara</v>
      </c>
      <c r="L24" s="3" t="str">
        <f>VLOOKUP(H24,Staff!A:I,9,FALSE)</f>
        <v>Mireya Copeland</v>
      </c>
      <c r="M24" s="3" t="str">
        <f>VLOOKUP(G24,Store!A:H,2,FALSE)</f>
        <v>Santa Cruz Bikes</v>
      </c>
      <c r="N24" s="3" t="str">
        <f>VLOOKUP(G24,Store!A:H,6,FALSE)</f>
        <v>Santa Cruz</v>
      </c>
      <c r="O24" s="3" t="s">
        <v>15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24.0</v>
      </c>
      <c r="B25" s="1">
        <v>636.0</v>
      </c>
      <c r="C25" s="1">
        <v>4.0</v>
      </c>
      <c r="D25" s="4">
        <v>42387.0</v>
      </c>
      <c r="E25" s="4">
        <v>42389.0</v>
      </c>
      <c r="F25" s="4">
        <v>42388.0</v>
      </c>
      <c r="G25" s="1">
        <v>2.0</v>
      </c>
      <c r="H25" s="1">
        <v>7.0</v>
      </c>
      <c r="I25" s="3" t="str">
        <f>VLOOKUP(B25,Customers!A:J, 10,FALSE)</f>
        <v>Ashton Lott</v>
      </c>
      <c r="J25" s="3" t="str">
        <f>VLOOKUP(B25,Customers!A:J,8,FALSE)</f>
        <v>NY</v>
      </c>
      <c r="K25" s="3" t="str">
        <f>VLOOKUP(B25,Customers!A:J,7,FALSE)</f>
        <v>Floral Park</v>
      </c>
      <c r="L25" s="3" t="str">
        <f>VLOOKUP(H25,Staff!A:I,9,FALSE)</f>
        <v>Venita Daniel</v>
      </c>
      <c r="M25" s="3" t="str">
        <f>VLOOKUP(G25,Store!A:H,2,FALSE)</f>
        <v>Baldwin Bikes</v>
      </c>
      <c r="N25" s="3" t="str">
        <f>VLOOKUP(G25,Store!A:H,6,FALSE)</f>
        <v>Baldwin</v>
      </c>
      <c r="O25" s="3" t="s">
        <v>16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25.0</v>
      </c>
      <c r="B26" s="1">
        <v>657.0</v>
      </c>
      <c r="C26" s="1">
        <v>4.0</v>
      </c>
      <c r="D26" s="4">
        <v>42387.0</v>
      </c>
      <c r="E26" s="4">
        <v>42390.0</v>
      </c>
      <c r="F26" s="4">
        <v>42390.0</v>
      </c>
      <c r="G26" s="1">
        <v>2.0</v>
      </c>
      <c r="H26" s="1">
        <v>6.0</v>
      </c>
      <c r="I26" s="3" t="str">
        <f>VLOOKUP(B26,Customers!A:J, 10,FALSE)</f>
        <v>Sam Lester</v>
      </c>
      <c r="J26" s="3" t="str">
        <f>VLOOKUP(B26,Customers!A:J,8,FALSE)</f>
        <v>NY</v>
      </c>
      <c r="K26" s="3" t="str">
        <f>VLOOKUP(B26,Customers!A:J,7,FALSE)</f>
        <v>Baldwin</v>
      </c>
      <c r="L26" s="3" t="str">
        <f>VLOOKUP(H26,Staff!A:I,9,FALSE)</f>
        <v>Marcelene Boyer</v>
      </c>
      <c r="M26" s="3" t="str">
        <f>VLOOKUP(G26,Store!A:H,2,FALSE)</f>
        <v>Baldwin Bikes</v>
      </c>
      <c r="N26" s="3" t="str">
        <f>VLOOKUP(G26,Store!A:H,6,FALSE)</f>
        <v>Baldwin</v>
      </c>
      <c r="O26" s="3" t="s">
        <v>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26.0</v>
      </c>
      <c r="B27" s="1">
        <v>1280.0</v>
      </c>
      <c r="C27" s="1">
        <v>4.0</v>
      </c>
      <c r="D27" s="4">
        <v>42387.0</v>
      </c>
      <c r="E27" s="4">
        <v>42390.0</v>
      </c>
      <c r="F27" s="4">
        <v>42388.0</v>
      </c>
      <c r="G27" s="1">
        <v>2.0</v>
      </c>
      <c r="H27" s="1">
        <v>7.0</v>
      </c>
      <c r="I27" s="3" t="str">
        <f>VLOOKUP(B27,Customers!A:J, 10,FALSE)</f>
        <v>Jackeline Colon</v>
      </c>
      <c r="J27" s="3" t="str">
        <f>VLOOKUP(B27,Customers!A:J,8,FALSE)</f>
        <v>NY</v>
      </c>
      <c r="K27" s="3" t="str">
        <f>VLOOKUP(B27,Customers!A:J,7,FALSE)</f>
        <v>Wappingers Falls</v>
      </c>
      <c r="L27" s="3" t="str">
        <f>VLOOKUP(H27,Staff!A:I,9,FALSE)</f>
        <v>Venita Daniel</v>
      </c>
      <c r="M27" s="3" t="str">
        <f>VLOOKUP(G27,Store!A:H,2,FALSE)</f>
        <v>Baldwin Bikes</v>
      </c>
      <c r="N27" s="3" t="str">
        <f>VLOOKUP(G27,Store!A:H,6,FALSE)</f>
        <v>Baldwin</v>
      </c>
      <c r="O27" s="3" t="s">
        <v>16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27.0</v>
      </c>
      <c r="B28" s="1">
        <v>57.0</v>
      </c>
      <c r="C28" s="1">
        <v>4.0</v>
      </c>
      <c r="D28" s="4">
        <v>42388.0</v>
      </c>
      <c r="E28" s="4">
        <v>42390.0</v>
      </c>
      <c r="F28" s="4">
        <v>42389.0</v>
      </c>
      <c r="G28" s="1">
        <v>2.0</v>
      </c>
      <c r="H28" s="1">
        <v>7.0</v>
      </c>
      <c r="I28" s="3" t="str">
        <f>VLOOKUP(B28,Customers!A:J, 10,FALSE)</f>
        <v>Pamala Henry</v>
      </c>
      <c r="J28" s="3" t="str">
        <f>VLOOKUP(B28,Customers!A:J,8,FALSE)</f>
        <v>NY</v>
      </c>
      <c r="K28" s="3" t="str">
        <f>VLOOKUP(B28,Customers!A:J,7,FALSE)</f>
        <v>Bronx</v>
      </c>
      <c r="L28" s="3" t="str">
        <f>VLOOKUP(H28,Staff!A:I,9,FALSE)</f>
        <v>Venita Daniel</v>
      </c>
      <c r="M28" s="3" t="str">
        <f>VLOOKUP(G28,Store!A:H,2,FALSE)</f>
        <v>Baldwin Bikes</v>
      </c>
      <c r="N28" s="3" t="str">
        <f>VLOOKUP(G28,Store!A:H,6,FALSE)</f>
        <v>Baldwin</v>
      </c>
      <c r="O28" s="3" t="s">
        <v>16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28.0</v>
      </c>
      <c r="B29" s="1">
        <v>252.0</v>
      </c>
      <c r="C29" s="1">
        <v>4.0</v>
      </c>
      <c r="D29" s="4">
        <v>42388.0</v>
      </c>
      <c r="E29" s="4">
        <v>42389.0</v>
      </c>
      <c r="F29" s="4">
        <v>42390.0</v>
      </c>
      <c r="G29" s="1">
        <v>2.0</v>
      </c>
      <c r="H29" s="1">
        <v>6.0</v>
      </c>
      <c r="I29" s="3" t="str">
        <f>VLOOKUP(B29,Customers!A:J, 10,FALSE)</f>
        <v>Eleni Gordon</v>
      </c>
      <c r="J29" s="3" t="str">
        <f>VLOOKUP(B29,Customers!A:J,8,FALSE)</f>
        <v>NY</v>
      </c>
      <c r="K29" s="3" t="str">
        <f>VLOOKUP(B29,Customers!A:J,7,FALSE)</f>
        <v>Richmond Hill</v>
      </c>
      <c r="L29" s="3" t="str">
        <f>VLOOKUP(H29,Staff!A:I,9,FALSE)</f>
        <v>Marcelene Boyer</v>
      </c>
      <c r="M29" s="3" t="str">
        <f>VLOOKUP(G29,Store!A:H,2,FALSE)</f>
        <v>Baldwin Bikes</v>
      </c>
      <c r="N29" s="3" t="str">
        <f>VLOOKUP(G29,Store!A:H,6,FALSE)</f>
        <v>Baldwin</v>
      </c>
      <c r="O29" s="3" t="s">
        <v>16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29.0</v>
      </c>
      <c r="B30" s="1">
        <v>437.0</v>
      </c>
      <c r="C30" s="1">
        <v>4.0</v>
      </c>
      <c r="D30" s="4">
        <v>42389.0</v>
      </c>
      <c r="E30" s="4">
        <v>42391.0</v>
      </c>
      <c r="F30" s="4">
        <v>42390.0</v>
      </c>
      <c r="G30" s="1">
        <v>2.0</v>
      </c>
      <c r="H30" s="1">
        <v>6.0</v>
      </c>
      <c r="I30" s="3" t="str">
        <f>VLOOKUP(B30,Customers!A:J, 10,FALSE)</f>
        <v>Laureen Barry</v>
      </c>
      <c r="J30" s="3" t="str">
        <f>VLOOKUP(B30,Customers!A:J,8,FALSE)</f>
        <v>NY</v>
      </c>
      <c r="K30" s="3" t="str">
        <f>VLOOKUP(B30,Customers!A:J,7,FALSE)</f>
        <v>Orchard Park</v>
      </c>
      <c r="L30" s="3" t="str">
        <f>VLOOKUP(H30,Staff!A:I,9,FALSE)</f>
        <v>Marcelene Boyer</v>
      </c>
      <c r="M30" s="3" t="str">
        <f>VLOOKUP(G30,Store!A:H,2,FALSE)</f>
        <v>Baldwin Bikes</v>
      </c>
      <c r="N30" s="3" t="str">
        <f>VLOOKUP(G30,Store!A:H,6,FALSE)</f>
        <v>Baldwin</v>
      </c>
      <c r="O30" s="3" t="s">
        <v>16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30.0</v>
      </c>
      <c r="B31" s="1">
        <v>1348.0</v>
      </c>
      <c r="C31" s="1">
        <v>4.0</v>
      </c>
      <c r="D31" s="4">
        <v>42389.0</v>
      </c>
      <c r="E31" s="4">
        <v>42390.0</v>
      </c>
      <c r="F31" s="4">
        <v>42390.0</v>
      </c>
      <c r="G31" s="1">
        <v>2.0</v>
      </c>
      <c r="H31" s="1">
        <v>6.0</v>
      </c>
      <c r="I31" s="3" t="str">
        <f>VLOOKUP(B31,Customers!A:J, 10,FALSE)</f>
        <v>Yvone Guerrero</v>
      </c>
      <c r="J31" s="3" t="str">
        <f>VLOOKUP(B31,Customers!A:J,8,FALSE)</f>
        <v>NY</v>
      </c>
      <c r="K31" s="3" t="str">
        <f>VLOOKUP(B31,Customers!A:J,7,FALSE)</f>
        <v>Merrick</v>
      </c>
      <c r="L31" s="3" t="str">
        <f>VLOOKUP(H31,Staff!A:I,9,FALSE)</f>
        <v>Marcelene Boyer</v>
      </c>
      <c r="M31" s="3" t="str">
        <f>VLOOKUP(G31,Store!A:H,2,FALSE)</f>
        <v>Baldwin Bikes</v>
      </c>
      <c r="N31" s="3" t="str">
        <f>VLOOKUP(G31,Store!A:H,6,FALSE)</f>
        <v>Baldwin</v>
      </c>
      <c r="O31" s="3" t="s">
        <v>16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31.0</v>
      </c>
      <c r="B32" s="1">
        <v>1238.0</v>
      </c>
      <c r="C32" s="1">
        <v>4.0</v>
      </c>
      <c r="D32" s="4">
        <v>42389.0</v>
      </c>
      <c r="E32" s="4">
        <v>42391.0</v>
      </c>
      <c r="F32" s="4">
        <v>42391.0</v>
      </c>
      <c r="G32" s="1">
        <v>3.0</v>
      </c>
      <c r="H32" s="1">
        <v>8.0</v>
      </c>
      <c r="I32" s="3" t="str">
        <f>VLOOKUP(B32,Customers!A:J, 10,FALSE)</f>
        <v>Edgar Quinn</v>
      </c>
      <c r="J32" s="3" t="str">
        <f>VLOOKUP(B32,Customers!A:J,8,FALSE)</f>
        <v>TX</v>
      </c>
      <c r="K32" s="3" t="str">
        <f>VLOOKUP(B32,Customers!A:J,7,FALSE)</f>
        <v>Harlingen</v>
      </c>
      <c r="L32" s="3" t="str">
        <f>VLOOKUP(H32,Staff!A:I,9,FALSE)</f>
        <v>Kali Vargas</v>
      </c>
      <c r="M32" s="3" t="str">
        <f>VLOOKUP(G32,Store!A:H,2,FALSE)</f>
        <v>Rowlett Bikes</v>
      </c>
      <c r="N32" s="3" t="str">
        <f>VLOOKUP(G32,Store!A:H,6,FALSE)</f>
        <v>Rowlett</v>
      </c>
      <c r="O32" s="3" t="s">
        <v>17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32.0</v>
      </c>
      <c r="B33" s="1">
        <v>1259.0</v>
      </c>
      <c r="C33" s="1">
        <v>4.0</v>
      </c>
      <c r="D33" s="4">
        <v>42390.0</v>
      </c>
      <c r="E33" s="4">
        <v>42393.0</v>
      </c>
      <c r="F33" s="4">
        <v>42391.0</v>
      </c>
      <c r="G33" s="1">
        <v>1.0</v>
      </c>
      <c r="H33" s="1">
        <v>3.0</v>
      </c>
      <c r="I33" s="3" t="str">
        <f>VLOOKUP(B33,Customers!A:J, 10,FALSE)</f>
        <v>Kimbery Nieves</v>
      </c>
      <c r="J33" s="3" t="str">
        <f>VLOOKUP(B33,Customers!A:J,8,FALSE)</f>
        <v>CA</v>
      </c>
      <c r="K33" s="3" t="str">
        <f>VLOOKUP(B33,Customers!A:J,7,FALSE)</f>
        <v>San Carlos</v>
      </c>
      <c r="L33" s="3" t="str">
        <f>VLOOKUP(H33,Staff!A:I,9,FALSE)</f>
        <v>Genna Serrano</v>
      </c>
      <c r="M33" s="3" t="str">
        <f>VLOOKUP(G33,Store!A:H,2,FALSE)</f>
        <v>Santa Cruz Bikes</v>
      </c>
      <c r="N33" s="3" t="str">
        <f>VLOOKUP(G33,Store!A:H,6,FALSE)</f>
        <v>Santa Cruz</v>
      </c>
      <c r="O33" s="3" t="s">
        <v>15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33.0</v>
      </c>
      <c r="B34" s="1">
        <v>236.0</v>
      </c>
      <c r="C34" s="1">
        <v>4.0</v>
      </c>
      <c r="D34" s="4">
        <v>42390.0</v>
      </c>
      <c r="E34" s="4">
        <v>42391.0</v>
      </c>
      <c r="F34" s="4">
        <v>42391.0</v>
      </c>
      <c r="G34" s="1">
        <v>2.0</v>
      </c>
      <c r="H34" s="1">
        <v>6.0</v>
      </c>
      <c r="I34" s="3" t="str">
        <f>VLOOKUP(B34,Customers!A:J, 10,FALSE)</f>
        <v>Verona O'neill</v>
      </c>
      <c r="J34" s="3" t="str">
        <f>VLOOKUP(B34,Customers!A:J,8,FALSE)</f>
        <v>NY</v>
      </c>
      <c r="K34" s="3" t="str">
        <f>VLOOKUP(B34,Customers!A:J,7,FALSE)</f>
        <v>Selden</v>
      </c>
      <c r="L34" s="3" t="str">
        <f>VLOOKUP(H34,Staff!A:I,9,FALSE)</f>
        <v>Marcelene Boyer</v>
      </c>
      <c r="M34" s="3" t="str">
        <f>VLOOKUP(G34,Store!A:H,2,FALSE)</f>
        <v>Baldwin Bikes</v>
      </c>
      <c r="N34" s="3" t="str">
        <f>VLOOKUP(G34,Store!A:H,6,FALSE)</f>
        <v>Baldwin</v>
      </c>
      <c r="O34" s="3" t="s">
        <v>16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34.0</v>
      </c>
      <c r="B35" s="1">
        <v>80.0</v>
      </c>
      <c r="C35" s="1">
        <v>4.0</v>
      </c>
      <c r="D35" s="4">
        <v>42391.0</v>
      </c>
      <c r="E35" s="4">
        <v>42394.0</v>
      </c>
      <c r="F35" s="4">
        <v>42392.0</v>
      </c>
      <c r="G35" s="1">
        <v>2.0</v>
      </c>
      <c r="H35" s="1">
        <v>6.0</v>
      </c>
      <c r="I35" s="3" t="str">
        <f>VLOOKUP(B35,Customers!A:J, 10,FALSE)</f>
        <v>Sarai Mckee</v>
      </c>
      <c r="J35" s="3" t="str">
        <f>VLOOKUP(B35,Customers!A:J,8,FALSE)</f>
        <v>NY</v>
      </c>
      <c r="K35" s="3" t="str">
        <f>VLOOKUP(B35,Customers!A:J,7,FALSE)</f>
        <v>Buffalo</v>
      </c>
      <c r="L35" s="3" t="str">
        <f>VLOOKUP(H35,Staff!A:I,9,FALSE)</f>
        <v>Marcelene Boyer</v>
      </c>
      <c r="M35" s="3" t="str">
        <f>VLOOKUP(G35,Store!A:H,2,FALSE)</f>
        <v>Baldwin Bikes</v>
      </c>
      <c r="N35" s="3" t="str">
        <f>VLOOKUP(G35,Store!A:H,6,FALSE)</f>
        <v>Baldwin</v>
      </c>
      <c r="O35" s="3" t="s">
        <v>16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35.0</v>
      </c>
      <c r="B36" s="1">
        <v>813.0</v>
      </c>
      <c r="C36" s="1">
        <v>4.0</v>
      </c>
      <c r="D36" s="4">
        <v>42391.0</v>
      </c>
      <c r="E36" s="4">
        <v>42394.0</v>
      </c>
      <c r="F36" s="4">
        <v>42393.0</v>
      </c>
      <c r="G36" s="1">
        <v>2.0</v>
      </c>
      <c r="H36" s="1">
        <v>7.0</v>
      </c>
      <c r="I36" s="3" t="str">
        <f>VLOOKUP(B36,Customers!A:J, 10,FALSE)</f>
        <v>Neville Mcclain</v>
      </c>
      <c r="J36" s="3" t="str">
        <f>VLOOKUP(B36,Customers!A:J,8,FALSE)</f>
        <v>NY</v>
      </c>
      <c r="K36" s="3" t="str">
        <f>VLOOKUP(B36,Customers!A:J,7,FALSE)</f>
        <v>West Hempstead</v>
      </c>
      <c r="L36" s="3" t="str">
        <f>VLOOKUP(H36,Staff!A:I,9,FALSE)</f>
        <v>Venita Daniel</v>
      </c>
      <c r="M36" s="3" t="str">
        <f>VLOOKUP(G36,Store!A:H,2,FALSE)</f>
        <v>Baldwin Bikes</v>
      </c>
      <c r="N36" s="3" t="str">
        <f>VLOOKUP(G36,Store!A:H,6,FALSE)</f>
        <v>Baldwin</v>
      </c>
      <c r="O36" s="3" t="s">
        <v>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36.0</v>
      </c>
      <c r="B37" s="1">
        <v>1321.0</v>
      </c>
      <c r="C37" s="1">
        <v>4.0</v>
      </c>
      <c r="D37" s="4">
        <v>42392.0</v>
      </c>
      <c r="E37" s="4">
        <v>42393.0</v>
      </c>
      <c r="F37" s="4">
        <v>42393.0</v>
      </c>
      <c r="G37" s="1">
        <v>2.0</v>
      </c>
      <c r="H37" s="1">
        <v>6.0</v>
      </c>
      <c r="I37" s="3" t="str">
        <f>VLOOKUP(B37,Customers!A:J, 10,FALSE)</f>
        <v>Shantel Gregory</v>
      </c>
      <c r="J37" s="3" t="str">
        <f>VLOOKUP(B37,Customers!A:J,8,FALSE)</f>
        <v>NY</v>
      </c>
      <c r="K37" s="3" t="str">
        <f>VLOOKUP(B37,Customers!A:J,7,FALSE)</f>
        <v>West Islip</v>
      </c>
      <c r="L37" s="3" t="str">
        <f>VLOOKUP(H37,Staff!A:I,9,FALSE)</f>
        <v>Marcelene Boyer</v>
      </c>
      <c r="M37" s="3" t="str">
        <f>VLOOKUP(G37,Store!A:H,2,FALSE)</f>
        <v>Baldwin Bikes</v>
      </c>
      <c r="N37" s="3" t="str">
        <f>VLOOKUP(G37,Store!A:H,6,FALSE)</f>
        <v>Baldwin</v>
      </c>
      <c r="O37" s="3" t="s">
        <v>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>
        <v>37.0</v>
      </c>
      <c r="B38" s="1">
        <v>164.0</v>
      </c>
      <c r="C38" s="1">
        <v>4.0</v>
      </c>
      <c r="D38" s="4">
        <v>42394.0</v>
      </c>
      <c r="E38" s="4">
        <v>42397.0</v>
      </c>
      <c r="F38" s="4">
        <v>42395.0</v>
      </c>
      <c r="G38" s="1">
        <v>2.0</v>
      </c>
      <c r="H38" s="1">
        <v>6.0</v>
      </c>
      <c r="I38" s="3" t="str">
        <f>VLOOKUP(B38,Customers!A:J, 10,FALSE)</f>
        <v>Tomika Larson</v>
      </c>
      <c r="J38" s="3" t="str">
        <f>VLOOKUP(B38,Customers!A:J,8,FALSE)</f>
        <v>NY</v>
      </c>
      <c r="K38" s="3" t="str">
        <f>VLOOKUP(B38,Customers!A:J,7,FALSE)</f>
        <v>Woodside</v>
      </c>
      <c r="L38" s="3" t="str">
        <f>VLOOKUP(H38,Staff!A:I,9,FALSE)</f>
        <v>Marcelene Boyer</v>
      </c>
      <c r="M38" s="3" t="str">
        <f>VLOOKUP(G38,Store!A:H,2,FALSE)</f>
        <v>Baldwin Bikes</v>
      </c>
      <c r="N38" s="3" t="str">
        <f>VLOOKUP(G38,Store!A:H,6,FALSE)</f>
        <v>Baldwin</v>
      </c>
      <c r="O38" s="3" t="s">
        <v>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>
        <v>38.0</v>
      </c>
      <c r="B39" s="1">
        <v>583.0</v>
      </c>
      <c r="C39" s="1">
        <v>4.0</v>
      </c>
      <c r="D39" s="4">
        <v>42394.0</v>
      </c>
      <c r="E39" s="4">
        <v>42396.0</v>
      </c>
      <c r="F39" s="4">
        <v>42395.0</v>
      </c>
      <c r="G39" s="1">
        <v>2.0</v>
      </c>
      <c r="H39" s="1">
        <v>7.0</v>
      </c>
      <c r="I39" s="3" t="str">
        <f>VLOOKUP(B39,Customers!A:J, 10,FALSE)</f>
        <v>Lashandra Turner</v>
      </c>
      <c r="J39" s="3" t="str">
        <f>VLOOKUP(B39,Customers!A:J,8,FALSE)</f>
        <v>NY</v>
      </c>
      <c r="K39" s="3" t="str">
        <f>VLOOKUP(B39,Customers!A:J,7,FALSE)</f>
        <v>Long Beach</v>
      </c>
      <c r="L39" s="3" t="str">
        <f>VLOOKUP(H39,Staff!A:I,9,FALSE)</f>
        <v>Venita Daniel</v>
      </c>
      <c r="M39" s="3" t="str">
        <f>VLOOKUP(G39,Store!A:H,2,FALSE)</f>
        <v>Baldwin Bikes</v>
      </c>
      <c r="N39" s="3" t="str">
        <f>VLOOKUP(G39,Store!A:H,6,FALSE)</f>
        <v>Baldwin</v>
      </c>
      <c r="O39" s="3" t="s">
        <v>16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>
        <v>39.0</v>
      </c>
      <c r="B40" s="1">
        <v>1296.0</v>
      </c>
      <c r="C40" s="1">
        <v>4.0</v>
      </c>
      <c r="D40" s="4">
        <v>42394.0</v>
      </c>
      <c r="E40" s="4">
        <v>42395.0</v>
      </c>
      <c r="F40" s="4">
        <v>42395.0</v>
      </c>
      <c r="G40" s="1">
        <v>2.0</v>
      </c>
      <c r="H40" s="1">
        <v>7.0</v>
      </c>
      <c r="I40" s="3" t="str">
        <f>VLOOKUP(B40,Customers!A:J, 10,FALSE)</f>
        <v>Travis Whitley</v>
      </c>
      <c r="J40" s="3" t="str">
        <f>VLOOKUP(B40,Customers!A:J,8,FALSE)</f>
        <v>NY</v>
      </c>
      <c r="K40" s="3" t="str">
        <f>VLOOKUP(B40,Customers!A:J,7,FALSE)</f>
        <v>Saint Albans</v>
      </c>
      <c r="L40" s="3" t="str">
        <f>VLOOKUP(H40,Staff!A:I,9,FALSE)</f>
        <v>Venita Daniel</v>
      </c>
      <c r="M40" s="3" t="str">
        <f>VLOOKUP(G40,Store!A:H,2,FALSE)</f>
        <v>Baldwin Bikes</v>
      </c>
      <c r="N40" s="3" t="str">
        <f>VLOOKUP(G40,Store!A:H,6,FALSE)</f>
        <v>Baldwin</v>
      </c>
      <c r="O40" s="3" t="s">
        <v>16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>
        <v>40.0</v>
      </c>
      <c r="B41" s="1">
        <v>348.0</v>
      </c>
      <c r="C41" s="1">
        <v>4.0</v>
      </c>
      <c r="D41" s="4">
        <v>42396.0</v>
      </c>
      <c r="E41" s="4">
        <v>42397.0</v>
      </c>
      <c r="F41" s="4">
        <v>42398.0</v>
      </c>
      <c r="G41" s="1">
        <v>1.0</v>
      </c>
      <c r="H41" s="1">
        <v>3.0</v>
      </c>
      <c r="I41" s="3" t="str">
        <f>VLOOKUP(B41,Customers!A:J, 10,FALSE)</f>
        <v>Darren Witt</v>
      </c>
      <c r="J41" s="3" t="str">
        <f>VLOOKUP(B41,Customers!A:J,8,FALSE)</f>
        <v>CA</v>
      </c>
      <c r="K41" s="3" t="str">
        <f>VLOOKUP(B41,Customers!A:J,7,FALSE)</f>
        <v>Coachella</v>
      </c>
      <c r="L41" s="3" t="str">
        <f>VLOOKUP(H41,Staff!A:I,9,FALSE)</f>
        <v>Genna Serrano</v>
      </c>
      <c r="M41" s="3" t="str">
        <f>VLOOKUP(G41,Store!A:H,2,FALSE)</f>
        <v>Santa Cruz Bikes</v>
      </c>
      <c r="N41" s="3" t="str">
        <f>VLOOKUP(G41,Store!A:H,6,FALSE)</f>
        <v>Santa Cruz</v>
      </c>
      <c r="O41" s="3" t="s">
        <v>15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>
        <v>41.0</v>
      </c>
      <c r="B42" s="1">
        <v>979.0</v>
      </c>
      <c r="C42" s="1">
        <v>4.0</v>
      </c>
      <c r="D42" s="4">
        <v>42396.0</v>
      </c>
      <c r="E42" s="4">
        <v>42399.0</v>
      </c>
      <c r="F42" s="4">
        <v>42398.0</v>
      </c>
      <c r="G42" s="1">
        <v>2.0</v>
      </c>
      <c r="H42" s="1">
        <v>6.0</v>
      </c>
      <c r="I42" s="3" t="str">
        <f>VLOOKUP(B42,Customers!A:J, 10,FALSE)</f>
        <v>Ingeborg Ellison</v>
      </c>
      <c r="J42" s="3" t="str">
        <f>VLOOKUP(B42,Customers!A:J,8,FALSE)</f>
        <v>NY</v>
      </c>
      <c r="K42" s="3" t="str">
        <f>VLOOKUP(B42,Customers!A:J,7,FALSE)</f>
        <v>Ithaca</v>
      </c>
      <c r="L42" s="3" t="str">
        <f>VLOOKUP(H42,Staff!A:I,9,FALSE)</f>
        <v>Marcelene Boyer</v>
      </c>
      <c r="M42" s="3" t="str">
        <f>VLOOKUP(G42,Store!A:H,2,FALSE)</f>
        <v>Baldwin Bikes</v>
      </c>
      <c r="N42" s="3" t="str">
        <f>VLOOKUP(G42,Store!A:H,6,FALSE)</f>
        <v>Baldwin</v>
      </c>
      <c r="O42" s="3" t="s">
        <v>16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>
        <v>42.0</v>
      </c>
      <c r="B43" s="1">
        <v>1095.0</v>
      </c>
      <c r="C43" s="1">
        <v>4.0</v>
      </c>
      <c r="D43" s="4">
        <v>42396.0</v>
      </c>
      <c r="E43" s="4">
        <v>42397.0</v>
      </c>
      <c r="F43" s="4">
        <v>42399.0</v>
      </c>
      <c r="G43" s="1">
        <v>2.0</v>
      </c>
      <c r="H43" s="1">
        <v>7.0</v>
      </c>
      <c r="I43" s="3" t="str">
        <f>VLOOKUP(B43,Customers!A:J, 10,FALSE)</f>
        <v>Corene Swanson</v>
      </c>
      <c r="J43" s="3" t="str">
        <f>VLOOKUP(B43,Customers!A:J,8,FALSE)</f>
        <v>NY</v>
      </c>
      <c r="K43" s="3" t="str">
        <f>VLOOKUP(B43,Customers!A:J,7,FALSE)</f>
        <v>Rego Park</v>
      </c>
      <c r="L43" s="3" t="str">
        <f>VLOOKUP(H43,Staff!A:I,9,FALSE)</f>
        <v>Venita Daniel</v>
      </c>
      <c r="M43" s="3" t="str">
        <f>VLOOKUP(G43,Store!A:H,2,FALSE)</f>
        <v>Baldwin Bikes</v>
      </c>
      <c r="N43" s="3" t="str">
        <f>VLOOKUP(G43,Store!A:H,6,FALSE)</f>
        <v>Baldwin</v>
      </c>
      <c r="O43" s="3" t="s">
        <v>16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>
        <v>43.0</v>
      </c>
      <c r="B44" s="1">
        <v>1434.0</v>
      </c>
      <c r="C44" s="1">
        <v>4.0</v>
      </c>
      <c r="D44" s="4">
        <v>42396.0</v>
      </c>
      <c r="E44" s="4">
        <v>42397.0</v>
      </c>
      <c r="F44" s="4">
        <v>42399.0</v>
      </c>
      <c r="G44" s="1">
        <v>2.0</v>
      </c>
      <c r="H44" s="1">
        <v>7.0</v>
      </c>
      <c r="I44" s="3" t="str">
        <f>VLOOKUP(B44,Customers!A:J, 10,FALSE)</f>
        <v>Elana Miles</v>
      </c>
      <c r="J44" s="3" t="str">
        <f>VLOOKUP(B44,Customers!A:J,8,FALSE)</f>
        <v>NY</v>
      </c>
      <c r="K44" s="3" t="str">
        <f>VLOOKUP(B44,Customers!A:J,7,FALSE)</f>
        <v>Liverpool</v>
      </c>
      <c r="L44" s="3" t="str">
        <f>VLOOKUP(H44,Staff!A:I,9,FALSE)</f>
        <v>Venita Daniel</v>
      </c>
      <c r="M44" s="3" t="str">
        <f>VLOOKUP(G44,Store!A:H,2,FALSE)</f>
        <v>Baldwin Bikes</v>
      </c>
      <c r="N44" s="3" t="str">
        <f>VLOOKUP(G44,Store!A:H,6,FALSE)</f>
        <v>Baldwin</v>
      </c>
      <c r="O44" s="3" t="s">
        <v>16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>
        <v>44.0</v>
      </c>
      <c r="B45" s="1">
        <v>861.0</v>
      </c>
      <c r="C45" s="1">
        <v>4.0</v>
      </c>
      <c r="D45" s="4">
        <v>42397.0</v>
      </c>
      <c r="E45" s="4">
        <v>42400.0</v>
      </c>
      <c r="F45" s="4">
        <v>42399.0</v>
      </c>
      <c r="G45" s="1">
        <v>2.0</v>
      </c>
      <c r="H45" s="1">
        <v>7.0</v>
      </c>
      <c r="I45" s="3" t="str">
        <f>VLOOKUP(B45,Customers!A:J, 10,FALSE)</f>
        <v>Olympia Figueroa</v>
      </c>
      <c r="J45" s="3" t="str">
        <f>VLOOKUP(B45,Customers!A:J,8,FALSE)</f>
        <v>NY</v>
      </c>
      <c r="K45" s="3" t="str">
        <f>VLOOKUP(B45,Customers!A:J,7,FALSE)</f>
        <v>Hopewell Junction</v>
      </c>
      <c r="L45" s="3" t="str">
        <f>VLOOKUP(H45,Staff!A:I,9,FALSE)</f>
        <v>Venita Daniel</v>
      </c>
      <c r="M45" s="3" t="str">
        <f>VLOOKUP(G45,Store!A:H,2,FALSE)</f>
        <v>Baldwin Bikes</v>
      </c>
      <c r="N45" s="3" t="str">
        <f>VLOOKUP(G45,Store!A:H,6,FALSE)</f>
        <v>Baldwin</v>
      </c>
      <c r="O45" s="3" t="s">
        <v>16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>
        <v>45.0</v>
      </c>
      <c r="B46" s="1">
        <v>1220.0</v>
      </c>
      <c r="C46" s="1">
        <v>4.0</v>
      </c>
      <c r="D46" s="4">
        <v>42397.0</v>
      </c>
      <c r="E46" s="4">
        <v>42400.0</v>
      </c>
      <c r="F46" s="4">
        <v>42400.0</v>
      </c>
      <c r="G46" s="1">
        <v>2.0</v>
      </c>
      <c r="H46" s="1">
        <v>7.0</v>
      </c>
      <c r="I46" s="3" t="str">
        <f>VLOOKUP(B46,Customers!A:J, 10,FALSE)</f>
        <v>Carissa Cross</v>
      </c>
      <c r="J46" s="3" t="str">
        <f>VLOOKUP(B46,Customers!A:J,8,FALSE)</f>
        <v>NY</v>
      </c>
      <c r="K46" s="3" t="str">
        <f>VLOOKUP(B46,Customers!A:J,7,FALSE)</f>
        <v>Huntington Station</v>
      </c>
      <c r="L46" s="3" t="str">
        <f>VLOOKUP(H46,Staff!A:I,9,FALSE)</f>
        <v>Venita Daniel</v>
      </c>
      <c r="M46" s="3" t="str">
        <f>VLOOKUP(G46,Store!A:H,2,FALSE)</f>
        <v>Baldwin Bikes</v>
      </c>
      <c r="N46" s="3" t="str">
        <f>VLOOKUP(G46,Store!A:H,6,FALSE)</f>
        <v>Baldwin</v>
      </c>
      <c r="O46" s="3" t="s">
        <v>16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>
        <v>46.0</v>
      </c>
      <c r="B47" s="1">
        <v>746.0</v>
      </c>
      <c r="C47" s="1">
        <v>4.0</v>
      </c>
      <c r="D47" s="4">
        <v>42398.0</v>
      </c>
      <c r="E47" s="4">
        <v>42400.0</v>
      </c>
      <c r="F47" s="4">
        <v>42400.0</v>
      </c>
      <c r="G47" s="1">
        <v>2.0</v>
      </c>
      <c r="H47" s="1">
        <v>7.0</v>
      </c>
      <c r="I47" s="3" t="str">
        <f>VLOOKUP(B47,Customers!A:J, 10,FALSE)</f>
        <v>Eldridge Greer</v>
      </c>
      <c r="J47" s="3" t="str">
        <f>VLOOKUP(B47,Customers!A:J,8,FALSE)</f>
        <v>NY</v>
      </c>
      <c r="K47" s="3" t="str">
        <f>VLOOKUP(B47,Customers!A:J,7,FALSE)</f>
        <v>Central Islip</v>
      </c>
      <c r="L47" s="3" t="str">
        <f>VLOOKUP(H47,Staff!A:I,9,FALSE)</f>
        <v>Venita Daniel</v>
      </c>
      <c r="M47" s="3" t="str">
        <f>VLOOKUP(G47,Store!A:H,2,FALSE)</f>
        <v>Baldwin Bikes</v>
      </c>
      <c r="N47" s="3" t="str">
        <f>VLOOKUP(G47,Store!A:H,6,FALSE)</f>
        <v>Baldwin</v>
      </c>
      <c r="O47" s="3" t="s">
        <v>16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>
        <v>47.0</v>
      </c>
      <c r="B48" s="1">
        <v>1234.0</v>
      </c>
      <c r="C48" s="1">
        <v>4.0</v>
      </c>
      <c r="D48" s="4">
        <v>42398.0</v>
      </c>
      <c r="E48" s="4">
        <v>42399.0</v>
      </c>
      <c r="F48" s="4">
        <v>42400.0</v>
      </c>
      <c r="G48" s="1">
        <v>2.0</v>
      </c>
      <c r="H48" s="1">
        <v>7.0</v>
      </c>
      <c r="I48" s="3" t="str">
        <f>VLOOKUP(B48,Customers!A:J, 10,FALSE)</f>
        <v>Joshua Berg</v>
      </c>
      <c r="J48" s="3" t="str">
        <f>VLOOKUP(B48,Customers!A:J,8,FALSE)</f>
        <v>NY</v>
      </c>
      <c r="K48" s="3" t="str">
        <f>VLOOKUP(B48,Customers!A:J,7,FALSE)</f>
        <v>Ossining</v>
      </c>
      <c r="L48" s="3" t="str">
        <f>VLOOKUP(H48,Staff!A:I,9,FALSE)</f>
        <v>Venita Daniel</v>
      </c>
      <c r="M48" s="3" t="str">
        <f>VLOOKUP(G48,Store!A:H,2,FALSE)</f>
        <v>Baldwin Bikes</v>
      </c>
      <c r="N48" s="3" t="str">
        <f>VLOOKUP(G48,Store!A:H,6,FALSE)</f>
        <v>Baldwin</v>
      </c>
      <c r="O48" s="3" t="s">
        <v>16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>
        <v>48.0</v>
      </c>
      <c r="B49" s="1">
        <v>1012.0</v>
      </c>
      <c r="C49" s="1">
        <v>4.0</v>
      </c>
      <c r="D49" s="4">
        <v>42399.0</v>
      </c>
      <c r="E49" s="4">
        <v>42401.0</v>
      </c>
      <c r="F49" s="4">
        <v>42402.0</v>
      </c>
      <c r="G49" s="1">
        <v>2.0</v>
      </c>
      <c r="H49" s="1">
        <v>7.0</v>
      </c>
      <c r="I49" s="3" t="str">
        <f>VLOOKUP(B49,Customers!A:J, 10,FALSE)</f>
        <v>Josephine Dale</v>
      </c>
      <c r="J49" s="3" t="str">
        <f>VLOOKUP(B49,Customers!A:J,8,FALSE)</f>
        <v>NY</v>
      </c>
      <c r="K49" s="3" t="str">
        <f>VLOOKUP(B49,Customers!A:J,7,FALSE)</f>
        <v>Baldwinsville</v>
      </c>
      <c r="L49" s="3" t="str">
        <f>VLOOKUP(H49,Staff!A:I,9,FALSE)</f>
        <v>Venita Daniel</v>
      </c>
      <c r="M49" s="3" t="str">
        <f>VLOOKUP(G49,Store!A:H,2,FALSE)</f>
        <v>Baldwin Bikes</v>
      </c>
      <c r="N49" s="3" t="str">
        <f>VLOOKUP(G49,Store!A:H,6,FALSE)</f>
        <v>Baldwin</v>
      </c>
      <c r="O49" s="3" t="s">
        <v>16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>
        <v>49.0</v>
      </c>
      <c r="B50" s="1">
        <v>608.0</v>
      </c>
      <c r="C50" s="1">
        <v>4.0</v>
      </c>
      <c r="D50" s="4">
        <v>42400.0</v>
      </c>
      <c r="E50" s="4">
        <v>42401.0</v>
      </c>
      <c r="F50" s="4">
        <v>42402.0</v>
      </c>
      <c r="G50" s="1">
        <v>2.0</v>
      </c>
      <c r="H50" s="1">
        <v>6.0</v>
      </c>
      <c r="I50" s="3" t="str">
        <f>VLOOKUP(B50,Customers!A:J, 10,FALSE)</f>
        <v>Taisha Vang</v>
      </c>
      <c r="J50" s="3" t="str">
        <f>VLOOKUP(B50,Customers!A:J,8,FALSE)</f>
        <v>NY</v>
      </c>
      <c r="K50" s="3" t="str">
        <f>VLOOKUP(B50,Customers!A:J,7,FALSE)</f>
        <v>Shirley</v>
      </c>
      <c r="L50" s="3" t="str">
        <f>VLOOKUP(H50,Staff!A:I,9,FALSE)</f>
        <v>Marcelene Boyer</v>
      </c>
      <c r="M50" s="3" t="str">
        <f>VLOOKUP(G50,Store!A:H,2,FALSE)</f>
        <v>Baldwin Bikes</v>
      </c>
      <c r="N50" s="3" t="str">
        <f>VLOOKUP(G50,Store!A:H,6,FALSE)</f>
        <v>Baldwin</v>
      </c>
      <c r="O50" s="3" t="s">
        <v>16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>
        <v>50.0</v>
      </c>
      <c r="B51" s="1">
        <v>872.0</v>
      </c>
      <c r="C51" s="1">
        <v>4.0</v>
      </c>
      <c r="D51" s="4">
        <v>42400.0</v>
      </c>
      <c r="E51" s="4">
        <v>42403.0</v>
      </c>
      <c r="F51" s="4">
        <v>42402.0</v>
      </c>
      <c r="G51" s="1">
        <v>3.0</v>
      </c>
      <c r="H51" s="1">
        <v>8.0</v>
      </c>
      <c r="I51" s="3" t="str">
        <f>VLOOKUP(B51,Customers!A:J, 10,FALSE)</f>
        <v>Silas Tate</v>
      </c>
      <c r="J51" s="3" t="str">
        <f>VLOOKUP(B51,Customers!A:J,8,FALSE)</f>
        <v>TX</v>
      </c>
      <c r="K51" s="3" t="str">
        <f>VLOOKUP(B51,Customers!A:J,7,FALSE)</f>
        <v>Corpus Christi</v>
      </c>
      <c r="L51" s="3" t="str">
        <f>VLOOKUP(H51,Staff!A:I,9,FALSE)</f>
        <v>Kali Vargas</v>
      </c>
      <c r="M51" s="3" t="str">
        <f>VLOOKUP(G51,Store!A:H,2,FALSE)</f>
        <v>Rowlett Bikes</v>
      </c>
      <c r="N51" s="3" t="str">
        <f>VLOOKUP(G51,Store!A:H,6,FALSE)</f>
        <v>Rowlett</v>
      </c>
      <c r="O51" s="3" t="s">
        <v>17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>
        <v>51.0</v>
      </c>
      <c r="B52" s="1">
        <v>1047.0</v>
      </c>
      <c r="C52" s="1">
        <v>4.0</v>
      </c>
      <c r="D52" s="4">
        <v>42401.0</v>
      </c>
      <c r="E52" s="4">
        <v>42402.0</v>
      </c>
      <c r="F52" s="4">
        <v>42403.0</v>
      </c>
      <c r="G52" s="1">
        <v>2.0</v>
      </c>
      <c r="H52" s="1">
        <v>7.0</v>
      </c>
      <c r="I52" s="3" t="str">
        <f>VLOOKUP(B52,Customers!A:J, 10,FALSE)</f>
        <v>Jamaal Baker</v>
      </c>
      <c r="J52" s="3" t="str">
        <f>VLOOKUP(B52,Customers!A:J,8,FALSE)</f>
        <v>NY</v>
      </c>
      <c r="K52" s="3" t="str">
        <f>VLOOKUP(B52,Customers!A:J,7,FALSE)</f>
        <v>Elmhurst</v>
      </c>
      <c r="L52" s="3" t="str">
        <f>VLOOKUP(H52,Staff!A:I,9,FALSE)</f>
        <v>Venita Daniel</v>
      </c>
      <c r="M52" s="3" t="str">
        <f>VLOOKUP(G52,Store!A:H,2,FALSE)</f>
        <v>Baldwin Bikes</v>
      </c>
      <c r="N52" s="3" t="str">
        <f>VLOOKUP(G52,Store!A:H,6,FALSE)</f>
        <v>Baldwin</v>
      </c>
      <c r="O52" s="3" t="s">
        <v>16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>
        <v>52.0</v>
      </c>
      <c r="B53" s="1">
        <v>767.0</v>
      </c>
      <c r="C53" s="1">
        <v>4.0</v>
      </c>
      <c r="D53" s="4">
        <v>42403.0</v>
      </c>
      <c r="E53" s="4">
        <v>42404.0</v>
      </c>
      <c r="F53" s="4">
        <v>42405.0</v>
      </c>
      <c r="G53" s="1">
        <v>1.0</v>
      </c>
      <c r="H53" s="1">
        <v>2.0</v>
      </c>
      <c r="I53" s="3" t="str">
        <f>VLOOKUP(B53,Customers!A:J, 10,FALSE)</f>
        <v>Twana Arnold</v>
      </c>
      <c r="J53" s="3" t="str">
        <f>VLOOKUP(B53,Customers!A:J,8,FALSE)</f>
        <v>CA</v>
      </c>
      <c r="K53" s="3" t="str">
        <f>VLOOKUP(B53,Customers!A:J,7,FALSE)</f>
        <v>Anaheim</v>
      </c>
      <c r="L53" s="3" t="str">
        <f>VLOOKUP(H53,Staff!A:I,9,FALSE)</f>
        <v>Mireya Copeland</v>
      </c>
      <c r="M53" s="3" t="str">
        <f>VLOOKUP(G53,Store!A:H,2,FALSE)</f>
        <v>Santa Cruz Bikes</v>
      </c>
      <c r="N53" s="3" t="str">
        <f>VLOOKUP(G53,Store!A:H,6,FALSE)</f>
        <v>Santa Cruz</v>
      </c>
      <c r="O53" s="3" t="s">
        <v>15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>
        <v>53.0</v>
      </c>
      <c r="B54" s="1">
        <v>965.0</v>
      </c>
      <c r="C54" s="1">
        <v>4.0</v>
      </c>
      <c r="D54" s="4">
        <v>42403.0</v>
      </c>
      <c r="E54" s="4">
        <v>42404.0</v>
      </c>
      <c r="F54" s="4">
        <v>42405.0</v>
      </c>
      <c r="G54" s="1">
        <v>2.0</v>
      </c>
      <c r="H54" s="1">
        <v>6.0</v>
      </c>
      <c r="I54" s="3" t="str">
        <f>VLOOKUP(B54,Customers!A:J, 10,FALSE)</f>
        <v>Margit Osborn</v>
      </c>
      <c r="J54" s="3" t="str">
        <f>VLOOKUP(B54,Customers!A:J,8,FALSE)</f>
        <v>NY</v>
      </c>
      <c r="K54" s="3" t="str">
        <f>VLOOKUP(B54,Customers!A:J,7,FALSE)</f>
        <v>Plainview</v>
      </c>
      <c r="L54" s="3" t="str">
        <f>VLOOKUP(H54,Staff!A:I,9,FALSE)</f>
        <v>Marcelene Boyer</v>
      </c>
      <c r="M54" s="3" t="str">
        <f>VLOOKUP(G54,Store!A:H,2,FALSE)</f>
        <v>Baldwin Bikes</v>
      </c>
      <c r="N54" s="3" t="str">
        <f>VLOOKUP(G54,Store!A:H,6,FALSE)</f>
        <v>Baldwin</v>
      </c>
      <c r="O54" s="3" t="s">
        <v>16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>
        <v>54.0</v>
      </c>
      <c r="B55" s="1">
        <v>535.0</v>
      </c>
      <c r="C55" s="1">
        <v>4.0</v>
      </c>
      <c r="D55" s="4">
        <v>42404.0</v>
      </c>
      <c r="E55" s="4">
        <v>42407.0</v>
      </c>
      <c r="F55" s="4">
        <v>42407.0</v>
      </c>
      <c r="G55" s="1">
        <v>2.0</v>
      </c>
      <c r="H55" s="1">
        <v>7.0</v>
      </c>
      <c r="I55" s="3" t="str">
        <f>VLOOKUP(B55,Customers!A:J, 10,FALSE)</f>
        <v>Inge Olsen</v>
      </c>
      <c r="J55" s="3" t="str">
        <f>VLOOKUP(B55,Customers!A:J,8,FALSE)</f>
        <v>NY</v>
      </c>
      <c r="K55" s="3" t="str">
        <f>VLOOKUP(B55,Customers!A:J,7,FALSE)</f>
        <v>Long Beach</v>
      </c>
      <c r="L55" s="3" t="str">
        <f>VLOOKUP(H55,Staff!A:I,9,FALSE)</f>
        <v>Venita Daniel</v>
      </c>
      <c r="M55" s="3" t="str">
        <f>VLOOKUP(G55,Store!A:H,2,FALSE)</f>
        <v>Baldwin Bikes</v>
      </c>
      <c r="N55" s="3" t="str">
        <f>VLOOKUP(G55,Store!A:H,6,FALSE)</f>
        <v>Baldwin</v>
      </c>
      <c r="O55" s="3" t="s">
        <v>16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>
        <v>55.0</v>
      </c>
      <c r="B56" s="1">
        <v>1173.0</v>
      </c>
      <c r="C56" s="1">
        <v>4.0</v>
      </c>
      <c r="D56" s="4">
        <v>42404.0</v>
      </c>
      <c r="E56" s="4">
        <v>42407.0</v>
      </c>
      <c r="F56" s="4">
        <v>42406.0</v>
      </c>
      <c r="G56" s="1">
        <v>2.0</v>
      </c>
      <c r="H56" s="1">
        <v>6.0</v>
      </c>
      <c r="I56" s="3" t="str">
        <f>VLOOKUP(B56,Customers!A:J, 10,FALSE)</f>
        <v>Chanel May</v>
      </c>
      <c r="J56" s="3" t="str">
        <f>VLOOKUP(B56,Customers!A:J,8,FALSE)</f>
        <v>NY</v>
      </c>
      <c r="K56" s="3" t="str">
        <f>VLOOKUP(B56,Customers!A:J,7,FALSE)</f>
        <v>Garden City</v>
      </c>
      <c r="L56" s="3" t="str">
        <f>VLOOKUP(H56,Staff!A:I,9,FALSE)</f>
        <v>Marcelene Boyer</v>
      </c>
      <c r="M56" s="3" t="str">
        <f>VLOOKUP(G56,Store!A:H,2,FALSE)</f>
        <v>Baldwin Bikes</v>
      </c>
      <c r="N56" s="3" t="str">
        <f>VLOOKUP(G56,Store!A:H,6,FALSE)</f>
        <v>Baldwin</v>
      </c>
      <c r="O56" s="3" t="s">
        <v>16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>
        <v>56.0</v>
      </c>
      <c r="B57" s="1">
        <v>1241.0</v>
      </c>
      <c r="C57" s="1">
        <v>4.0</v>
      </c>
      <c r="D57" s="4">
        <v>42404.0</v>
      </c>
      <c r="E57" s="4">
        <v>42406.0</v>
      </c>
      <c r="F57" s="4">
        <v>42407.0</v>
      </c>
      <c r="G57" s="1">
        <v>2.0</v>
      </c>
      <c r="H57" s="1">
        <v>6.0</v>
      </c>
      <c r="I57" s="3" t="str">
        <f>VLOOKUP(B57,Customers!A:J, 10,FALSE)</f>
        <v>Nathaniel Davidson</v>
      </c>
      <c r="J57" s="3" t="str">
        <f>VLOOKUP(B57,Customers!A:J,8,FALSE)</f>
        <v>NY</v>
      </c>
      <c r="K57" s="3" t="str">
        <f>VLOOKUP(B57,Customers!A:J,7,FALSE)</f>
        <v>Rome</v>
      </c>
      <c r="L57" s="3" t="str">
        <f>VLOOKUP(H57,Staff!A:I,9,FALSE)</f>
        <v>Marcelene Boyer</v>
      </c>
      <c r="M57" s="3" t="str">
        <f>VLOOKUP(G57,Store!A:H,2,FALSE)</f>
        <v>Baldwin Bikes</v>
      </c>
      <c r="N57" s="3" t="str">
        <f>VLOOKUP(G57,Store!A:H,6,FALSE)</f>
        <v>Baldwin</v>
      </c>
      <c r="O57" s="3" t="s">
        <v>16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>
        <v>57.0</v>
      </c>
      <c r="B58" s="1">
        <v>1305.0</v>
      </c>
      <c r="C58" s="1">
        <v>4.0</v>
      </c>
      <c r="D58" s="4">
        <v>42404.0</v>
      </c>
      <c r="E58" s="4">
        <v>42406.0</v>
      </c>
      <c r="F58" s="4">
        <v>42406.0</v>
      </c>
      <c r="G58" s="1">
        <v>2.0</v>
      </c>
      <c r="H58" s="1">
        <v>7.0</v>
      </c>
      <c r="I58" s="3" t="str">
        <f>VLOOKUP(B58,Customers!A:J, 10,FALSE)</f>
        <v>Dalia Carson</v>
      </c>
      <c r="J58" s="3" t="str">
        <f>VLOOKUP(B58,Customers!A:J,8,FALSE)</f>
        <v>NY</v>
      </c>
      <c r="K58" s="3" t="str">
        <f>VLOOKUP(B58,Customers!A:J,7,FALSE)</f>
        <v>Rochester</v>
      </c>
      <c r="L58" s="3" t="str">
        <f>VLOOKUP(H58,Staff!A:I,9,FALSE)</f>
        <v>Venita Daniel</v>
      </c>
      <c r="M58" s="3" t="str">
        <f>VLOOKUP(G58,Store!A:H,2,FALSE)</f>
        <v>Baldwin Bikes</v>
      </c>
      <c r="N58" s="3" t="str">
        <f>VLOOKUP(G58,Store!A:H,6,FALSE)</f>
        <v>Baldwin</v>
      </c>
      <c r="O58" s="3" t="s">
        <v>16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>
        <v>58.0</v>
      </c>
      <c r="B59" s="1">
        <v>504.0</v>
      </c>
      <c r="C59" s="1">
        <v>4.0</v>
      </c>
      <c r="D59" s="4">
        <v>42405.0</v>
      </c>
      <c r="E59" s="4">
        <v>42407.0</v>
      </c>
      <c r="F59" s="4">
        <v>42407.0</v>
      </c>
      <c r="G59" s="1">
        <v>2.0</v>
      </c>
      <c r="H59" s="1">
        <v>6.0</v>
      </c>
      <c r="I59" s="3" t="str">
        <f>VLOOKUP(B59,Customers!A:J, 10,FALSE)</f>
        <v>Tiana Henderson</v>
      </c>
      <c r="J59" s="3" t="str">
        <f>VLOOKUP(B59,Customers!A:J,8,FALSE)</f>
        <v>NY</v>
      </c>
      <c r="K59" s="3" t="str">
        <f>VLOOKUP(B59,Customers!A:J,7,FALSE)</f>
        <v>Franklin Square</v>
      </c>
      <c r="L59" s="3" t="str">
        <f>VLOOKUP(H59,Staff!A:I,9,FALSE)</f>
        <v>Marcelene Boyer</v>
      </c>
      <c r="M59" s="3" t="str">
        <f>VLOOKUP(G59,Store!A:H,2,FALSE)</f>
        <v>Baldwin Bikes</v>
      </c>
      <c r="N59" s="3" t="str">
        <f>VLOOKUP(G59,Store!A:H,6,FALSE)</f>
        <v>Baldwin</v>
      </c>
      <c r="O59" s="3" t="s">
        <v>16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>
        <v>59.0</v>
      </c>
      <c r="B60" s="1">
        <v>563.0</v>
      </c>
      <c r="C60" s="1">
        <v>4.0</v>
      </c>
      <c r="D60" s="4">
        <v>42405.0</v>
      </c>
      <c r="E60" s="4">
        <v>42407.0</v>
      </c>
      <c r="F60" s="4">
        <v>42406.0</v>
      </c>
      <c r="G60" s="1">
        <v>2.0</v>
      </c>
      <c r="H60" s="1">
        <v>7.0</v>
      </c>
      <c r="I60" s="3" t="str">
        <f>VLOOKUP(B60,Customers!A:J, 10,FALSE)</f>
        <v>Rodney Odom</v>
      </c>
      <c r="J60" s="3" t="str">
        <f>VLOOKUP(B60,Customers!A:J,8,FALSE)</f>
        <v>NY</v>
      </c>
      <c r="K60" s="3" t="str">
        <f>VLOOKUP(B60,Customers!A:J,7,FALSE)</f>
        <v>Richmond Hill</v>
      </c>
      <c r="L60" s="3" t="str">
        <f>VLOOKUP(H60,Staff!A:I,9,FALSE)</f>
        <v>Venita Daniel</v>
      </c>
      <c r="M60" s="3" t="str">
        <f>VLOOKUP(G60,Store!A:H,2,FALSE)</f>
        <v>Baldwin Bikes</v>
      </c>
      <c r="N60" s="3" t="str">
        <f>VLOOKUP(G60,Store!A:H,6,FALSE)</f>
        <v>Baldwin</v>
      </c>
      <c r="O60" s="3" t="s">
        <v>16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>
        <v>60.0</v>
      </c>
      <c r="B61" s="1">
        <v>151.0</v>
      </c>
      <c r="C61" s="1">
        <v>4.0</v>
      </c>
      <c r="D61" s="4">
        <v>42406.0</v>
      </c>
      <c r="E61" s="4">
        <v>42408.0</v>
      </c>
      <c r="F61" s="4">
        <v>42407.0</v>
      </c>
      <c r="G61" s="1">
        <v>1.0</v>
      </c>
      <c r="H61" s="1">
        <v>3.0</v>
      </c>
      <c r="I61" s="3" t="str">
        <f>VLOOKUP(B61,Customers!A:J, 10,FALSE)</f>
        <v>Joesph Delacruz</v>
      </c>
      <c r="J61" s="3" t="str">
        <f>VLOOKUP(B61,Customers!A:J,8,FALSE)</f>
        <v>CA</v>
      </c>
      <c r="K61" s="3" t="str">
        <f>VLOOKUP(B61,Customers!A:J,7,FALSE)</f>
        <v>Atwater</v>
      </c>
      <c r="L61" s="3" t="str">
        <f>VLOOKUP(H61,Staff!A:I,9,FALSE)</f>
        <v>Genna Serrano</v>
      </c>
      <c r="M61" s="3" t="str">
        <f>VLOOKUP(G61,Store!A:H,2,FALSE)</f>
        <v>Santa Cruz Bikes</v>
      </c>
      <c r="N61" s="3" t="str">
        <f>VLOOKUP(G61,Store!A:H,6,FALSE)</f>
        <v>Santa Cruz</v>
      </c>
      <c r="O61" s="3" t="s">
        <v>15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>
        <v>61.0</v>
      </c>
      <c r="B62" s="1">
        <v>277.0</v>
      </c>
      <c r="C62" s="1">
        <v>4.0</v>
      </c>
      <c r="D62" s="4">
        <v>42406.0</v>
      </c>
      <c r="E62" s="4">
        <v>42409.0</v>
      </c>
      <c r="F62" s="4">
        <v>42409.0</v>
      </c>
      <c r="G62" s="1">
        <v>2.0</v>
      </c>
      <c r="H62" s="1">
        <v>7.0</v>
      </c>
      <c r="I62" s="3" t="str">
        <f>VLOOKUP(B62,Customers!A:J, 10,FALSE)</f>
        <v>Mark Garrett</v>
      </c>
      <c r="J62" s="3" t="str">
        <f>VLOOKUP(B62,Customers!A:J,8,FALSE)</f>
        <v>NY</v>
      </c>
      <c r="K62" s="3" t="str">
        <f>VLOOKUP(B62,Customers!A:J,7,FALSE)</f>
        <v>Monroe</v>
      </c>
      <c r="L62" s="3" t="str">
        <f>VLOOKUP(H62,Staff!A:I,9,FALSE)</f>
        <v>Venita Daniel</v>
      </c>
      <c r="M62" s="3" t="str">
        <f>VLOOKUP(G62,Store!A:H,2,FALSE)</f>
        <v>Baldwin Bikes</v>
      </c>
      <c r="N62" s="3" t="str">
        <f>VLOOKUP(G62,Store!A:H,6,FALSE)</f>
        <v>Baldwin</v>
      </c>
      <c r="O62" s="3" t="s">
        <v>16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>
        <v>62.0</v>
      </c>
      <c r="B63" s="1">
        <v>208.0</v>
      </c>
      <c r="C63" s="1">
        <v>4.0</v>
      </c>
      <c r="D63" s="4">
        <v>42407.0</v>
      </c>
      <c r="E63" s="4">
        <v>42410.0</v>
      </c>
      <c r="F63" s="4">
        <v>42410.0</v>
      </c>
      <c r="G63" s="1">
        <v>1.0</v>
      </c>
      <c r="H63" s="1">
        <v>2.0</v>
      </c>
      <c r="I63" s="3" t="str">
        <f>VLOOKUP(B63,Customers!A:J, 10,FALSE)</f>
        <v>Denis Logan</v>
      </c>
      <c r="J63" s="3" t="str">
        <f>VLOOKUP(B63,Customers!A:J,8,FALSE)</f>
        <v>CA</v>
      </c>
      <c r="K63" s="3" t="str">
        <f>VLOOKUP(B63,Customers!A:J,7,FALSE)</f>
        <v>Ridgecrest</v>
      </c>
      <c r="L63" s="3" t="str">
        <f>VLOOKUP(H63,Staff!A:I,9,FALSE)</f>
        <v>Mireya Copeland</v>
      </c>
      <c r="M63" s="3" t="str">
        <f>VLOOKUP(G63,Store!A:H,2,FALSE)</f>
        <v>Santa Cruz Bikes</v>
      </c>
      <c r="N63" s="3" t="str">
        <f>VLOOKUP(G63,Store!A:H,6,FALSE)</f>
        <v>Santa Cruz</v>
      </c>
      <c r="O63" s="3" t="s">
        <v>15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>
        <v>63.0</v>
      </c>
      <c r="B64" s="1">
        <v>1075.0</v>
      </c>
      <c r="C64" s="1">
        <v>4.0</v>
      </c>
      <c r="D64" s="4">
        <v>42407.0</v>
      </c>
      <c r="E64" s="4">
        <v>42409.0</v>
      </c>
      <c r="F64" s="4">
        <v>42409.0</v>
      </c>
      <c r="G64" s="1">
        <v>2.0</v>
      </c>
      <c r="H64" s="1">
        <v>7.0</v>
      </c>
      <c r="I64" s="3" t="str">
        <f>VLOOKUP(B64,Customers!A:J, 10,FALSE)</f>
        <v>Dann Huff</v>
      </c>
      <c r="J64" s="3" t="str">
        <f>VLOOKUP(B64,Customers!A:J,8,FALSE)</f>
        <v>NY</v>
      </c>
      <c r="K64" s="3" t="str">
        <f>VLOOKUP(B64,Customers!A:J,7,FALSE)</f>
        <v>Huntington Station</v>
      </c>
      <c r="L64" s="3" t="str">
        <f>VLOOKUP(H64,Staff!A:I,9,FALSE)</f>
        <v>Venita Daniel</v>
      </c>
      <c r="M64" s="3" t="str">
        <f>VLOOKUP(G64,Store!A:H,2,FALSE)</f>
        <v>Baldwin Bikes</v>
      </c>
      <c r="N64" s="3" t="str">
        <f>VLOOKUP(G64,Store!A:H,6,FALSE)</f>
        <v>Baldwin</v>
      </c>
      <c r="O64" s="3" t="s">
        <v>16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>
        <v>64.0</v>
      </c>
      <c r="B65" s="1">
        <v>1185.0</v>
      </c>
      <c r="C65" s="1">
        <v>4.0</v>
      </c>
      <c r="D65" s="4">
        <v>42407.0</v>
      </c>
      <c r="E65" s="4">
        <v>42408.0</v>
      </c>
      <c r="F65" s="4">
        <v>42409.0</v>
      </c>
      <c r="G65" s="1">
        <v>2.0</v>
      </c>
      <c r="H65" s="1">
        <v>6.0</v>
      </c>
      <c r="I65" s="3" t="str">
        <f>VLOOKUP(B65,Customers!A:J, 10,FALSE)</f>
        <v>Corine Stuart</v>
      </c>
      <c r="J65" s="3" t="str">
        <f>VLOOKUP(B65,Customers!A:J,8,FALSE)</f>
        <v>NY</v>
      </c>
      <c r="K65" s="3" t="str">
        <f>VLOOKUP(B65,Customers!A:J,7,FALSE)</f>
        <v>Clifton Park</v>
      </c>
      <c r="L65" s="3" t="str">
        <f>VLOOKUP(H65,Staff!A:I,9,FALSE)</f>
        <v>Marcelene Boyer</v>
      </c>
      <c r="M65" s="3" t="str">
        <f>VLOOKUP(G65,Store!A:H,2,FALSE)</f>
        <v>Baldwin Bikes</v>
      </c>
      <c r="N65" s="3" t="str">
        <f>VLOOKUP(G65,Store!A:H,6,FALSE)</f>
        <v>Baldwin</v>
      </c>
      <c r="O65" s="3" t="s">
        <v>16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>
        <v>65.0</v>
      </c>
      <c r="B66" s="1">
        <v>996.0</v>
      </c>
      <c r="C66" s="1">
        <v>4.0</v>
      </c>
      <c r="D66" s="4">
        <v>42408.0</v>
      </c>
      <c r="E66" s="4">
        <v>42409.0</v>
      </c>
      <c r="F66" s="4">
        <v>42411.0</v>
      </c>
      <c r="G66" s="1">
        <v>2.0</v>
      </c>
      <c r="H66" s="1">
        <v>6.0</v>
      </c>
      <c r="I66" s="3" t="str">
        <f>VLOOKUP(B66,Customers!A:J, 10,FALSE)</f>
        <v>Serafina Clemons</v>
      </c>
      <c r="J66" s="3" t="str">
        <f>VLOOKUP(B66,Customers!A:J,8,FALSE)</f>
        <v>NY</v>
      </c>
      <c r="K66" s="3" t="str">
        <f>VLOOKUP(B66,Customers!A:J,7,FALSE)</f>
        <v>Shirley</v>
      </c>
      <c r="L66" s="3" t="str">
        <f>VLOOKUP(H66,Staff!A:I,9,FALSE)</f>
        <v>Marcelene Boyer</v>
      </c>
      <c r="M66" s="3" t="str">
        <f>VLOOKUP(G66,Store!A:H,2,FALSE)</f>
        <v>Baldwin Bikes</v>
      </c>
      <c r="N66" s="3" t="str">
        <f>VLOOKUP(G66,Store!A:H,6,FALSE)</f>
        <v>Baldwin</v>
      </c>
      <c r="O66" s="3" t="s">
        <v>16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>
        <v>66.0</v>
      </c>
      <c r="B67" s="1">
        <v>1253.0</v>
      </c>
      <c r="C67" s="1">
        <v>4.0</v>
      </c>
      <c r="D67" s="4">
        <v>42409.0</v>
      </c>
      <c r="E67" s="4">
        <v>42412.0</v>
      </c>
      <c r="F67" s="4">
        <v>42412.0</v>
      </c>
      <c r="G67" s="1">
        <v>2.0</v>
      </c>
      <c r="H67" s="1">
        <v>7.0</v>
      </c>
      <c r="I67" s="3" t="str">
        <f>VLOOKUP(B67,Customers!A:J, 10,FALSE)</f>
        <v>Susannah Fields</v>
      </c>
      <c r="J67" s="3" t="str">
        <f>VLOOKUP(B67,Customers!A:J,8,FALSE)</f>
        <v>NY</v>
      </c>
      <c r="K67" s="3" t="str">
        <f>VLOOKUP(B67,Customers!A:J,7,FALSE)</f>
        <v>Far Rockaway</v>
      </c>
      <c r="L67" s="3" t="str">
        <f>VLOOKUP(H67,Staff!A:I,9,FALSE)</f>
        <v>Venita Daniel</v>
      </c>
      <c r="M67" s="3" t="str">
        <f>VLOOKUP(G67,Store!A:H,2,FALSE)</f>
        <v>Baldwin Bikes</v>
      </c>
      <c r="N67" s="3" t="str">
        <f>VLOOKUP(G67,Store!A:H,6,FALSE)</f>
        <v>Baldwin</v>
      </c>
      <c r="O67" s="3" t="s">
        <v>16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>
        <v>67.0</v>
      </c>
      <c r="B68" s="1">
        <v>526.0</v>
      </c>
      <c r="C68" s="1">
        <v>4.0</v>
      </c>
      <c r="D68" s="4">
        <v>42409.0</v>
      </c>
      <c r="E68" s="4">
        <v>42411.0</v>
      </c>
      <c r="F68" s="4">
        <v>42410.0</v>
      </c>
      <c r="G68" s="1">
        <v>3.0</v>
      </c>
      <c r="H68" s="1">
        <v>8.0</v>
      </c>
      <c r="I68" s="3" t="str">
        <f>VLOOKUP(B68,Customers!A:J, 10,FALSE)</f>
        <v>Lazaro Moran</v>
      </c>
      <c r="J68" s="3" t="str">
        <f>VLOOKUP(B68,Customers!A:J,8,FALSE)</f>
        <v>TX</v>
      </c>
      <c r="K68" s="3" t="str">
        <f>VLOOKUP(B68,Customers!A:J,7,FALSE)</f>
        <v>Sugar Land</v>
      </c>
      <c r="L68" s="3" t="str">
        <f>VLOOKUP(H68,Staff!A:I,9,FALSE)</f>
        <v>Kali Vargas</v>
      </c>
      <c r="M68" s="3" t="str">
        <f>VLOOKUP(G68,Store!A:H,2,FALSE)</f>
        <v>Rowlett Bikes</v>
      </c>
      <c r="N68" s="3" t="str">
        <f>VLOOKUP(G68,Store!A:H,6,FALSE)</f>
        <v>Rowlett</v>
      </c>
      <c r="O68" s="3" t="s">
        <v>17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>
        <v>68.0</v>
      </c>
      <c r="B69" s="1">
        <v>381.0</v>
      </c>
      <c r="C69" s="1">
        <v>4.0</v>
      </c>
      <c r="D69" s="4">
        <v>42410.0</v>
      </c>
      <c r="E69" s="4">
        <v>42411.0</v>
      </c>
      <c r="F69" s="4">
        <v>42413.0</v>
      </c>
      <c r="G69" s="1">
        <v>2.0</v>
      </c>
      <c r="H69" s="1">
        <v>6.0</v>
      </c>
      <c r="I69" s="3" t="str">
        <f>VLOOKUP(B69,Customers!A:J, 10,FALSE)</f>
        <v>Kristen Alvarez</v>
      </c>
      <c r="J69" s="3" t="str">
        <f>VLOOKUP(B69,Customers!A:J,8,FALSE)</f>
        <v>NY</v>
      </c>
      <c r="K69" s="3" t="str">
        <f>VLOOKUP(B69,Customers!A:J,7,FALSE)</f>
        <v>Bronx</v>
      </c>
      <c r="L69" s="3" t="str">
        <f>VLOOKUP(H69,Staff!A:I,9,FALSE)</f>
        <v>Marcelene Boyer</v>
      </c>
      <c r="M69" s="3" t="str">
        <f>VLOOKUP(G69,Store!A:H,2,FALSE)</f>
        <v>Baldwin Bikes</v>
      </c>
      <c r="N69" s="3" t="str">
        <f>VLOOKUP(G69,Store!A:H,6,FALSE)</f>
        <v>Baldwin</v>
      </c>
      <c r="O69" s="3" t="s">
        <v>16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>
        <v>69.0</v>
      </c>
      <c r="B70" s="1">
        <v>1413.0</v>
      </c>
      <c r="C70" s="1">
        <v>4.0</v>
      </c>
      <c r="D70" s="4">
        <v>42410.0</v>
      </c>
      <c r="E70" s="4">
        <v>42412.0</v>
      </c>
      <c r="F70" s="4">
        <v>42411.0</v>
      </c>
      <c r="G70" s="1">
        <v>2.0</v>
      </c>
      <c r="H70" s="1">
        <v>7.0</v>
      </c>
      <c r="I70" s="3" t="str">
        <f>VLOOKUP(B70,Customers!A:J, 10,FALSE)</f>
        <v>Ophelia Decker</v>
      </c>
      <c r="J70" s="3" t="str">
        <f>VLOOKUP(B70,Customers!A:J,8,FALSE)</f>
        <v>NY</v>
      </c>
      <c r="K70" s="3" t="str">
        <f>VLOOKUP(B70,Customers!A:J,7,FALSE)</f>
        <v>New Windsor</v>
      </c>
      <c r="L70" s="3" t="str">
        <f>VLOOKUP(H70,Staff!A:I,9,FALSE)</f>
        <v>Venita Daniel</v>
      </c>
      <c r="M70" s="3" t="str">
        <f>VLOOKUP(G70,Store!A:H,2,FALSE)</f>
        <v>Baldwin Bikes</v>
      </c>
      <c r="N70" s="3" t="str">
        <f>VLOOKUP(G70,Store!A:H,6,FALSE)</f>
        <v>Baldwin</v>
      </c>
      <c r="O70" s="3" t="s">
        <v>16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>
        <v>70.0</v>
      </c>
      <c r="B71" s="1">
        <v>50.0</v>
      </c>
      <c r="C71" s="1">
        <v>3.0</v>
      </c>
      <c r="D71" s="4">
        <v>42411.0</v>
      </c>
      <c r="E71" s="4">
        <v>42411.0</v>
      </c>
      <c r="F71" s="1" t="s">
        <v>18</v>
      </c>
      <c r="G71" s="1">
        <v>3.0</v>
      </c>
      <c r="H71" s="1">
        <v>9.0</v>
      </c>
      <c r="I71" s="3" t="str">
        <f>VLOOKUP(B71,Customers!A:J, 10,FALSE)</f>
        <v>Cleotilde Booth</v>
      </c>
      <c r="J71" s="3" t="str">
        <f>VLOOKUP(B71,Customers!A:J,8,FALSE)</f>
        <v>TX</v>
      </c>
      <c r="K71" s="3" t="str">
        <f>VLOOKUP(B71,Customers!A:J,7,FALSE)</f>
        <v>Sugar Land</v>
      </c>
      <c r="L71" s="3" t="str">
        <f>VLOOKUP(H71,Staff!A:I,9,FALSE)</f>
        <v>Layla Terrell</v>
      </c>
      <c r="M71" s="3" t="str">
        <f>VLOOKUP(G71,Store!A:H,2,FALSE)</f>
        <v>Rowlett Bikes</v>
      </c>
      <c r="N71" s="3" t="str">
        <f>VLOOKUP(G71,Store!A:H,6,FALSE)</f>
        <v>Rowlett</v>
      </c>
      <c r="O71" s="3" t="s">
        <v>17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>
        <v>71.0</v>
      </c>
      <c r="B72" s="1">
        <v>797.0</v>
      </c>
      <c r="C72" s="1">
        <v>4.0</v>
      </c>
      <c r="D72" s="4">
        <v>42411.0</v>
      </c>
      <c r="E72" s="4">
        <v>42414.0</v>
      </c>
      <c r="F72" s="4">
        <v>42412.0</v>
      </c>
      <c r="G72" s="1">
        <v>2.0</v>
      </c>
      <c r="H72" s="1">
        <v>7.0</v>
      </c>
      <c r="I72" s="3" t="str">
        <f>VLOOKUP(B72,Customers!A:J, 10,FALSE)</f>
        <v>Cathey Lamb</v>
      </c>
      <c r="J72" s="3" t="str">
        <f>VLOOKUP(B72,Customers!A:J,8,FALSE)</f>
        <v>NY</v>
      </c>
      <c r="K72" s="3" t="str">
        <f>VLOOKUP(B72,Customers!A:J,7,FALSE)</f>
        <v>Bayside</v>
      </c>
      <c r="L72" s="3" t="str">
        <f>VLOOKUP(H72,Staff!A:I,9,FALSE)</f>
        <v>Venita Daniel</v>
      </c>
      <c r="M72" s="3" t="str">
        <f>VLOOKUP(G72,Store!A:H,2,FALSE)</f>
        <v>Baldwin Bikes</v>
      </c>
      <c r="N72" s="3" t="str">
        <f>VLOOKUP(G72,Store!A:H,6,FALSE)</f>
        <v>Baldwin</v>
      </c>
      <c r="O72" s="3" t="s">
        <v>16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>
        <v>72.0</v>
      </c>
      <c r="B73" s="1">
        <v>1386.0</v>
      </c>
      <c r="C73" s="1">
        <v>4.0</v>
      </c>
      <c r="D73" s="4">
        <v>42412.0</v>
      </c>
      <c r="E73" s="4">
        <v>42415.0</v>
      </c>
      <c r="F73" s="4">
        <v>42413.0</v>
      </c>
      <c r="G73" s="1">
        <v>1.0</v>
      </c>
      <c r="H73" s="1">
        <v>2.0</v>
      </c>
      <c r="I73" s="3" t="str">
        <f>VLOOKUP(B73,Customers!A:J, 10,FALSE)</f>
        <v>Cesar Wilkins</v>
      </c>
      <c r="J73" s="3" t="str">
        <f>VLOOKUP(B73,Customers!A:J,8,FALSE)</f>
        <v>CA</v>
      </c>
      <c r="K73" s="3" t="str">
        <f>VLOOKUP(B73,Customers!A:J,7,FALSE)</f>
        <v>San Diego</v>
      </c>
      <c r="L73" s="3" t="str">
        <f>VLOOKUP(H73,Staff!A:I,9,FALSE)</f>
        <v>Mireya Copeland</v>
      </c>
      <c r="M73" s="3" t="str">
        <f>VLOOKUP(G73,Store!A:H,2,FALSE)</f>
        <v>Santa Cruz Bikes</v>
      </c>
      <c r="N73" s="3" t="str">
        <f>VLOOKUP(G73,Store!A:H,6,FALSE)</f>
        <v>Santa Cruz</v>
      </c>
      <c r="O73" s="3" t="s">
        <v>15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>
        <v>73.0</v>
      </c>
      <c r="B74" s="1">
        <v>612.0</v>
      </c>
      <c r="C74" s="1">
        <v>4.0</v>
      </c>
      <c r="D74" s="4">
        <v>42412.0</v>
      </c>
      <c r="E74" s="4">
        <v>42415.0</v>
      </c>
      <c r="F74" s="4">
        <v>42414.0</v>
      </c>
      <c r="G74" s="1">
        <v>2.0</v>
      </c>
      <c r="H74" s="1">
        <v>7.0</v>
      </c>
      <c r="I74" s="3" t="str">
        <f>VLOOKUP(B74,Customers!A:J, 10,FALSE)</f>
        <v>Gabriel Wagner</v>
      </c>
      <c r="J74" s="3" t="str">
        <f>VLOOKUP(B74,Customers!A:J,8,FALSE)</f>
        <v>NY</v>
      </c>
      <c r="K74" s="3" t="str">
        <f>VLOOKUP(B74,Customers!A:J,7,FALSE)</f>
        <v>Ballston Spa</v>
      </c>
      <c r="L74" s="3" t="str">
        <f>VLOOKUP(H74,Staff!A:I,9,FALSE)</f>
        <v>Venita Daniel</v>
      </c>
      <c r="M74" s="3" t="str">
        <f>VLOOKUP(G74,Store!A:H,2,FALSE)</f>
        <v>Baldwin Bikes</v>
      </c>
      <c r="N74" s="3" t="str">
        <f>VLOOKUP(G74,Store!A:H,6,FALSE)</f>
        <v>Baldwin</v>
      </c>
      <c r="O74" s="3" t="s">
        <v>16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>
        <v>74.0</v>
      </c>
      <c r="B75" s="1">
        <v>264.0</v>
      </c>
      <c r="C75" s="1">
        <v>4.0</v>
      </c>
      <c r="D75" s="4">
        <v>42413.0</v>
      </c>
      <c r="E75" s="4">
        <v>42415.0</v>
      </c>
      <c r="F75" s="4">
        <v>42415.0</v>
      </c>
      <c r="G75" s="1">
        <v>2.0</v>
      </c>
      <c r="H75" s="1">
        <v>7.0</v>
      </c>
      <c r="I75" s="3" t="str">
        <f>VLOOKUP(B75,Customers!A:J, 10,FALSE)</f>
        <v>Mariela Huffman</v>
      </c>
      <c r="J75" s="3" t="str">
        <f>VLOOKUP(B75,Customers!A:J,8,FALSE)</f>
        <v>NY</v>
      </c>
      <c r="K75" s="3" t="str">
        <f>VLOOKUP(B75,Customers!A:J,7,FALSE)</f>
        <v>Garden City</v>
      </c>
      <c r="L75" s="3" t="str">
        <f>VLOOKUP(H75,Staff!A:I,9,FALSE)</f>
        <v>Venita Daniel</v>
      </c>
      <c r="M75" s="3" t="str">
        <f>VLOOKUP(G75,Store!A:H,2,FALSE)</f>
        <v>Baldwin Bikes</v>
      </c>
      <c r="N75" s="3" t="str">
        <f>VLOOKUP(G75,Store!A:H,6,FALSE)</f>
        <v>Baldwin</v>
      </c>
      <c r="O75" s="3" t="s">
        <v>16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>
        <v>75.0</v>
      </c>
      <c r="B76" s="1">
        <v>587.0</v>
      </c>
      <c r="C76" s="1">
        <v>4.0</v>
      </c>
      <c r="D76" s="4">
        <v>42414.0</v>
      </c>
      <c r="E76" s="4">
        <v>42415.0</v>
      </c>
      <c r="F76" s="4">
        <v>42417.0</v>
      </c>
      <c r="G76" s="1">
        <v>2.0</v>
      </c>
      <c r="H76" s="1">
        <v>6.0</v>
      </c>
      <c r="I76" s="3" t="str">
        <f>VLOOKUP(B76,Customers!A:J, 10,FALSE)</f>
        <v>Euna Lopez</v>
      </c>
      <c r="J76" s="3" t="str">
        <f>VLOOKUP(B76,Customers!A:J,8,FALSE)</f>
        <v>NY</v>
      </c>
      <c r="K76" s="3" t="str">
        <f>VLOOKUP(B76,Customers!A:J,7,FALSE)</f>
        <v>Carmel</v>
      </c>
      <c r="L76" s="3" t="str">
        <f>VLOOKUP(H76,Staff!A:I,9,FALSE)</f>
        <v>Marcelene Boyer</v>
      </c>
      <c r="M76" s="3" t="str">
        <f>VLOOKUP(G76,Store!A:H,2,FALSE)</f>
        <v>Baldwin Bikes</v>
      </c>
      <c r="N76" s="3" t="str">
        <f>VLOOKUP(G76,Store!A:H,6,FALSE)</f>
        <v>Baldwin</v>
      </c>
      <c r="O76" s="3" t="s">
        <v>16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>
        <v>76.0</v>
      </c>
      <c r="B77" s="1">
        <v>9.0</v>
      </c>
      <c r="C77" s="1">
        <v>3.0</v>
      </c>
      <c r="D77" s="4">
        <v>42416.0</v>
      </c>
      <c r="E77" s="4">
        <v>42416.0</v>
      </c>
      <c r="F77" s="1" t="s">
        <v>18</v>
      </c>
      <c r="G77" s="1">
        <v>2.0</v>
      </c>
      <c r="H77" s="1">
        <v>6.0</v>
      </c>
      <c r="I77" s="3" t="str">
        <f>VLOOKUP(B77,Customers!A:J, 10,FALSE)</f>
        <v>Genoveva Baldwin</v>
      </c>
      <c r="J77" s="3" t="str">
        <f>VLOOKUP(B77,Customers!A:J,8,FALSE)</f>
        <v>NY</v>
      </c>
      <c r="K77" s="3" t="str">
        <f>VLOOKUP(B77,Customers!A:J,7,FALSE)</f>
        <v>Port Washington</v>
      </c>
      <c r="L77" s="3" t="str">
        <f>VLOOKUP(H77,Staff!A:I,9,FALSE)</f>
        <v>Marcelene Boyer</v>
      </c>
      <c r="M77" s="3" t="str">
        <f>VLOOKUP(G77,Store!A:H,2,FALSE)</f>
        <v>Baldwin Bikes</v>
      </c>
      <c r="N77" s="3" t="str">
        <f>VLOOKUP(G77,Store!A:H,6,FALSE)</f>
        <v>Baldwin</v>
      </c>
      <c r="O77" s="3" t="s">
        <v>16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>
        <v>77.0</v>
      </c>
      <c r="B78" s="1">
        <v>385.0</v>
      </c>
      <c r="C78" s="1">
        <v>4.0</v>
      </c>
      <c r="D78" s="4">
        <v>42416.0</v>
      </c>
      <c r="E78" s="4">
        <v>42419.0</v>
      </c>
      <c r="F78" s="4">
        <v>42419.0</v>
      </c>
      <c r="G78" s="1">
        <v>1.0</v>
      </c>
      <c r="H78" s="1">
        <v>2.0</v>
      </c>
      <c r="I78" s="3" t="str">
        <f>VLOOKUP(B78,Customers!A:J, 10,FALSE)</f>
        <v>Rochelle Ward</v>
      </c>
      <c r="J78" s="3" t="str">
        <f>VLOOKUP(B78,Customers!A:J,8,FALSE)</f>
        <v>CA</v>
      </c>
      <c r="K78" s="3" t="str">
        <f>VLOOKUP(B78,Customers!A:J,7,FALSE)</f>
        <v>Glendora</v>
      </c>
      <c r="L78" s="3" t="str">
        <f>VLOOKUP(H78,Staff!A:I,9,FALSE)</f>
        <v>Mireya Copeland</v>
      </c>
      <c r="M78" s="3" t="str">
        <f>VLOOKUP(G78,Store!A:H,2,FALSE)</f>
        <v>Santa Cruz Bikes</v>
      </c>
      <c r="N78" s="3" t="str">
        <f>VLOOKUP(G78,Store!A:H,6,FALSE)</f>
        <v>Santa Cruz</v>
      </c>
      <c r="O78" s="3" t="s">
        <v>15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>
        <v>78.0</v>
      </c>
      <c r="B79" s="1">
        <v>1182.0</v>
      </c>
      <c r="C79" s="1">
        <v>4.0</v>
      </c>
      <c r="D79" s="4">
        <v>42416.0</v>
      </c>
      <c r="E79" s="4">
        <v>42418.0</v>
      </c>
      <c r="F79" s="4">
        <v>42419.0</v>
      </c>
      <c r="G79" s="1">
        <v>2.0</v>
      </c>
      <c r="H79" s="1">
        <v>7.0</v>
      </c>
      <c r="I79" s="3" t="str">
        <f>VLOOKUP(B79,Customers!A:J, 10,FALSE)</f>
        <v>Trinidad Chapman</v>
      </c>
      <c r="J79" s="3" t="str">
        <f>VLOOKUP(B79,Customers!A:J,8,FALSE)</f>
        <v>NY</v>
      </c>
      <c r="K79" s="3" t="str">
        <f>VLOOKUP(B79,Customers!A:J,7,FALSE)</f>
        <v>Ronkonkoma</v>
      </c>
      <c r="L79" s="3" t="str">
        <f>VLOOKUP(H79,Staff!A:I,9,FALSE)</f>
        <v>Venita Daniel</v>
      </c>
      <c r="M79" s="3" t="str">
        <f>VLOOKUP(G79,Store!A:H,2,FALSE)</f>
        <v>Baldwin Bikes</v>
      </c>
      <c r="N79" s="3" t="str">
        <f>VLOOKUP(G79,Store!A:H,6,FALSE)</f>
        <v>Baldwin</v>
      </c>
      <c r="O79" s="3" t="s">
        <v>16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>
        <v>79.0</v>
      </c>
      <c r="B80" s="1">
        <v>529.0</v>
      </c>
      <c r="C80" s="1">
        <v>4.0</v>
      </c>
      <c r="D80" s="4">
        <v>42417.0</v>
      </c>
      <c r="E80" s="4">
        <v>42420.0</v>
      </c>
      <c r="F80" s="4">
        <v>42420.0</v>
      </c>
      <c r="G80" s="1">
        <v>1.0</v>
      </c>
      <c r="H80" s="1">
        <v>3.0</v>
      </c>
      <c r="I80" s="3" t="str">
        <f>VLOOKUP(B80,Customers!A:J, 10,FALSE)</f>
        <v>Ellena Clements</v>
      </c>
      <c r="J80" s="3" t="str">
        <f>VLOOKUP(B80,Customers!A:J,8,FALSE)</f>
        <v>CA</v>
      </c>
      <c r="K80" s="3" t="str">
        <f>VLOOKUP(B80,Customers!A:J,7,FALSE)</f>
        <v>Santa Monica</v>
      </c>
      <c r="L80" s="3" t="str">
        <f>VLOOKUP(H80,Staff!A:I,9,FALSE)</f>
        <v>Genna Serrano</v>
      </c>
      <c r="M80" s="3" t="str">
        <f>VLOOKUP(G80,Store!A:H,2,FALSE)</f>
        <v>Santa Cruz Bikes</v>
      </c>
      <c r="N80" s="3" t="str">
        <f>VLOOKUP(G80,Store!A:H,6,FALSE)</f>
        <v>Santa Cruz</v>
      </c>
      <c r="O80" s="3" t="s">
        <v>15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>
        <v>80.0</v>
      </c>
      <c r="B81" s="1">
        <v>397.0</v>
      </c>
      <c r="C81" s="1">
        <v>4.0</v>
      </c>
      <c r="D81" s="4">
        <v>42417.0</v>
      </c>
      <c r="E81" s="4">
        <v>42420.0</v>
      </c>
      <c r="F81" s="4">
        <v>42419.0</v>
      </c>
      <c r="G81" s="1">
        <v>2.0</v>
      </c>
      <c r="H81" s="1">
        <v>6.0</v>
      </c>
      <c r="I81" s="3" t="str">
        <f>VLOOKUP(B81,Customers!A:J, 10,FALSE)</f>
        <v>Jeannie Wilcox</v>
      </c>
      <c r="J81" s="3" t="str">
        <f>VLOOKUP(B81,Customers!A:J,8,FALSE)</f>
        <v>NY</v>
      </c>
      <c r="K81" s="3" t="str">
        <f>VLOOKUP(B81,Customers!A:J,7,FALSE)</f>
        <v>Franklin Square</v>
      </c>
      <c r="L81" s="3" t="str">
        <f>VLOOKUP(H81,Staff!A:I,9,FALSE)</f>
        <v>Marcelene Boyer</v>
      </c>
      <c r="M81" s="3" t="str">
        <f>VLOOKUP(G81,Store!A:H,2,FALSE)</f>
        <v>Baldwin Bikes</v>
      </c>
      <c r="N81" s="3" t="str">
        <f>VLOOKUP(G81,Store!A:H,6,FALSE)</f>
        <v>Baldwin</v>
      </c>
      <c r="O81" s="3" t="s">
        <v>16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>
        <v>81.0</v>
      </c>
      <c r="B82" s="1">
        <v>521.0</v>
      </c>
      <c r="C82" s="1">
        <v>4.0</v>
      </c>
      <c r="D82" s="4">
        <v>42417.0</v>
      </c>
      <c r="E82" s="4">
        <v>42419.0</v>
      </c>
      <c r="F82" s="4">
        <v>42418.0</v>
      </c>
      <c r="G82" s="1">
        <v>2.0</v>
      </c>
      <c r="H82" s="1">
        <v>6.0</v>
      </c>
      <c r="I82" s="3" t="str">
        <f>VLOOKUP(B82,Customers!A:J, 10,FALSE)</f>
        <v>Max Charles</v>
      </c>
      <c r="J82" s="3" t="str">
        <f>VLOOKUP(B82,Customers!A:J,8,FALSE)</f>
        <v>NY</v>
      </c>
      <c r="K82" s="3" t="str">
        <f>VLOOKUP(B82,Customers!A:J,7,FALSE)</f>
        <v>Glen Cove</v>
      </c>
      <c r="L82" s="3" t="str">
        <f>VLOOKUP(H82,Staff!A:I,9,FALSE)</f>
        <v>Marcelene Boyer</v>
      </c>
      <c r="M82" s="3" t="str">
        <f>VLOOKUP(G82,Store!A:H,2,FALSE)</f>
        <v>Baldwin Bikes</v>
      </c>
      <c r="N82" s="3" t="str">
        <f>VLOOKUP(G82,Store!A:H,6,FALSE)</f>
        <v>Baldwin</v>
      </c>
      <c r="O82" s="3" t="s">
        <v>16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>
        <v>82.0</v>
      </c>
      <c r="B83" s="1">
        <v>1223.0</v>
      </c>
      <c r="C83" s="1">
        <v>4.0</v>
      </c>
      <c r="D83" s="4">
        <v>42418.0</v>
      </c>
      <c r="E83" s="4">
        <v>42421.0</v>
      </c>
      <c r="F83" s="4">
        <v>42420.0</v>
      </c>
      <c r="G83" s="1">
        <v>2.0</v>
      </c>
      <c r="H83" s="1">
        <v>6.0</v>
      </c>
      <c r="I83" s="3" t="str">
        <f>VLOOKUP(B83,Customers!A:J, 10,FALSE)</f>
        <v>Bronwyn Vargas</v>
      </c>
      <c r="J83" s="3" t="str">
        <f>VLOOKUP(B83,Customers!A:J,8,FALSE)</f>
        <v>NY</v>
      </c>
      <c r="K83" s="3" t="str">
        <f>VLOOKUP(B83,Customers!A:J,7,FALSE)</f>
        <v>New Windsor</v>
      </c>
      <c r="L83" s="3" t="str">
        <f>VLOOKUP(H83,Staff!A:I,9,FALSE)</f>
        <v>Marcelene Boyer</v>
      </c>
      <c r="M83" s="3" t="str">
        <f>VLOOKUP(G83,Store!A:H,2,FALSE)</f>
        <v>Baldwin Bikes</v>
      </c>
      <c r="N83" s="3" t="str">
        <f>VLOOKUP(G83,Store!A:H,6,FALSE)</f>
        <v>Baldwin</v>
      </c>
      <c r="O83" s="3" t="s">
        <v>16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>
        <v>83.0</v>
      </c>
      <c r="B84" s="1">
        <v>393.0</v>
      </c>
      <c r="C84" s="1">
        <v>4.0</v>
      </c>
      <c r="D84" s="4">
        <v>42419.0</v>
      </c>
      <c r="E84" s="4">
        <v>42420.0</v>
      </c>
      <c r="F84" s="4">
        <v>42420.0</v>
      </c>
      <c r="G84" s="1">
        <v>1.0</v>
      </c>
      <c r="H84" s="1">
        <v>3.0</v>
      </c>
      <c r="I84" s="3" t="str">
        <f>VLOOKUP(B84,Customers!A:J, 10,FALSE)</f>
        <v>Gertrude Terry</v>
      </c>
      <c r="J84" s="3" t="str">
        <f>VLOOKUP(B84,Customers!A:J,8,FALSE)</f>
        <v>CA</v>
      </c>
      <c r="K84" s="3" t="str">
        <f>VLOOKUP(B84,Customers!A:J,7,FALSE)</f>
        <v>Upland</v>
      </c>
      <c r="L84" s="3" t="str">
        <f>VLOOKUP(H84,Staff!A:I,9,FALSE)</f>
        <v>Genna Serrano</v>
      </c>
      <c r="M84" s="3" t="str">
        <f>VLOOKUP(G84,Store!A:H,2,FALSE)</f>
        <v>Santa Cruz Bikes</v>
      </c>
      <c r="N84" s="3" t="str">
        <f>VLOOKUP(G84,Store!A:H,6,FALSE)</f>
        <v>Santa Cruz</v>
      </c>
      <c r="O84" s="3" t="s">
        <v>15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>
        <v>84.0</v>
      </c>
      <c r="B85" s="1">
        <v>317.0</v>
      </c>
      <c r="C85" s="1">
        <v>4.0</v>
      </c>
      <c r="D85" s="4">
        <v>42420.0</v>
      </c>
      <c r="E85" s="4">
        <v>42422.0</v>
      </c>
      <c r="F85" s="4">
        <v>42421.0</v>
      </c>
      <c r="G85" s="1">
        <v>2.0</v>
      </c>
      <c r="H85" s="1">
        <v>7.0</v>
      </c>
      <c r="I85" s="3" t="str">
        <f>VLOOKUP(B85,Customers!A:J, 10,FALSE)</f>
        <v>Christia Wilkins</v>
      </c>
      <c r="J85" s="3" t="str">
        <f>VLOOKUP(B85,Customers!A:J,8,FALSE)</f>
        <v>NY</v>
      </c>
      <c r="K85" s="3" t="str">
        <f>VLOOKUP(B85,Customers!A:J,7,FALSE)</f>
        <v>Woodside</v>
      </c>
      <c r="L85" s="3" t="str">
        <f>VLOOKUP(H85,Staff!A:I,9,FALSE)</f>
        <v>Venita Daniel</v>
      </c>
      <c r="M85" s="3" t="str">
        <f>VLOOKUP(G85,Store!A:H,2,FALSE)</f>
        <v>Baldwin Bikes</v>
      </c>
      <c r="N85" s="3" t="str">
        <f>VLOOKUP(G85,Store!A:H,6,FALSE)</f>
        <v>Baldwin</v>
      </c>
      <c r="O85" s="3" t="s">
        <v>16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>
        <v>85.0</v>
      </c>
      <c r="B86" s="1">
        <v>1174.0</v>
      </c>
      <c r="C86" s="1">
        <v>4.0</v>
      </c>
      <c r="D86" s="4">
        <v>42420.0</v>
      </c>
      <c r="E86" s="4">
        <v>42423.0</v>
      </c>
      <c r="F86" s="4">
        <v>42421.0</v>
      </c>
      <c r="G86" s="1">
        <v>2.0</v>
      </c>
      <c r="H86" s="1">
        <v>7.0</v>
      </c>
      <c r="I86" s="3" t="str">
        <f>VLOOKUP(B86,Customers!A:J, 10,FALSE)</f>
        <v>Aaron Knapp</v>
      </c>
      <c r="J86" s="3" t="str">
        <f>VLOOKUP(B86,Customers!A:J,8,FALSE)</f>
        <v>NY</v>
      </c>
      <c r="K86" s="3" t="str">
        <f>VLOOKUP(B86,Customers!A:J,7,FALSE)</f>
        <v>Yonkers</v>
      </c>
      <c r="L86" s="3" t="str">
        <f>VLOOKUP(H86,Staff!A:I,9,FALSE)</f>
        <v>Venita Daniel</v>
      </c>
      <c r="M86" s="3" t="str">
        <f>VLOOKUP(G86,Store!A:H,2,FALSE)</f>
        <v>Baldwin Bikes</v>
      </c>
      <c r="N86" s="3" t="str">
        <f>VLOOKUP(G86,Store!A:H,6,FALSE)</f>
        <v>Baldwin</v>
      </c>
      <c r="O86" s="3" t="s">
        <v>16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>
        <v>86.0</v>
      </c>
      <c r="B87" s="1">
        <v>276.0</v>
      </c>
      <c r="C87" s="1">
        <v>4.0</v>
      </c>
      <c r="D87" s="4">
        <v>42421.0</v>
      </c>
      <c r="E87" s="4">
        <v>42422.0</v>
      </c>
      <c r="F87" s="4">
        <v>42423.0</v>
      </c>
      <c r="G87" s="1">
        <v>2.0</v>
      </c>
      <c r="H87" s="1">
        <v>7.0</v>
      </c>
      <c r="I87" s="3" t="str">
        <f>VLOOKUP(B87,Customers!A:J, 10,FALSE)</f>
        <v>Lavette Wright</v>
      </c>
      <c r="J87" s="3" t="str">
        <f>VLOOKUP(B87,Customers!A:J,8,FALSE)</f>
        <v>NY</v>
      </c>
      <c r="K87" s="3" t="str">
        <f>VLOOKUP(B87,Customers!A:J,7,FALSE)</f>
        <v>Ronkonkoma</v>
      </c>
      <c r="L87" s="3" t="str">
        <f>VLOOKUP(H87,Staff!A:I,9,FALSE)</f>
        <v>Venita Daniel</v>
      </c>
      <c r="M87" s="3" t="str">
        <f>VLOOKUP(G87,Store!A:H,2,FALSE)</f>
        <v>Baldwin Bikes</v>
      </c>
      <c r="N87" s="3" t="str">
        <f>VLOOKUP(G87,Store!A:H,6,FALSE)</f>
        <v>Baldwin</v>
      </c>
      <c r="O87" s="3" t="s">
        <v>16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>
        <v>87.0</v>
      </c>
      <c r="B88" s="1">
        <v>516.0</v>
      </c>
      <c r="C88" s="1">
        <v>4.0</v>
      </c>
      <c r="D88" s="4">
        <v>42421.0</v>
      </c>
      <c r="E88" s="4">
        <v>42422.0</v>
      </c>
      <c r="F88" s="4">
        <v>42423.0</v>
      </c>
      <c r="G88" s="1">
        <v>2.0</v>
      </c>
      <c r="H88" s="1">
        <v>6.0</v>
      </c>
      <c r="I88" s="3" t="str">
        <f>VLOOKUP(B88,Customers!A:J, 10,FALSE)</f>
        <v>Rosa Kinney</v>
      </c>
      <c r="J88" s="3" t="str">
        <f>VLOOKUP(B88,Customers!A:J,8,FALSE)</f>
        <v>NY</v>
      </c>
      <c r="K88" s="3" t="str">
        <f>VLOOKUP(B88,Customers!A:J,7,FALSE)</f>
        <v>Brooklyn</v>
      </c>
      <c r="L88" s="3" t="str">
        <f>VLOOKUP(H88,Staff!A:I,9,FALSE)</f>
        <v>Marcelene Boyer</v>
      </c>
      <c r="M88" s="3" t="str">
        <f>VLOOKUP(G88,Store!A:H,2,FALSE)</f>
        <v>Baldwin Bikes</v>
      </c>
      <c r="N88" s="3" t="str">
        <f>VLOOKUP(G88,Store!A:H,6,FALSE)</f>
        <v>Baldwin</v>
      </c>
      <c r="O88" s="3" t="s">
        <v>16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>
        <v>88.0</v>
      </c>
      <c r="B89" s="1">
        <v>1069.0</v>
      </c>
      <c r="C89" s="1">
        <v>4.0</v>
      </c>
      <c r="D89" s="4">
        <v>42421.0</v>
      </c>
      <c r="E89" s="4">
        <v>42422.0</v>
      </c>
      <c r="F89" s="4">
        <v>42423.0</v>
      </c>
      <c r="G89" s="1">
        <v>2.0</v>
      </c>
      <c r="H89" s="1">
        <v>6.0</v>
      </c>
      <c r="I89" s="3" t="str">
        <f>VLOOKUP(B89,Customers!A:J, 10,FALSE)</f>
        <v>Rodolfo Buck</v>
      </c>
      <c r="J89" s="3" t="str">
        <f>VLOOKUP(B89,Customers!A:J,8,FALSE)</f>
        <v>NY</v>
      </c>
      <c r="K89" s="3" t="str">
        <f>VLOOKUP(B89,Customers!A:J,7,FALSE)</f>
        <v>Shirley</v>
      </c>
      <c r="L89" s="3" t="str">
        <f>VLOOKUP(H89,Staff!A:I,9,FALSE)</f>
        <v>Marcelene Boyer</v>
      </c>
      <c r="M89" s="3" t="str">
        <f>VLOOKUP(G89,Store!A:H,2,FALSE)</f>
        <v>Baldwin Bikes</v>
      </c>
      <c r="N89" s="3" t="str">
        <f>VLOOKUP(G89,Store!A:H,6,FALSE)</f>
        <v>Baldwin</v>
      </c>
      <c r="O89" s="3" t="s">
        <v>16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>
        <v>89.0</v>
      </c>
      <c r="B90" s="1">
        <v>668.0</v>
      </c>
      <c r="C90" s="1">
        <v>4.0</v>
      </c>
      <c r="D90" s="4">
        <v>42421.0</v>
      </c>
      <c r="E90" s="4">
        <v>42424.0</v>
      </c>
      <c r="F90" s="4">
        <v>42424.0</v>
      </c>
      <c r="G90" s="1">
        <v>3.0</v>
      </c>
      <c r="H90" s="1">
        <v>8.0</v>
      </c>
      <c r="I90" s="3" t="str">
        <f>VLOOKUP(B90,Customers!A:J, 10,FALSE)</f>
        <v>Calandra Stanton</v>
      </c>
      <c r="J90" s="3" t="str">
        <f>VLOOKUP(B90,Customers!A:J,8,FALSE)</f>
        <v>TX</v>
      </c>
      <c r="K90" s="3" t="str">
        <f>VLOOKUP(B90,Customers!A:J,7,FALSE)</f>
        <v>Lake Jackson</v>
      </c>
      <c r="L90" s="3" t="str">
        <f>VLOOKUP(H90,Staff!A:I,9,FALSE)</f>
        <v>Kali Vargas</v>
      </c>
      <c r="M90" s="3" t="str">
        <f>VLOOKUP(G90,Store!A:H,2,FALSE)</f>
        <v>Rowlett Bikes</v>
      </c>
      <c r="N90" s="3" t="str">
        <f>VLOOKUP(G90,Store!A:H,6,FALSE)</f>
        <v>Rowlett</v>
      </c>
      <c r="O90" s="3" t="s">
        <v>17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>
        <v>90.0</v>
      </c>
      <c r="B91" s="1">
        <v>414.0</v>
      </c>
      <c r="C91" s="1">
        <v>4.0</v>
      </c>
      <c r="D91" s="4">
        <v>42423.0</v>
      </c>
      <c r="E91" s="4">
        <v>42425.0</v>
      </c>
      <c r="F91" s="4">
        <v>42424.0</v>
      </c>
      <c r="G91" s="1">
        <v>2.0</v>
      </c>
      <c r="H91" s="1">
        <v>7.0</v>
      </c>
      <c r="I91" s="3" t="str">
        <f>VLOOKUP(B91,Customers!A:J, 10,FALSE)</f>
        <v>Romaine Haley</v>
      </c>
      <c r="J91" s="3" t="str">
        <f>VLOOKUP(B91,Customers!A:J,8,FALSE)</f>
        <v>NY</v>
      </c>
      <c r="K91" s="3" t="str">
        <f>VLOOKUP(B91,Customers!A:J,7,FALSE)</f>
        <v>Ithaca</v>
      </c>
      <c r="L91" s="3" t="str">
        <f>VLOOKUP(H91,Staff!A:I,9,FALSE)</f>
        <v>Venita Daniel</v>
      </c>
      <c r="M91" s="3" t="str">
        <f>VLOOKUP(G91,Store!A:H,2,FALSE)</f>
        <v>Baldwin Bikes</v>
      </c>
      <c r="N91" s="3" t="str">
        <f>VLOOKUP(G91,Store!A:H,6,FALSE)</f>
        <v>Baldwin</v>
      </c>
      <c r="O91" s="3" t="s">
        <v>16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>
        <v>91.0</v>
      </c>
      <c r="B92" s="1">
        <v>648.0</v>
      </c>
      <c r="C92" s="1">
        <v>4.0</v>
      </c>
      <c r="D92" s="4">
        <v>42425.0</v>
      </c>
      <c r="E92" s="4">
        <v>42427.0</v>
      </c>
      <c r="F92" s="4">
        <v>42428.0</v>
      </c>
      <c r="G92" s="1">
        <v>1.0</v>
      </c>
      <c r="H92" s="1">
        <v>2.0</v>
      </c>
      <c r="I92" s="3" t="str">
        <f>VLOOKUP(B92,Customers!A:J, 10,FALSE)</f>
        <v>Catrice Hicks</v>
      </c>
      <c r="J92" s="3" t="str">
        <f>VLOOKUP(B92,Customers!A:J,8,FALSE)</f>
        <v>CA</v>
      </c>
      <c r="K92" s="3" t="str">
        <f>VLOOKUP(B92,Customers!A:J,7,FALSE)</f>
        <v>San Pablo</v>
      </c>
      <c r="L92" s="3" t="str">
        <f>VLOOKUP(H92,Staff!A:I,9,FALSE)</f>
        <v>Mireya Copeland</v>
      </c>
      <c r="M92" s="3" t="str">
        <f>VLOOKUP(G92,Store!A:H,2,FALSE)</f>
        <v>Santa Cruz Bikes</v>
      </c>
      <c r="N92" s="3" t="str">
        <f>VLOOKUP(G92,Store!A:H,6,FALSE)</f>
        <v>Santa Cruz</v>
      </c>
      <c r="O92" s="3" t="s">
        <v>15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>
        <v>92.0</v>
      </c>
      <c r="B93" s="1">
        <v>1309.0</v>
      </c>
      <c r="C93" s="1">
        <v>4.0</v>
      </c>
      <c r="D93" s="4">
        <v>42425.0</v>
      </c>
      <c r="E93" s="4">
        <v>42428.0</v>
      </c>
      <c r="F93" s="4">
        <v>42428.0</v>
      </c>
      <c r="G93" s="1">
        <v>2.0</v>
      </c>
      <c r="H93" s="1">
        <v>7.0</v>
      </c>
      <c r="I93" s="3" t="str">
        <f>VLOOKUP(B93,Customers!A:J, 10,FALSE)</f>
        <v>Kimberli Cline</v>
      </c>
      <c r="J93" s="3" t="str">
        <f>VLOOKUP(B93,Customers!A:J,8,FALSE)</f>
        <v>NY</v>
      </c>
      <c r="K93" s="3" t="str">
        <f>VLOOKUP(B93,Customers!A:J,7,FALSE)</f>
        <v>Centereach</v>
      </c>
      <c r="L93" s="3" t="str">
        <f>VLOOKUP(H93,Staff!A:I,9,FALSE)</f>
        <v>Venita Daniel</v>
      </c>
      <c r="M93" s="3" t="str">
        <f>VLOOKUP(G93,Store!A:H,2,FALSE)</f>
        <v>Baldwin Bikes</v>
      </c>
      <c r="N93" s="3" t="str">
        <f>VLOOKUP(G93,Store!A:H,6,FALSE)</f>
        <v>Baldwin</v>
      </c>
      <c r="O93" s="3" t="s">
        <v>16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>
        <v>93.0</v>
      </c>
      <c r="B94" s="1">
        <v>1328.0</v>
      </c>
      <c r="C94" s="1">
        <v>4.0</v>
      </c>
      <c r="D94" s="4">
        <v>42426.0</v>
      </c>
      <c r="E94" s="4">
        <v>42428.0</v>
      </c>
      <c r="F94" s="4">
        <v>42427.0</v>
      </c>
      <c r="G94" s="1">
        <v>1.0</v>
      </c>
      <c r="H94" s="1">
        <v>3.0</v>
      </c>
      <c r="I94" s="3" t="str">
        <f>VLOOKUP(B94,Customers!A:J, 10,FALSE)</f>
        <v>Cindie Franklin</v>
      </c>
      <c r="J94" s="3" t="str">
        <f>VLOOKUP(B94,Customers!A:J,8,FALSE)</f>
        <v>CA</v>
      </c>
      <c r="K94" s="3" t="str">
        <f>VLOOKUP(B94,Customers!A:J,7,FALSE)</f>
        <v>Lawndale</v>
      </c>
      <c r="L94" s="3" t="str">
        <f>VLOOKUP(H94,Staff!A:I,9,FALSE)</f>
        <v>Genna Serrano</v>
      </c>
      <c r="M94" s="3" t="str">
        <f>VLOOKUP(G94,Store!A:H,2,FALSE)</f>
        <v>Santa Cruz Bikes</v>
      </c>
      <c r="N94" s="3" t="str">
        <f>VLOOKUP(G94,Store!A:H,6,FALSE)</f>
        <v>Santa Cruz</v>
      </c>
      <c r="O94" s="3" t="s">
        <v>15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>
        <v>94.0</v>
      </c>
      <c r="B95" s="1">
        <v>929.0</v>
      </c>
      <c r="C95" s="1">
        <v>4.0</v>
      </c>
      <c r="D95" s="4">
        <v>42427.0</v>
      </c>
      <c r="E95" s="4">
        <v>42428.0</v>
      </c>
      <c r="F95" s="4">
        <v>42429.0</v>
      </c>
      <c r="G95" s="1">
        <v>1.0</v>
      </c>
      <c r="H95" s="1">
        <v>2.0</v>
      </c>
      <c r="I95" s="3" t="str">
        <f>VLOOKUP(B95,Customers!A:J, 10,FALSE)</f>
        <v>Thurman Ellis</v>
      </c>
      <c r="J95" s="3" t="str">
        <f>VLOOKUP(B95,Customers!A:J,8,FALSE)</f>
        <v>CA</v>
      </c>
      <c r="K95" s="3" t="str">
        <f>VLOOKUP(B95,Customers!A:J,7,FALSE)</f>
        <v>Pleasanton</v>
      </c>
      <c r="L95" s="3" t="str">
        <f>VLOOKUP(H95,Staff!A:I,9,FALSE)</f>
        <v>Mireya Copeland</v>
      </c>
      <c r="M95" s="3" t="str">
        <f>VLOOKUP(G95,Store!A:H,2,FALSE)</f>
        <v>Santa Cruz Bikes</v>
      </c>
      <c r="N95" s="3" t="str">
        <f>VLOOKUP(G95,Store!A:H,6,FALSE)</f>
        <v>Santa Cruz</v>
      </c>
      <c r="O95" s="3" t="s">
        <v>15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>
        <v>95.0</v>
      </c>
      <c r="B96" s="1">
        <v>218.0</v>
      </c>
      <c r="C96" s="1">
        <v>4.0</v>
      </c>
      <c r="D96" s="4">
        <v>42427.0</v>
      </c>
      <c r="E96" s="4">
        <v>42429.0</v>
      </c>
      <c r="F96" s="4">
        <v>42428.0</v>
      </c>
      <c r="G96" s="1">
        <v>2.0</v>
      </c>
      <c r="H96" s="1">
        <v>7.0</v>
      </c>
      <c r="I96" s="3" t="str">
        <f>VLOOKUP(B96,Customers!A:J, 10,FALSE)</f>
        <v>Casey Gill</v>
      </c>
      <c r="J96" s="3" t="str">
        <f>VLOOKUP(B96,Customers!A:J,8,FALSE)</f>
        <v>NY</v>
      </c>
      <c r="K96" s="3" t="str">
        <f>VLOOKUP(B96,Customers!A:J,7,FALSE)</f>
        <v>Port Washington</v>
      </c>
      <c r="L96" s="3" t="str">
        <f>VLOOKUP(H96,Staff!A:I,9,FALSE)</f>
        <v>Venita Daniel</v>
      </c>
      <c r="M96" s="3" t="str">
        <f>VLOOKUP(G96,Store!A:H,2,FALSE)</f>
        <v>Baldwin Bikes</v>
      </c>
      <c r="N96" s="3" t="str">
        <f>VLOOKUP(G96,Store!A:H,6,FALSE)</f>
        <v>Baldwin</v>
      </c>
      <c r="O96" s="3" t="s">
        <v>16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>
        <v>96.0</v>
      </c>
      <c r="B97" s="1">
        <v>1094.0</v>
      </c>
      <c r="C97" s="1">
        <v>4.0</v>
      </c>
      <c r="D97" s="4">
        <v>42427.0</v>
      </c>
      <c r="E97" s="4">
        <v>42429.0</v>
      </c>
      <c r="F97" s="4">
        <v>42428.0</v>
      </c>
      <c r="G97" s="1">
        <v>2.0</v>
      </c>
      <c r="H97" s="1">
        <v>7.0</v>
      </c>
      <c r="I97" s="3" t="str">
        <f>VLOOKUP(B97,Customers!A:J, 10,FALSE)</f>
        <v>Keitha Black</v>
      </c>
      <c r="J97" s="3" t="str">
        <f>VLOOKUP(B97,Customers!A:J,8,FALSE)</f>
        <v>NY</v>
      </c>
      <c r="K97" s="3" t="str">
        <f>VLOOKUP(B97,Customers!A:J,7,FALSE)</f>
        <v>Lindenhurst</v>
      </c>
      <c r="L97" s="3" t="str">
        <f>VLOOKUP(H97,Staff!A:I,9,FALSE)</f>
        <v>Venita Daniel</v>
      </c>
      <c r="M97" s="3" t="str">
        <f>VLOOKUP(G97,Store!A:H,2,FALSE)</f>
        <v>Baldwin Bikes</v>
      </c>
      <c r="N97" s="3" t="str">
        <f>VLOOKUP(G97,Store!A:H,6,FALSE)</f>
        <v>Baldwin</v>
      </c>
      <c r="O97" s="3" t="s">
        <v>16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>
        <v>97.0</v>
      </c>
      <c r="B98" s="1">
        <v>204.0</v>
      </c>
      <c r="C98" s="1">
        <v>4.0</v>
      </c>
      <c r="D98" s="4">
        <v>42428.0</v>
      </c>
      <c r="E98" s="4">
        <v>42429.0</v>
      </c>
      <c r="F98" s="4">
        <v>42430.0</v>
      </c>
      <c r="G98" s="1">
        <v>2.0</v>
      </c>
      <c r="H98" s="1">
        <v>7.0</v>
      </c>
      <c r="I98" s="3" t="str">
        <f>VLOOKUP(B98,Customers!A:J, 10,FALSE)</f>
        <v>Alpha King</v>
      </c>
      <c r="J98" s="3" t="str">
        <f>VLOOKUP(B98,Customers!A:J,8,FALSE)</f>
        <v>NY</v>
      </c>
      <c r="K98" s="3" t="str">
        <f>VLOOKUP(B98,Customers!A:J,7,FALSE)</f>
        <v>Rockville Centre</v>
      </c>
      <c r="L98" s="3" t="str">
        <f>VLOOKUP(H98,Staff!A:I,9,FALSE)</f>
        <v>Venita Daniel</v>
      </c>
      <c r="M98" s="3" t="str">
        <f>VLOOKUP(G98,Store!A:H,2,FALSE)</f>
        <v>Baldwin Bikes</v>
      </c>
      <c r="N98" s="3" t="str">
        <f>VLOOKUP(G98,Store!A:H,6,FALSE)</f>
        <v>Baldwin</v>
      </c>
      <c r="O98" s="3" t="s">
        <v>16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>
        <v>98.0</v>
      </c>
      <c r="B99" s="1">
        <v>1194.0</v>
      </c>
      <c r="C99" s="1">
        <v>4.0</v>
      </c>
      <c r="D99" s="4">
        <v>42428.0</v>
      </c>
      <c r="E99" s="4">
        <v>42429.0</v>
      </c>
      <c r="F99" s="4">
        <v>42429.0</v>
      </c>
      <c r="G99" s="1">
        <v>2.0</v>
      </c>
      <c r="H99" s="1">
        <v>6.0</v>
      </c>
      <c r="I99" s="3" t="str">
        <f>VLOOKUP(B99,Customers!A:J, 10,FALSE)</f>
        <v>Leticia Snyder</v>
      </c>
      <c r="J99" s="3" t="str">
        <f>VLOOKUP(B99,Customers!A:J,8,FALSE)</f>
        <v>NY</v>
      </c>
      <c r="K99" s="3" t="str">
        <f>VLOOKUP(B99,Customers!A:J,7,FALSE)</f>
        <v>Pittsford</v>
      </c>
      <c r="L99" s="3" t="str">
        <f>VLOOKUP(H99,Staff!A:I,9,FALSE)</f>
        <v>Marcelene Boyer</v>
      </c>
      <c r="M99" s="3" t="str">
        <f>VLOOKUP(G99,Store!A:H,2,FALSE)</f>
        <v>Baldwin Bikes</v>
      </c>
      <c r="N99" s="3" t="str">
        <f>VLOOKUP(G99,Store!A:H,6,FALSE)</f>
        <v>Baldwin</v>
      </c>
      <c r="O99" s="3" t="s">
        <v>16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>
        <v>99.0</v>
      </c>
      <c r="B100" s="1">
        <v>1165.0</v>
      </c>
      <c r="C100" s="1">
        <v>4.0</v>
      </c>
      <c r="D100" s="4">
        <v>42429.0</v>
      </c>
      <c r="E100" s="4">
        <v>42430.0</v>
      </c>
      <c r="F100" s="4">
        <v>42432.0</v>
      </c>
      <c r="G100" s="1">
        <v>3.0</v>
      </c>
      <c r="H100" s="1">
        <v>9.0</v>
      </c>
      <c r="I100" s="3" t="str">
        <f>VLOOKUP(B100,Customers!A:J, 10,FALSE)</f>
        <v>Rikki Morrow</v>
      </c>
      <c r="J100" s="3" t="str">
        <f>VLOOKUP(B100,Customers!A:J,8,FALSE)</f>
        <v>TX</v>
      </c>
      <c r="K100" s="3" t="str">
        <f>VLOOKUP(B100,Customers!A:J,7,FALSE)</f>
        <v>Fort Worth</v>
      </c>
      <c r="L100" s="3" t="str">
        <f>VLOOKUP(H100,Staff!A:I,9,FALSE)</f>
        <v>Layla Terrell</v>
      </c>
      <c r="M100" s="3" t="str">
        <f>VLOOKUP(G100,Store!A:H,2,FALSE)</f>
        <v>Rowlett Bikes</v>
      </c>
      <c r="N100" s="3" t="str">
        <f>VLOOKUP(G100,Store!A:H,6,FALSE)</f>
        <v>Rowlett</v>
      </c>
      <c r="O100" s="3" t="s">
        <v>17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>
        <v>100.0</v>
      </c>
      <c r="B101" s="1">
        <v>1237.0</v>
      </c>
      <c r="C101" s="1">
        <v>4.0</v>
      </c>
      <c r="D101" s="4">
        <v>42430.0</v>
      </c>
      <c r="E101" s="4">
        <v>42433.0</v>
      </c>
      <c r="F101" s="4">
        <v>42432.0</v>
      </c>
      <c r="G101" s="1">
        <v>2.0</v>
      </c>
      <c r="H101" s="1">
        <v>7.0</v>
      </c>
      <c r="I101" s="3" t="str">
        <f>VLOOKUP(B101,Customers!A:J, 10,FALSE)</f>
        <v>Luke Kramer</v>
      </c>
      <c r="J101" s="3" t="str">
        <f>VLOOKUP(B101,Customers!A:J,8,FALSE)</f>
        <v>NY</v>
      </c>
      <c r="K101" s="3" t="str">
        <f>VLOOKUP(B101,Customers!A:J,7,FALSE)</f>
        <v>Bethpage</v>
      </c>
      <c r="L101" s="3" t="str">
        <f>VLOOKUP(H101,Staff!A:I,9,FALSE)</f>
        <v>Venita Daniel</v>
      </c>
      <c r="M101" s="3" t="str">
        <f>VLOOKUP(G101,Store!A:H,2,FALSE)</f>
        <v>Baldwin Bikes</v>
      </c>
      <c r="N101" s="3" t="str">
        <f>VLOOKUP(G101,Store!A:H,6,FALSE)</f>
        <v>Baldwin</v>
      </c>
      <c r="O101" s="3" t="s">
        <v>16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>
        <v>101.0</v>
      </c>
      <c r="B102" s="1">
        <v>271.0</v>
      </c>
      <c r="C102" s="1">
        <v>4.0</v>
      </c>
      <c r="D102" s="4">
        <v>42430.0</v>
      </c>
      <c r="E102" s="4">
        <v>42433.0</v>
      </c>
      <c r="F102" s="4">
        <v>42433.0</v>
      </c>
      <c r="G102" s="1">
        <v>3.0</v>
      </c>
      <c r="H102" s="1">
        <v>8.0</v>
      </c>
      <c r="I102" s="3" t="str">
        <f>VLOOKUP(B102,Customers!A:J, 10,FALSE)</f>
        <v>Katheleen Marks</v>
      </c>
      <c r="J102" s="3" t="str">
        <f>VLOOKUP(B102,Customers!A:J,8,FALSE)</f>
        <v>TX</v>
      </c>
      <c r="K102" s="3" t="str">
        <f>VLOOKUP(B102,Customers!A:J,7,FALSE)</f>
        <v>Longview</v>
      </c>
      <c r="L102" s="3" t="str">
        <f>VLOOKUP(H102,Staff!A:I,9,FALSE)</f>
        <v>Kali Vargas</v>
      </c>
      <c r="M102" s="3" t="str">
        <f>VLOOKUP(G102,Store!A:H,2,FALSE)</f>
        <v>Rowlett Bikes</v>
      </c>
      <c r="N102" s="3" t="str">
        <f>VLOOKUP(G102,Store!A:H,6,FALSE)</f>
        <v>Rowlett</v>
      </c>
      <c r="O102" s="3" t="s">
        <v>17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>
        <v>102.0</v>
      </c>
      <c r="B103" s="1">
        <v>336.0</v>
      </c>
      <c r="C103" s="1">
        <v>4.0</v>
      </c>
      <c r="D103" s="4">
        <v>42431.0</v>
      </c>
      <c r="E103" s="4">
        <v>42434.0</v>
      </c>
      <c r="F103" s="4">
        <v>42432.0</v>
      </c>
      <c r="G103" s="1">
        <v>2.0</v>
      </c>
      <c r="H103" s="1">
        <v>7.0</v>
      </c>
      <c r="I103" s="3" t="str">
        <f>VLOOKUP(B103,Customers!A:J, 10,FALSE)</f>
        <v>Trisha Johnson</v>
      </c>
      <c r="J103" s="3" t="str">
        <f>VLOOKUP(B103,Customers!A:J,8,FALSE)</f>
        <v>NY</v>
      </c>
      <c r="K103" s="3" t="str">
        <f>VLOOKUP(B103,Customers!A:J,7,FALSE)</f>
        <v>Lancaster</v>
      </c>
      <c r="L103" s="3" t="str">
        <f>VLOOKUP(H103,Staff!A:I,9,FALSE)</f>
        <v>Venita Daniel</v>
      </c>
      <c r="M103" s="3" t="str">
        <f>VLOOKUP(G103,Store!A:H,2,FALSE)</f>
        <v>Baldwin Bikes</v>
      </c>
      <c r="N103" s="3" t="str">
        <f>VLOOKUP(G103,Store!A:H,6,FALSE)</f>
        <v>Baldwin</v>
      </c>
      <c r="O103" s="3" t="s">
        <v>16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>
        <v>103.0</v>
      </c>
      <c r="B104" s="1">
        <v>991.0</v>
      </c>
      <c r="C104" s="1">
        <v>4.0</v>
      </c>
      <c r="D104" s="4">
        <v>42432.0</v>
      </c>
      <c r="E104" s="4">
        <v>42435.0</v>
      </c>
      <c r="F104" s="4">
        <v>42434.0</v>
      </c>
      <c r="G104" s="1">
        <v>1.0</v>
      </c>
      <c r="H104" s="1">
        <v>2.0</v>
      </c>
      <c r="I104" s="3" t="str">
        <f>VLOOKUP(B104,Customers!A:J, 10,FALSE)</f>
        <v>Brigida Larson</v>
      </c>
      <c r="J104" s="3" t="str">
        <f>VLOOKUP(B104,Customers!A:J,8,FALSE)</f>
        <v>CA</v>
      </c>
      <c r="K104" s="3" t="str">
        <f>VLOOKUP(B104,Customers!A:J,7,FALSE)</f>
        <v>Canyon Country</v>
      </c>
      <c r="L104" s="3" t="str">
        <f>VLOOKUP(H104,Staff!A:I,9,FALSE)</f>
        <v>Mireya Copeland</v>
      </c>
      <c r="M104" s="3" t="str">
        <f>VLOOKUP(G104,Store!A:H,2,FALSE)</f>
        <v>Santa Cruz Bikes</v>
      </c>
      <c r="N104" s="3" t="str">
        <f>VLOOKUP(G104,Store!A:H,6,FALSE)</f>
        <v>Santa Cruz</v>
      </c>
      <c r="O104" s="3" t="s">
        <v>15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>
        <v>104.0</v>
      </c>
      <c r="B105" s="1">
        <v>7.0</v>
      </c>
      <c r="C105" s="1">
        <v>4.0</v>
      </c>
      <c r="D105" s="4">
        <v>42432.0</v>
      </c>
      <c r="E105" s="4">
        <v>42434.0</v>
      </c>
      <c r="F105" s="4">
        <v>42434.0</v>
      </c>
      <c r="G105" s="1">
        <v>2.0</v>
      </c>
      <c r="H105" s="1">
        <v>7.0</v>
      </c>
      <c r="I105" s="3" t="str">
        <f>VLOOKUP(B105,Customers!A:J, 10,FALSE)</f>
        <v>Latasha Hays</v>
      </c>
      <c r="J105" s="3" t="str">
        <f>VLOOKUP(B105,Customers!A:J,8,FALSE)</f>
        <v>NY</v>
      </c>
      <c r="K105" s="3" t="str">
        <f>VLOOKUP(B105,Customers!A:J,7,FALSE)</f>
        <v>Buffalo</v>
      </c>
      <c r="L105" s="3" t="str">
        <f>VLOOKUP(H105,Staff!A:I,9,FALSE)</f>
        <v>Venita Daniel</v>
      </c>
      <c r="M105" s="3" t="str">
        <f>VLOOKUP(G105,Store!A:H,2,FALSE)</f>
        <v>Baldwin Bikes</v>
      </c>
      <c r="N105" s="3" t="str">
        <f>VLOOKUP(G105,Store!A:H,6,FALSE)</f>
        <v>Baldwin</v>
      </c>
      <c r="O105" s="3" t="s">
        <v>16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>
        <v>105.0</v>
      </c>
      <c r="B106" s="1">
        <v>306.0</v>
      </c>
      <c r="C106" s="1">
        <v>4.0</v>
      </c>
      <c r="D106" s="4">
        <v>42432.0</v>
      </c>
      <c r="E106" s="4">
        <v>42434.0</v>
      </c>
      <c r="F106" s="4">
        <v>42433.0</v>
      </c>
      <c r="G106" s="1">
        <v>2.0</v>
      </c>
      <c r="H106" s="1">
        <v>7.0</v>
      </c>
      <c r="I106" s="3" t="str">
        <f>VLOOKUP(B106,Customers!A:J, 10,FALSE)</f>
        <v>Vikki Erickson</v>
      </c>
      <c r="J106" s="3" t="str">
        <f>VLOOKUP(B106,Customers!A:J,8,FALSE)</f>
        <v>NY</v>
      </c>
      <c r="K106" s="3" t="str">
        <f>VLOOKUP(B106,Customers!A:J,7,FALSE)</f>
        <v>Kingston</v>
      </c>
      <c r="L106" s="3" t="str">
        <f>VLOOKUP(H106,Staff!A:I,9,FALSE)</f>
        <v>Venita Daniel</v>
      </c>
      <c r="M106" s="3" t="str">
        <f>VLOOKUP(G106,Store!A:H,2,FALSE)</f>
        <v>Baldwin Bikes</v>
      </c>
      <c r="N106" s="3" t="str">
        <f>VLOOKUP(G106,Store!A:H,6,FALSE)</f>
        <v>Baldwin</v>
      </c>
      <c r="O106" s="3" t="s">
        <v>16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>
        <v>106.0</v>
      </c>
      <c r="B107" s="1">
        <v>422.0</v>
      </c>
      <c r="C107" s="1">
        <v>4.0</v>
      </c>
      <c r="D107" s="4">
        <v>42433.0</v>
      </c>
      <c r="E107" s="4">
        <v>42434.0</v>
      </c>
      <c r="F107" s="4">
        <v>42434.0</v>
      </c>
      <c r="G107" s="1">
        <v>3.0</v>
      </c>
      <c r="H107" s="1">
        <v>9.0</v>
      </c>
      <c r="I107" s="3" t="str">
        <f>VLOOKUP(B107,Customers!A:J, 10,FALSE)</f>
        <v>Valery Saunders</v>
      </c>
      <c r="J107" s="3" t="str">
        <f>VLOOKUP(B107,Customers!A:J,8,FALSE)</f>
        <v>TX</v>
      </c>
      <c r="K107" s="3" t="str">
        <f>VLOOKUP(B107,Customers!A:J,7,FALSE)</f>
        <v>Victoria</v>
      </c>
      <c r="L107" s="3" t="str">
        <f>VLOOKUP(H107,Staff!A:I,9,FALSE)</f>
        <v>Layla Terrell</v>
      </c>
      <c r="M107" s="3" t="str">
        <f>VLOOKUP(G107,Store!A:H,2,FALSE)</f>
        <v>Rowlett Bikes</v>
      </c>
      <c r="N107" s="3" t="str">
        <f>VLOOKUP(G107,Store!A:H,6,FALSE)</f>
        <v>Rowlett</v>
      </c>
      <c r="O107" s="3" t="s">
        <v>17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>
        <v>107.0</v>
      </c>
      <c r="B108" s="1">
        <v>633.0</v>
      </c>
      <c r="C108" s="1">
        <v>4.0</v>
      </c>
      <c r="D108" s="4">
        <v>42435.0</v>
      </c>
      <c r="E108" s="4">
        <v>42438.0</v>
      </c>
      <c r="F108" s="4">
        <v>42438.0</v>
      </c>
      <c r="G108" s="1">
        <v>1.0</v>
      </c>
      <c r="H108" s="1">
        <v>2.0</v>
      </c>
      <c r="I108" s="3" t="str">
        <f>VLOOKUP(B108,Customers!A:J, 10,FALSE)</f>
        <v>Kiara Deleon</v>
      </c>
      <c r="J108" s="3" t="str">
        <f>VLOOKUP(B108,Customers!A:J,8,FALSE)</f>
        <v>CA</v>
      </c>
      <c r="K108" s="3" t="str">
        <f>VLOOKUP(B108,Customers!A:J,7,FALSE)</f>
        <v>Anaheim</v>
      </c>
      <c r="L108" s="3" t="str">
        <f>VLOOKUP(H108,Staff!A:I,9,FALSE)</f>
        <v>Mireya Copeland</v>
      </c>
      <c r="M108" s="3" t="str">
        <f>VLOOKUP(G108,Store!A:H,2,FALSE)</f>
        <v>Santa Cruz Bikes</v>
      </c>
      <c r="N108" s="3" t="str">
        <f>VLOOKUP(G108,Store!A:H,6,FALSE)</f>
        <v>Santa Cruz</v>
      </c>
      <c r="O108" s="3" t="s">
        <v>15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>
        <v>108.0</v>
      </c>
      <c r="B109" s="1">
        <v>12.0</v>
      </c>
      <c r="C109" s="1">
        <v>4.0</v>
      </c>
      <c r="D109" s="4">
        <v>42435.0</v>
      </c>
      <c r="E109" s="4">
        <v>42438.0</v>
      </c>
      <c r="F109" s="4">
        <v>42436.0</v>
      </c>
      <c r="G109" s="1">
        <v>2.0</v>
      </c>
      <c r="H109" s="1">
        <v>6.0</v>
      </c>
      <c r="I109" s="3" t="str">
        <f>VLOOKUP(B109,Customers!A:J, 10,FALSE)</f>
        <v>Robby Sykes</v>
      </c>
      <c r="J109" s="3" t="str">
        <f>VLOOKUP(B109,Customers!A:J,8,FALSE)</f>
        <v>NY</v>
      </c>
      <c r="K109" s="3" t="str">
        <f>VLOOKUP(B109,Customers!A:J,7,FALSE)</f>
        <v>Hempstead</v>
      </c>
      <c r="L109" s="3" t="str">
        <f>VLOOKUP(H109,Staff!A:I,9,FALSE)</f>
        <v>Marcelene Boyer</v>
      </c>
      <c r="M109" s="3" t="str">
        <f>VLOOKUP(G109,Store!A:H,2,FALSE)</f>
        <v>Baldwin Bikes</v>
      </c>
      <c r="N109" s="3" t="str">
        <f>VLOOKUP(G109,Store!A:H,6,FALSE)</f>
        <v>Baldwin</v>
      </c>
      <c r="O109" s="3" t="s">
        <v>16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>
        <v>109.0</v>
      </c>
      <c r="B110" s="1">
        <v>1255.0</v>
      </c>
      <c r="C110" s="1">
        <v>4.0</v>
      </c>
      <c r="D110" s="4">
        <v>42435.0</v>
      </c>
      <c r="E110" s="4">
        <v>42438.0</v>
      </c>
      <c r="F110" s="4">
        <v>42438.0</v>
      </c>
      <c r="G110" s="1">
        <v>2.0</v>
      </c>
      <c r="H110" s="1">
        <v>6.0</v>
      </c>
      <c r="I110" s="3" t="str">
        <f>VLOOKUP(B110,Customers!A:J, 10,FALSE)</f>
        <v>Ben Stone</v>
      </c>
      <c r="J110" s="3" t="str">
        <f>VLOOKUP(B110,Customers!A:J,8,FALSE)</f>
        <v>NY</v>
      </c>
      <c r="K110" s="3" t="str">
        <f>VLOOKUP(B110,Customers!A:J,7,FALSE)</f>
        <v>Ithaca</v>
      </c>
      <c r="L110" s="3" t="str">
        <f>VLOOKUP(H110,Staff!A:I,9,FALSE)</f>
        <v>Marcelene Boyer</v>
      </c>
      <c r="M110" s="3" t="str">
        <f>VLOOKUP(G110,Store!A:H,2,FALSE)</f>
        <v>Baldwin Bikes</v>
      </c>
      <c r="N110" s="3" t="str">
        <f>VLOOKUP(G110,Store!A:H,6,FALSE)</f>
        <v>Baldwin</v>
      </c>
      <c r="O110" s="3" t="s">
        <v>16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>
        <v>110.0</v>
      </c>
      <c r="B111" s="1">
        <v>677.0</v>
      </c>
      <c r="C111" s="1">
        <v>4.0</v>
      </c>
      <c r="D111" s="4">
        <v>42435.0</v>
      </c>
      <c r="E111" s="4">
        <v>42437.0</v>
      </c>
      <c r="F111" s="4">
        <v>42438.0</v>
      </c>
      <c r="G111" s="1">
        <v>3.0</v>
      </c>
      <c r="H111" s="1">
        <v>9.0</v>
      </c>
      <c r="I111" s="3" t="str">
        <f>VLOOKUP(B111,Customers!A:J, 10,FALSE)</f>
        <v>Launa Hull</v>
      </c>
      <c r="J111" s="3" t="str">
        <f>VLOOKUP(B111,Customers!A:J,8,FALSE)</f>
        <v>TX</v>
      </c>
      <c r="K111" s="3" t="str">
        <f>VLOOKUP(B111,Customers!A:J,7,FALSE)</f>
        <v>Helotes</v>
      </c>
      <c r="L111" s="3" t="str">
        <f>VLOOKUP(H111,Staff!A:I,9,FALSE)</f>
        <v>Layla Terrell</v>
      </c>
      <c r="M111" s="3" t="str">
        <f>VLOOKUP(G111,Store!A:H,2,FALSE)</f>
        <v>Rowlett Bikes</v>
      </c>
      <c r="N111" s="3" t="str">
        <f>VLOOKUP(G111,Store!A:H,6,FALSE)</f>
        <v>Rowlett</v>
      </c>
      <c r="O111" s="3" t="s">
        <v>17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>
        <v>111.0</v>
      </c>
      <c r="B112" s="1">
        <v>630.0</v>
      </c>
      <c r="C112" s="1">
        <v>4.0</v>
      </c>
      <c r="D112" s="4">
        <v>42436.0</v>
      </c>
      <c r="E112" s="4">
        <v>42439.0</v>
      </c>
      <c r="F112" s="4">
        <v>42439.0</v>
      </c>
      <c r="G112" s="1">
        <v>2.0</v>
      </c>
      <c r="H112" s="1">
        <v>6.0</v>
      </c>
      <c r="I112" s="3" t="str">
        <f>VLOOKUP(B112,Customers!A:J, 10,FALSE)</f>
        <v>Zulema Browning</v>
      </c>
      <c r="J112" s="3" t="str">
        <f>VLOOKUP(B112,Customers!A:J,8,FALSE)</f>
        <v>NY</v>
      </c>
      <c r="K112" s="3" t="str">
        <f>VLOOKUP(B112,Customers!A:J,7,FALSE)</f>
        <v>Amsterdam</v>
      </c>
      <c r="L112" s="3" t="str">
        <f>VLOOKUP(H112,Staff!A:I,9,FALSE)</f>
        <v>Marcelene Boyer</v>
      </c>
      <c r="M112" s="3" t="str">
        <f>VLOOKUP(G112,Store!A:H,2,FALSE)</f>
        <v>Baldwin Bikes</v>
      </c>
      <c r="N112" s="3" t="str">
        <f>VLOOKUP(G112,Store!A:H,6,FALSE)</f>
        <v>Baldwin</v>
      </c>
      <c r="O112" s="3" t="s">
        <v>16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>
        <v>112.0</v>
      </c>
      <c r="B113" s="1">
        <v>469.0</v>
      </c>
      <c r="C113" s="1">
        <v>4.0</v>
      </c>
      <c r="D113" s="4">
        <v>42437.0</v>
      </c>
      <c r="E113" s="4">
        <v>42440.0</v>
      </c>
      <c r="F113" s="4">
        <v>42439.0</v>
      </c>
      <c r="G113" s="1">
        <v>2.0</v>
      </c>
      <c r="H113" s="1">
        <v>6.0</v>
      </c>
      <c r="I113" s="3" t="str">
        <f>VLOOKUP(B113,Customers!A:J, 10,FALSE)</f>
        <v>Micki Rutledge</v>
      </c>
      <c r="J113" s="3" t="str">
        <f>VLOOKUP(B113,Customers!A:J,8,FALSE)</f>
        <v>NY</v>
      </c>
      <c r="K113" s="3" t="str">
        <f>VLOOKUP(B113,Customers!A:J,7,FALSE)</f>
        <v>Richmond Hill</v>
      </c>
      <c r="L113" s="3" t="str">
        <f>VLOOKUP(H113,Staff!A:I,9,FALSE)</f>
        <v>Marcelene Boyer</v>
      </c>
      <c r="M113" s="3" t="str">
        <f>VLOOKUP(G113,Store!A:H,2,FALSE)</f>
        <v>Baldwin Bikes</v>
      </c>
      <c r="N113" s="3" t="str">
        <f>VLOOKUP(G113,Store!A:H,6,FALSE)</f>
        <v>Baldwin</v>
      </c>
      <c r="O113" s="3" t="s">
        <v>16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>
        <v>113.0</v>
      </c>
      <c r="B114" s="1">
        <v>1078.0</v>
      </c>
      <c r="C114" s="1">
        <v>4.0</v>
      </c>
      <c r="D114" s="4">
        <v>42437.0</v>
      </c>
      <c r="E114" s="4">
        <v>42440.0</v>
      </c>
      <c r="F114" s="4">
        <v>42440.0</v>
      </c>
      <c r="G114" s="1">
        <v>2.0</v>
      </c>
      <c r="H114" s="1">
        <v>6.0</v>
      </c>
      <c r="I114" s="3" t="str">
        <f>VLOOKUP(B114,Customers!A:J, 10,FALSE)</f>
        <v>Theresia Barron</v>
      </c>
      <c r="J114" s="3" t="str">
        <f>VLOOKUP(B114,Customers!A:J,8,FALSE)</f>
        <v>NY</v>
      </c>
      <c r="K114" s="3" t="str">
        <f>VLOOKUP(B114,Customers!A:J,7,FALSE)</f>
        <v>Forest Hills</v>
      </c>
      <c r="L114" s="3" t="str">
        <f>VLOOKUP(H114,Staff!A:I,9,FALSE)</f>
        <v>Marcelene Boyer</v>
      </c>
      <c r="M114" s="3" t="str">
        <f>VLOOKUP(G114,Store!A:H,2,FALSE)</f>
        <v>Baldwin Bikes</v>
      </c>
      <c r="N114" s="3" t="str">
        <f>VLOOKUP(G114,Store!A:H,6,FALSE)</f>
        <v>Baldwin</v>
      </c>
      <c r="O114" s="3" t="s">
        <v>16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>
        <v>114.0</v>
      </c>
      <c r="B115" s="1">
        <v>1431.0</v>
      </c>
      <c r="C115" s="1">
        <v>4.0</v>
      </c>
      <c r="D115" s="4">
        <v>42437.0</v>
      </c>
      <c r="E115" s="4">
        <v>42439.0</v>
      </c>
      <c r="F115" s="4">
        <v>42440.0</v>
      </c>
      <c r="G115" s="1">
        <v>2.0</v>
      </c>
      <c r="H115" s="1">
        <v>7.0</v>
      </c>
      <c r="I115" s="3" t="str">
        <f>VLOOKUP(B115,Customers!A:J, 10,FALSE)</f>
        <v>Mark Benton</v>
      </c>
      <c r="J115" s="3" t="str">
        <f>VLOOKUP(B115,Customers!A:J,8,FALSE)</f>
        <v>NY</v>
      </c>
      <c r="K115" s="3" t="str">
        <f>VLOOKUP(B115,Customers!A:J,7,FALSE)</f>
        <v>East Elmhurst</v>
      </c>
      <c r="L115" s="3" t="str">
        <f>VLOOKUP(H115,Staff!A:I,9,FALSE)</f>
        <v>Venita Daniel</v>
      </c>
      <c r="M115" s="3" t="str">
        <f>VLOOKUP(G115,Store!A:H,2,FALSE)</f>
        <v>Baldwin Bikes</v>
      </c>
      <c r="N115" s="3" t="str">
        <f>VLOOKUP(G115,Store!A:H,6,FALSE)</f>
        <v>Baldwin</v>
      </c>
      <c r="O115" s="3" t="s">
        <v>16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>
        <v>115.0</v>
      </c>
      <c r="B116" s="1">
        <v>1369.0</v>
      </c>
      <c r="C116" s="1">
        <v>4.0</v>
      </c>
      <c r="D116" s="4">
        <v>42438.0</v>
      </c>
      <c r="E116" s="4">
        <v>42440.0</v>
      </c>
      <c r="F116" s="4">
        <v>42440.0</v>
      </c>
      <c r="G116" s="1">
        <v>2.0</v>
      </c>
      <c r="H116" s="1">
        <v>7.0</v>
      </c>
      <c r="I116" s="3" t="str">
        <f>VLOOKUP(B116,Customers!A:J, 10,FALSE)</f>
        <v>Starr Schneider</v>
      </c>
      <c r="J116" s="3" t="str">
        <f>VLOOKUP(B116,Customers!A:J,8,FALSE)</f>
        <v>NY</v>
      </c>
      <c r="K116" s="3" t="str">
        <f>VLOOKUP(B116,Customers!A:J,7,FALSE)</f>
        <v>Shirley</v>
      </c>
      <c r="L116" s="3" t="str">
        <f>VLOOKUP(H116,Staff!A:I,9,FALSE)</f>
        <v>Venita Daniel</v>
      </c>
      <c r="M116" s="3" t="str">
        <f>VLOOKUP(G116,Store!A:H,2,FALSE)</f>
        <v>Baldwin Bikes</v>
      </c>
      <c r="N116" s="3" t="str">
        <f>VLOOKUP(G116,Store!A:H,6,FALSE)</f>
        <v>Baldwin</v>
      </c>
      <c r="O116" s="3" t="s">
        <v>16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>
        <v>116.0</v>
      </c>
      <c r="B117" s="1">
        <v>471.0</v>
      </c>
      <c r="C117" s="1">
        <v>4.0</v>
      </c>
      <c r="D117" s="4">
        <v>42439.0</v>
      </c>
      <c r="E117" s="4">
        <v>42440.0</v>
      </c>
      <c r="F117" s="4">
        <v>42440.0</v>
      </c>
      <c r="G117" s="1">
        <v>2.0</v>
      </c>
      <c r="H117" s="1">
        <v>7.0</v>
      </c>
      <c r="I117" s="3" t="str">
        <f>VLOOKUP(B117,Customers!A:J, 10,FALSE)</f>
        <v>Burma Summers</v>
      </c>
      <c r="J117" s="3" t="str">
        <f>VLOOKUP(B117,Customers!A:J,8,FALSE)</f>
        <v>NY</v>
      </c>
      <c r="K117" s="3" t="str">
        <f>VLOOKUP(B117,Customers!A:J,7,FALSE)</f>
        <v>Freeport</v>
      </c>
      <c r="L117" s="3" t="str">
        <f>VLOOKUP(H117,Staff!A:I,9,FALSE)</f>
        <v>Venita Daniel</v>
      </c>
      <c r="M117" s="3" t="str">
        <f>VLOOKUP(G117,Store!A:H,2,FALSE)</f>
        <v>Baldwin Bikes</v>
      </c>
      <c r="N117" s="3" t="str">
        <f>VLOOKUP(G117,Store!A:H,6,FALSE)</f>
        <v>Baldwin</v>
      </c>
      <c r="O117" s="3" t="s">
        <v>16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>
        <v>117.0</v>
      </c>
      <c r="B118" s="1">
        <v>740.0</v>
      </c>
      <c r="C118" s="1">
        <v>4.0</v>
      </c>
      <c r="D118" s="4">
        <v>42439.0</v>
      </c>
      <c r="E118" s="4">
        <v>42442.0</v>
      </c>
      <c r="F118" s="4">
        <v>42440.0</v>
      </c>
      <c r="G118" s="1">
        <v>2.0</v>
      </c>
      <c r="H118" s="1">
        <v>6.0</v>
      </c>
      <c r="I118" s="3" t="str">
        <f>VLOOKUP(B118,Customers!A:J, 10,FALSE)</f>
        <v>Gwenn Melton</v>
      </c>
      <c r="J118" s="3" t="str">
        <f>VLOOKUP(B118,Customers!A:J,8,FALSE)</f>
        <v>NY</v>
      </c>
      <c r="K118" s="3" t="str">
        <f>VLOOKUP(B118,Customers!A:J,7,FALSE)</f>
        <v>Centereach</v>
      </c>
      <c r="L118" s="3" t="str">
        <f>VLOOKUP(H118,Staff!A:I,9,FALSE)</f>
        <v>Marcelene Boyer</v>
      </c>
      <c r="M118" s="3" t="str">
        <f>VLOOKUP(G118,Store!A:H,2,FALSE)</f>
        <v>Baldwin Bikes</v>
      </c>
      <c r="N118" s="3" t="str">
        <f>VLOOKUP(G118,Store!A:H,6,FALSE)</f>
        <v>Baldwin</v>
      </c>
      <c r="O118" s="3" t="s">
        <v>16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>
        <v>118.0</v>
      </c>
      <c r="B119" s="1">
        <v>577.0</v>
      </c>
      <c r="C119" s="1">
        <v>4.0</v>
      </c>
      <c r="D119" s="4">
        <v>42441.0</v>
      </c>
      <c r="E119" s="4">
        <v>42443.0</v>
      </c>
      <c r="F119" s="4">
        <v>42442.0</v>
      </c>
      <c r="G119" s="1">
        <v>1.0</v>
      </c>
      <c r="H119" s="1">
        <v>2.0</v>
      </c>
      <c r="I119" s="3" t="str">
        <f>VLOOKUP(B119,Customers!A:J, 10,FALSE)</f>
        <v>Danille Mcfarland</v>
      </c>
      <c r="J119" s="3" t="str">
        <f>VLOOKUP(B119,Customers!A:J,8,FALSE)</f>
        <v>CA</v>
      </c>
      <c r="K119" s="3" t="str">
        <f>VLOOKUP(B119,Customers!A:J,7,FALSE)</f>
        <v>Rocklin</v>
      </c>
      <c r="L119" s="3" t="str">
        <f>VLOOKUP(H119,Staff!A:I,9,FALSE)</f>
        <v>Mireya Copeland</v>
      </c>
      <c r="M119" s="3" t="str">
        <f>VLOOKUP(G119,Store!A:H,2,FALSE)</f>
        <v>Santa Cruz Bikes</v>
      </c>
      <c r="N119" s="3" t="str">
        <f>VLOOKUP(G119,Store!A:H,6,FALSE)</f>
        <v>Santa Cruz</v>
      </c>
      <c r="O119" s="3" t="s">
        <v>15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>
        <v>119.0</v>
      </c>
      <c r="B120" s="1">
        <v>925.0</v>
      </c>
      <c r="C120" s="1">
        <v>4.0</v>
      </c>
      <c r="D120" s="4">
        <v>42441.0</v>
      </c>
      <c r="E120" s="4">
        <v>42443.0</v>
      </c>
      <c r="F120" s="4">
        <v>42443.0</v>
      </c>
      <c r="G120" s="1">
        <v>2.0</v>
      </c>
      <c r="H120" s="1">
        <v>7.0</v>
      </c>
      <c r="I120" s="3" t="str">
        <f>VLOOKUP(B120,Customers!A:J, 10,FALSE)</f>
        <v>Bryce Monroe</v>
      </c>
      <c r="J120" s="3" t="str">
        <f>VLOOKUP(B120,Customers!A:J,8,FALSE)</f>
        <v>NY</v>
      </c>
      <c r="K120" s="3" t="str">
        <f>VLOOKUP(B120,Customers!A:J,7,FALSE)</f>
        <v>Kingston</v>
      </c>
      <c r="L120" s="3" t="str">
        <f>VLOOKUP(H120,Staff!A:I,9,FALSE)</f>
        <v>Venita Daniel</v>
      </c>
      <c r="M120" s="3" t="str">
        <f>VLOOKUP(G120,Store!A:H,2,FALSE)</f>
        <v>Baldwin Bikes</v>
      </c>
      <c r="N120" s="3" t="str">
        <f>VLOOKUP(G120,Store!A:H,6,FALSE)</f>
        <v>Baldwin</v>
      </c>
      <c r="O120" s="3" t="s">
        <v>16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>
        <v>120.0</v>
      </c>
      <c r="B121" s="1">
        <v>327.0</v>
      </c>
      <c r="C121" s="1">
        <v>4.0</v>
      </c>
      <c r="D121" s="4">
        <v>42443.0</v>
      </c>
      <c r="E121" s="4">
        <v>42444.0</v>
      </c>
      <c r="F121" s="4">
        <v>42446.0</v>
      </c>
      <c r="G121" s="1">
        <v>2.0</v>
      </c>
      <c r="H121" s="1">
        <v>7.0</v>
      </c>
      <c r="I121" s="3" t="str">
        <f>VLOOKUP(B121,Customers!A:J, 10,FALSE)</f>
        <v>Sharie Alvarez</v>
      </c>
      <c r="J121" s="3" t="str">
        <f>VLOOKUP(B121,Customers!A:J,8,FALSE)</f>
        <v>NY</v>
      </c>
      <c r="K121" s="3" t="str">
        <f>VLOOKUP(B121,Customers!A:J,7,FALSE)</f>
        <v>New York</v>
      </c>
      <c r="L121" s="3" t="str">
        <f>VLOOKUP(H121,Staff!A:I,9,FALSE)</f>
        <v>Venita Daniel</v>
      </c>
      <c r="M121" s="3" t="str">
        <f>VLOOKUP(G121,Store!A:H,2,FALSE)</f>
        <v>Baldwin Bikes</v>
      </c>
      <c r="N121" s="3" t="str">
        <f>VLOOKUP(G121,Store!A:H,6,FALSE)</f>
        <v>Baldwin</v>
      </c>
      <c r="O121" s="3" t="s">
        <v>16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>
        <v>121.0</v>
      </c>
      <c r="B122" s="1">
        <v>755.0</v>
      </c>
      <c r="C122" s="1">
        <v>4.0</v>
      </c>
      <c r="D122" s="4">
        <v>42443.0</v>
      </c>
      <c r="E122" s="4">
        <v>42444.0</v>
      </c>
      <c r="F122" s="4">
        <v>42445.0</v>
      </c>
      <c r="G122" s="1">
        <v>2.0</v>
      </c>
      <c r="H122" s="1">
        <v>6.0</v>
      </c>
      <c r="I122" s="3" t="str">
        <f>VLOOKUP(B122,Customers!A:J, 10,FALSE)</f>
        <v>Tomika Wilder</v>
      </c>
      <c r="J122" s="3" t="str">
        <f>VLOOKUP(B122,Customers!A:J,8,FALSE)</f>
        <v>NY</v>
      </c>
      <c r="K122" s="3" t="str">
        <f>VLOOKUP(B122,Customers!A:J,7,FALSE)</f>
        <v>New Hyde Park</v>
      </c>
      <c r="L122" s="3" t="str">
        <f>VLOOKUP(H122,Staff!A:I,9,FALSE)</f>
        <v>Marcelene Boyer</v>
      </c>
      <c r="M122" s="3" t="str">
        <f>VLOOKUP(G122,Store!A:H,2,FALSE)</f>
        <v>Baldwin Bikes</v>
      </c>
      <c r="N122" s="3" t="str">
        <f>VLOOKUP(G122,Store!A:H,6,FALSE)</f>
        <v>Baldwin</v>
      </c>
      <c r="O122" s="3" t="s">
        <v>16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>
        <v>122.0</v>
      </c>
      <c r="B123" s="1">
        <v>786.0</v>
      </c>
      <c r="C123" s="1">
        <v>4.0</v>
      </c>
      <c r="D123" s="4">
        <v>42443.0</v>
      </c>
      <c r="E123" s="4">
        <v>42445.0</v>
      </c>
      <c r="F123" s="4">
        <v>42444.0</v>
      </c>
      <c r="G123" s="1">
        <v>2.0</v>
      </c>
      <c r="H123" s="1">
        <v>6.0</v>
      </c>
      <c r="I123" s="3" t="str">
        <f>VLOOKUP(B123,Customers!A:J, 10,FALSE)</f>
        <v>Wallace Lane</v>
      </c>
      <c r="J123" s="3" t="str">
        <f>VLOOKUP(B123,Customers!A:J,8,FALSE)</f>
        <v>NY</v>
      </c>
      <c r="K123" s="3" t="str">
        <f>VLOOKUP(B123,Customers!A:J,7,FALSE)</f>
        <v>South Richmond Hill</v>
      </c>
      <c r="L123" s="3" t="str">
        <f>VLOOKUP(H123,Staff!A:I,9,FALSE)</f>
        <v>Marcelene Boyer</v>
      </c>
      <c r="M123" s="3" t="str">
        <f>VLOOKUP(G123,Store!A:H,2,FALSE)</f>
        <v>Baldwin Bikes</v>
      </c>
      <c r="N123" s="3" t="str">
        <f>VLOOKUP(G123,Store!A:H,6,FALSE)</f>
        <v>Baldwin</v>
      </c>
      <c r="O123" s="3" t="s">
        <v>16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>
        <v>123.0</v>
      </c>
      <c r="B124" s="1">
        <v>766.0</v>
      </c>
      <c r="C124" s="1">
        <v>4.0</v>
      </c>
      <c r="D124" s="4">
        <v>42444.0</v>
      </c>
      <c r="E124" s="4">
        <v>42447.0</v>
      </c>
      <c r="F124" s="4">
        <v>42446.0</v>
      </c>
      <c r="G124" s="1">
        <v>2.0</v>
      </c>
      <c r="H124" s="1">
        <v>6.0</v>
      </c>
      <c r="I124" s="3" t="str">
        <f>VLOOKUP(B124,Customers!A:J, 10,FALSE)</f>
        <v>Lecia Hancock</v>
      </c>
      <c r="J124" s="3" t="str">
        <f>VLOOKUP(B124,Customers!A:J,8,FALSE)</f>
        <v>NY</v>
      </c>
      <c r="K124" s="3" t="str">
        <f>VLOOKUP(B124,Customers!A:J,7,FALSE)</f>
        <v>Schenectady</v>
      </c>
      <c r="L124" s="3" t="str">
        <f>VLOOKUP(H124,Staff!A:I,9,FALSE)</f>
        <v>Marcelene Boyer</v>
      </c>
      <c r="M124" s="3" t="str">
        <f>VLOOKUP(G124,Store!A:H,2,FALSE)</f>
        <v>Baldwin Bikes</v>
      </c>
      <c r="N124" s="3" t="str">
        <f>VLOOKUP(G124,Store!A:H,6,FALSE)</f>
        <v>Baldwin</v>
      </c>
      <c r="O124" s="3" t="s">
        <v>16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>
        <v>124.0</v>
      </c>
      <c r="B125" s="1">
        <v>403.0</v>
      </c>
      <c r="C125" s="1">
        <v>4.0</v>
      </c>
      <c r="D125" s="4">
        <v>42445.0</v>
      </c>
      <c r="E125" s="4">
        <v>42447.0</v>
      </c>
      <c r="F125" s="4">
        <v>42446.0</v>
      </c>
      <c r="G125" s="1">
        <v>1.0</v>
      </c>
      <c r="H125" s="1">
        <v>3.0</v>
      </c>
      <c r="I125" s="3" t="str">
        <f>VLOOKUP(B125,Customers!A:J, 10,FALSE)</f>
        <v>Elouise Fry</v>
      </c>
      <c r="J125" s="3" t="str">
        <f>VLOOKUP(B125,Customers!A:J,8,FALSE)</f>
        <v>CA</v>
      </c>
      <c r="K125" s="3" t="str">
        <f>VLOOKUP(B125,Customers!A:J,7,FALSE)</f>
        <v>Canyon Country</v>
      </c>
      <c r="L125" s="3" t="str">
        <f>VLOOKUP(H125,Staff!A:I,9,FALSE)</f>
        <v>Genna Serrano</v>
      </c>
      <c r="M125" s="3" t="str">
        <f>VLOOKUP(G125,Store!A:H,2,FALSE)</f>
        <v>Santa Cruz Bikes</v>
      </c>
      <c r="N125" s="3" t="str">
        <f>VLOOKUP(G125,Store!A:H,6,FALSE)</f>
        <v>Santa Cruz</v>
      </c>
      <c r="O125" s="3" t="s">
        <v>15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>
        <v>125.0</v>
      </c>
      <c r="B126" s="1">
        <v>685.0</v>
      </c>
      <c r="C126" s="1">
        <v>4.0</v>
      </c>
      <c r="D126" s="4">
        <v>42445.0</v>
      </c>
      <c r="E126" s="4">
        <v>42448.0</v>
      </c>
      <c r="F126" s="4">
        <v>42446.0</v>
      </c>
      <c r="G126" s="1">
        <v>2.0</v>
      </c>
      <c r="H126" s="1">
        <v>6.0</v>
      </c>
      <c r="I126" s="3" t="str">
        <f>VLOOKUP(B126,Customers!A:J, 10,FALSE)</f>
        <v>Laverne Craft</v>
      </c>
      <c r="J126" s="3" t="str">
        <f>VLOOKUP(B126,Customers!A:J,8,FALSE)</f>
        <v>NY</v>
      </c>
      <c r="K126" s="3" t="str">
        <f>VLOOKUP(B126,Customers!A:J,7,FALSE)</f>
        <v>Forest Hills</v>
      </c>
      <c r="L126" s="3" t="str">
        <f>VLOOKUP(H126,Staff!A:I,9,FALSE)</f>
        <v>Marcelene Boyer</v>
      </c>
      <c r="M126" s="3" t="str">
        <f>VLOOKUP(G126,Store!A:H,2,FALSE)</f>
        <v>Baldwin Bikes</v>
      </c>
      <c r="N126" s="3" t="str">
        <f>VLOOKUP(G126,Store!A:H,6,FALSE)</f>
        <v>Baldwin</v>
      </c>
      <c r="O126" s="3" t="s">
        <v>16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>
        <v>126.0</v>
      </c>
      <c r="B127" s="1">
        <v>1365.0</v>
      </c>
      <c r="C127" s="1">
        <v>4.0</v>
      </c>
      <c r="D127" s="4">
        <v>42445.0</v>
      </c>
      <c r="E127" s="4">
        <v>42447.0</v>
      </c>
      <c r="F127" s="4">
        <v>42447.0</v>
      </c>
      <c r="G127" s="1">
        <v>2.0</v>
      </c>
      <c r="H127" s="1">
        <v>7.0</v>
      </c>
      <c r="I127" s="3" t="str">
        <f>VLOOKUP(B127,Customers!A:J, 10,FALSE)</f>
        <v>Shenna Espinoza</v>
      </c>
      <c r="J127" s="3" t="str">
        <f>VLOOKUP(B127,Customers!A:J,8,FALSE)</f>
        <v>NY</v>
      </c>
      <c r="K127" s="3" t="str">
        <f>VLOOKUP(B127,Customers!A:J,7,FALSE)</f>
        <v>Queensbury</v>
      </c>
      <c r="L127" s="3" t="str">
        <f>VLOOKUP(H127,Staff!A:I,9,FALSE)</f>
        <v>Venita Daniel</v>
      </c>
      <c r="M127" s="3" t="str">
        <f>VLOOKUP(G127,Store!A:H,2,FALSE)</f>
        <v>Baldwin Bikes</v>
      </c>
      <c r="N127" s="3" t="str">
        <f>VLOOKUP(G127,Store!A:H,6,FALSE)</f>
        <v>Baldwin</v>
      </c>
      <c r="O127" s="3" t="s">
        <v>16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>
        <v>127.0</v>
      </c>
      <c r="B128" s="1">
        <v>484.0</v>
      </c>
      <c r="C128" s="1">
        <v>4.0</v>
      </c>
      <c r="D128" s="4">
        <v>42446.0</v>
      </c>
      <c r="E128" s="4">
        <v>42447.0</v>
      </c>
      <c r="F128" s="4">
        <v>42448.0</v>
      </c>
      <c r="G128" s="1">
        <v>3.0</v>
      </c>
      <c r="H128" s="1">
        <v>8.0</v>
      </c>
      <c r="I128" s="3" t="str">
        <f>VLOOKUP(B128,Customers!A:J, 10,FALSE)</f>
        <v>Chelsey Boyd</v>
      </c>
      <c r="J128" s="3" t="str">
        <f>VLOOKUP(B128,Customers!A:J,8,FALSE)</f>
        <v>TX</v>
      </c>
      <c r="K128" s="3" t="str">
        <f>VLOOKUP(B128,Customers!A:J,7,FALSE)</f>
        <v>Euless</v>
      </c>
      <c r="L128" s="3" t="str">
        <f>VLOOKUP(H128,Staff!A:I,9,FALSE)</f>
        <v>Kali Vargas</v>
      </c>
      <c r="M128" s="3" t="str">
        <f>VLOOKUP(G128,Store!A:H,2,FALSE)</f>
        <v>Rowlett Bikes</v>
      </c>
      <c r="N128" s="3" t="str">
        <f>VLOOKUP(G128,Store!A:H,6,FALSE)</f>
        <v>Rowlett</v>
      </c>
      <c r="O128" s="3" t="s">
        <v>17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>
        <v>128.0</v>
      </c>
      <c r="B129" s="1">
        <v>86.0</v>
      </c>
      <c r="C129" s="1">
        <v>4.0</v>
      </c>
      <c r="D129" s="4">
        <v>42447.0</v>
      </c>
      <c r="E129" s="4">
        <v>42449.0</v>
      </c>
      <c r="F129" s="4">
        <v>42450.0</v>
      </c>
      <c r="G129" s="1">
        <v>2.0</v>
      </c>
      <c r="H129" s="1">
        <v>6.0</v>
      </c>
      <c r="I129" s="3" t="str">
        <f>VLOOKUP(B129,Customers!A:J, 10,FALSE)</f>
        <v>Lissa Vargas</v>
      </c>
      <c r="J129" s="3" t="str">
        <f>VLOOKUP(B129,Customers!A:J,8,FALSE)</f>
        <v>NY</v>
      </c>
      <c r="K129" s="3" t="str">
        <f>VLOOKUP(B129,Customers!A:J,7,FALSE)</f>
        <v>Oswego</v>
      </c>
      <c r="L129" s="3" t="str">
        <f>VLOOKUP(H129,Staff!A:I,9,FALSE)</f>
        <v>Marcelene Boyer</v>
      </c>
      <c r="M129" s="3" t="str">
        <f>VLOOKUP(G129,Store!A:H,2,FALSE)</f>
        <v>Baldwin Bikes</v>
      </c>
      <c r="N129" s="3" t="str">
        <f>VLOOKUP(G129,Store!A:H,6,FALSE)</f>
        <v>Baldwin</v>
      </c>
      <c r="O129" s="3" t="s">
        <v>16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>
        <v>129.0</v>
      </c>
      <c r="B130" s="1">
        <v>84.0</v>
      </c>
      <c r="C130" s="1">
        <v>4.0</v>
      </c>
      <c r="D130" s="4">
        <v>42448.0</v>
      </c>
      <c r="E130" s="4">
        <v>42450.0</v>
      </c>
      <c r="F130" s="4">
        <v>42450.0</v>
      </c>
      <c r="G130" s="1">
        <v>2.0</v>
      </c>
      <c r="H130" s="1">
        <v>7.0</v>
      </c>
      <c r="I130" s="3" t="str">
        <f>VLOOKUP(B130,Customers!A:J, 10,FALSE)</f>
        <v>Armand Whitehead</v>
      </c>
      <c r="J130" s="3" t="str">
        <f>VLOOKUP(B130,Customers!A:J,8,FALSE)</f>
        <v>NY</v>
      </c>
      <c r="K130" s="3" t="str">
        <f>VLOOKUP(B130,Customers!A:J,7,FALSE)</f>
        <v>Lindenhurst</v>
      </c>
      <c r="L130" s="3" t="str">
        <f>VLOOKUP(H130,Staff!A:I,9,FALSE)</f>
        <v>Venita Daniel</v>
      </c>
      <c r="M130" s="3" t="str">
        <f>VLOOKUP(G130,Store!A:H,2,FALSE)</f>
        <v>Baldwin Bikes</v>
      </c>
      <c r="N130" s="3" t="str">
        <f>VLOOKUP(G130,Store!A:H,6,FALSE)</f>
        <v>Baldwin</v>
      </c>
      <c r="O130" s="3" t="s">
        <v>16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>
        <v>130.0</v>
      </c>
      <c r="B131" s="1">
        <v>1049.0</v>
      </c>
      <c r="C131" s="1">
        <v>4.0</v>
      </c>
      <c r="D131" s="4">
        <v>42448.0</v>
      </c>
      <c r="E131" s="4">
        <v>42451.0</v>
      </c>
      <c r="F131" s="4">
        <v>42449.0</v>
      </c>
      <c r="G131" s="1">
        <v>2.0</v>
      </c>
      <c r="H131" s="1">
        <v>6.0</v>
      </c>
      <c r="I131" s="3" t="str">
        <f>VLOOKUP(B131,Customers!A:J, 10,FALSE)</f>
        <v>Marcelino Mcbride</v>
      </c>
      <c r="J131" s="3" t="str">
        <f>VLOOKUP(B131,Customers!A:J,8,FALSE)</f>
        <v>NY</v>
      </c>
      <c r="K131" s="3" t="str">
        <f>VLOOKUP(B131,Customers!A:J,7,FALSE)</f>
        <v>Clifton Park</v>
      </c>
      <c r="L131" s="3" t="str">
        <f>VLOOKUP(H131,Staff!A:I,9,FALSE)</f>
        <v>Marcelene Boyer</v>
      </c>
      <c r="M131" s="3" t="str">
        <f>VLOOKUP(G131,Store!A:H,2,FALSE)</f>
        <v>Baldwin Bikes</v>
      </c>
      <c r="N131" s="3" t="str">
        <f>VLOOKUP(G131,Store!A:H,6,FALSE)</f>
        <v>Baldwin</v>
      </c>
      <c r="O131" s="3" t="s">
        <v>16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>
        <v>131.0</v>
      </c>
      <c r="B132" s="1">
        <v>316.0</v>
      </c>
      <c r="C132" s="1">
        <v>4.0</v>
      </c>
      <c r="D132" s="4">
        <v>42448.0</v>
      </c>
      <c r="E132" s="4">
        <v>42451.0</v>
      </c>
      <c r="F132" s="4">
        <v>42449.0</v>
      </c>
      <c r="G132" s="1">
        <v>3.0</v>
      </c>
      <c r="H132" s="1">
        <v>8.0</v>
      </c>
      <c r="I132" s="3" t="str">
        <f>VLOOKUP(B132,Customers!A:J, 10,FALSE)</f>
        <v>Hortencia Graham</v>
      </c>
      <c r="J132" s="3" t="str">
        <f>VLOOKUP(B132,Customers!A:J,8,FALSE)</f>
        <v>TX</v>
      </c>
      <c r="K132" s="3" t="str">
        <f>VLOOKUP(B132,Customers!A:J,7,FALSE)</f>
        <v>Euless</v>
      </c>
      <c r="L132" s="3" t="str">
        <f>VLOOKUP(H132,Staff!A:I,9,FALSE)</f>
        <v>Kali Vargas</v>
      </c>
      <c r="M132" s="3" t="str">
        <f>VLOOKUP(G132,Store!A:H,2,FALSE)</f>
        <v>Rowlett Bikes</v>
      </c>
      <c r="N132" s="3" t="str">
        <f>VLOOKUP(G132,Store!A:H,6,FALSE)</f>
        <v>Rowlett</v>
      </c>
      <c r="O132" s="3" t="s">
        <v>17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>
        <v>132.0</v>
      </c>
      <c r="B133" s="1">
        <v>46.0</v>
      </c>
      <c r="C133" s="1">
        <v>4.0</v>
      </c>
      <c r="D133" s="4">
        <v>42449.0</v>
      </c>
      <c r="E133" s="4">
        <v>42451.0</v>
      </c>
      <c r="F133" s="4">
        <v>42452.0</v>
      </c>
      <c r="G133" s="1">
        <v>1.0</v>
      </c>
      <c r="H133" s="1">
        <v>3.0</v>
      </c>
      <c r="I133" s="3" t="str">
        <f>VLOOKUP(B133,Customers!A:J, 10,FALSE)</f>
        <v>Monika Berg</v>
      </c>
      <c r="J133" s="3" t="str">
        <f>VLOOKUP(B133,Customers!A:J,8,FALSE)</f>
        <v>CA</v>
      </c>
      <c r="K133" s="3" t="str">
        <f>VLOOKUP(B133,Customers!A:J,7,FALSE)</f>
        <v>Encino</v>
      </c>
      <c r="L133" s="3" t="str">
        <f>VLOOKUP(H133,Staff!A:I,9,FALSE)</f>
        <v>Genna Serrano</v>
      </c>
      <c r="M133" s="3" t="str">
        <f>VLOOKUP(G133,Store!A:H,2,FALSE)</f>
        <v>Santa Cruz Bikes</v>
      </c>
      <c r="N133" s="3" t="str">
        <f>VLOOKUP(G133,Store!A:H,6,FALSE)</f>
        <v>Santa Cruz</v>
      </c>
      <c r="O133" s="3" t="s">
        <v>15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>
        <v>133.0</v>
      </c>
      <c r="B134" s="1">
        <v>409.0</v>
      </c>
      <c r="C134" s="1">
        <v>4.0</v>
      </c>
      <c r="D134" s="4">
        <v>42449.0</v>
      </c>
      <c r="E134" s="4">
        <v>42451.0</v>
      </c>
      <c r="F134" s="4">
        <v>42450.0</v>
      </c>
      <c r="G134" s="1">
        <v>2.0</v>
      </c>
      <c r="H134" s="1">
        <v>7.0</v>
      </c>
      <c r="I134" s="3" t="str">
        <f>VLOOKUP(B134,Customers!A:J, 10,FALSE)</f>
        <v>Jerome Bolton</v>
      </c>
      <c r="J134" s="3" t="str">
        <f>VLOOKUP(B134,Customers!A:J,8,FALSE)</f>
        <v>NY</v>
      </c>
      <c r="K134" s="3" t="str">
        <f>VLOOKUP(B134,Customers!A:J,7,FALSE)</f>
        <v>Carmel</v>
      </c>
      <c r="L134" s="3" t="str">
        <f>VLOOKUP(H134,Staff!A:I,9,FALSE)</f>
        <v>Venita Daniel</v>
      </c>
      <c r="M134" s="3" t="str">
        <f>VLOOKUP(G134,Store!A:H,2,FALSE)</f>
        <v>Baldwin Bikes</v>
      </c>
      <c r="N134" s="3" t="str">
        <f>VLOOKUP(G134,Store!A:H,6,FALSE)</f>
        <v>Baldwin</v>
      </c>
      <c r="O134" s="3" t="s">
        <v>16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>
        <v>134.0</v>
      </c>
      <c r="B135" s="1">
        <v>679.0</v>
      </c>
      <c r="C135" s="1">
        <v>4.0</v>
      </c>
      <c r="D135" s="4">
        <v>42449.0</v>
      </c>
      <c r="E135" s="4">
        <v>42450.0</v>
      </c>
      <c r="F135" s="4">
        <v>42450.0</v>
      </c>
      <c r="G135" s="1">
        <v>2.0</v>
      </c>
      <c r="H135" s="1">
        <v>7.0</v>
      </c>
      <c r="I135" s="3" t="str">
        <f>VLOOKUP(B135,Customers!A:J, 10,FALSE)</f>
        <v>Tuan Wolfe</v>
      </c>
      <c r="J135" s="3" t="str">
        <f>VLOOKUP(B135,Customers!A:J,8,FALSE)</f>
        <v>NY</v>
      </c>
      <c r="K135" s="3" t="str">
        <f>VLOOKUP(B135,Customers!A:J,7,FALSE)</f>
        <v>West Babylon</v>
      </c>
      <c r="L135" s="3" t="str">
        <f>VLOOKUP(H135,Staff!A:I,9,FALSE)</f>
        <v>Venita Daniel</v>
      </c>
      <c r="M135" s="3" t="str">
        <f>VLOOKUP(G135,Store!A:H,2,FALSE)</f>
        <v>Baldwin Bikes</v>
      </c>
      <c r="N135" s="3" t="str">
        <f>VLOOKUP(G135,Store!A:H,6,FALSE)</f>
        <v>Baldwin</v>
      </c>
      <c r="O135" s="3" t="s">
        <v>16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>
        <v>135.0</v>
      </c>
      <c r="B136" s="1">
        <v>1354.0</v>
      </c>
      <c r="C136" s="1">
        <v>4.0</v>
      </c>
      <c r="D136" s="4">
        <v>42450.0</v>
      </c>
      <c r="E136" s="4">
        <v>42452.0</v>
      </c>
      <c r="F136" s="4">
        <v>42452.0</v>
      </c>
      <c r="G136" s="1">
        <v>2.0</v>
      </c>
      <c r="H136" s="1">
        <v>7.0</v>
      </c>
      <c r="I136" s="3" t="str">
        <f>VLOOKUP(B136,Customers!A:J, 10,FALSE)</f>
        <v>Alexandria Zamora</v>
      </c>
      <c r="J136" s="3" t="str">
        <f>VLOOKUP(B136,Customers!A:J,8,FALSE)</f>
        <v>NY</v>
      </c>
      <c r="K136" s="3" t="str">
        <f>VLOOKUP(B136,Customers!A:J,7,FALSE)</f>
        <v>Schenectady</v>
      </c>
      <c r="L136" s="3" t="str">
        <f>VLOOKUP(H136,Staff!A:I,9,FALSE)</f>
        <v>Venita Daniel</v>
      </c>
      <c r="M136" s="3" t="str">
        <f>VLOOKUP(G136,Store!A:H,2,FALSE)</f>
        <v>Baldwin Bikes</v>
      </c>
      <c r="N136" s="3" t="str">
        <f>VLOOKUP(G136,Store!A:H,6,FALSE)</f>
        <v>Baldwin</v>
      </c>
      <c r="O136" s="3" t="s">
        <v>16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>
        <v>136.0</v>
      </c>
      <c r="B137" s="1">
        <v>1192.0</v>
      </c>
      <c r="C137" s="1">
        <v>4.0</v>
      </c>
      <c r="D137" s="4">
        <v>42450.0</v>
      </c>
      <c r="E137" s="4">
        <v>42453.0</v>
      </c>
      <c r="F137" s="4">
        <v>42452.0</v>
      </c>
      <c r="G137" s="1">
        <v>3.0</v>
      </c>
      <c r="H137" s="1">
        <v>8.0</v>
      </c>
      <c r="I137" s="3" t="str">
        <f>VLOOKUP(B137,Customers!A:J, 10,FALSE)</f>
        <v>Gena Owens</v>
      </c>
      <c r="J137" s="3" t="str">
        <f>VLOOKUP(B137,Customers!A:J,8,FALSE)</f>
        <v>TX</v>
      </c>
      <c r="K137" s="3" t="str">
        <f>VLOOKUP(B137,Customers!A:J,7,FALSE)</f>
        <v>Desoto</v>
      </c>
      <c r="L137" s="3" t="str">
        <f>VLOOKUP(H137,Staff!A:I,9,FALSE)</f>
        <v>Kali Vargas</v>
      </c>
      <c r="M137" s="3" t="str">
        <f>VLOOKUP(G137,Store!A:H,2,FALSE)</f>
        <v>Rowlett Bikes</v>
      </c>
      <c r="N137" s="3" t="str">
        <f>VLOOKUP(G137,Store!A:H,6,FALSE)</f>
        <v>Rowlett</v>
      </c>
      <c r="O137" s="3" t="s">
        <v>17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>
        <v>137.0</v>
      </c>
      <c r="B138" s="1">
        <v>370.0</v>
      </c>
      <c r="C138" s="1">
        <v>4.0</v>
      </c>
      <c r="D138" s="4">
        <v>42452.0</v>
      </c>
      <c r="E138" s="4">
        <v>42455.0</v>
      </c>
      <c r="F138" s="4">
        <v>42454.0</v>
      </c>
      <c r="G138" s="1">
        <v>2.0</v>
      </c>
      <c r="H138" s="1">
        <v>7.0</v>
      </c>
      <c r="I138" s="3" t="str">
        <f>VLOOKUP(B138,Customers!A:J, 10,FALSE)</f>
        <v>Jina Cooper</v>
      </c>
      <c r="J138" s="3" t="str">
        <f>VLOOKUP(B138,Customers!A:J,8,FALSE)</f>
        <v>NY</v>
      </c>
      <c r="K138" s="3" t="str">
        <f>VLOOKUP(B138,Customers!A:J,7,FALSE)</f>
        <v>Howard Beach</v>
      </c>
      <c r="L138" s="3" t="str">
        <f>VLOOKUP(H138,Staff!A:I,9,FALSE)</f>
        <v>Venita Daniel</v>
      </c>
      <c r="M138" s="3" t="str">
        <f>VLOOKUP(G138,Store!A:H,2,FALSE)</f>
        <v>Baldwin Bikes</v>
      </c>
      <c r="N138" s="3" t="str">
        <f>VLOOKUP(G138,Store!A:H,6,FALSE)</f>
        <v>Baldwin</v>
      </c>
      <c r="O138" s="3" t="s">
        <v>16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>
        <v>138.0</v>
      </c>
      <c r="B139" s="1">
        <v>438.0</v>
      </c>
      <c r="C139" s="1">
        <v>4.0</v>
      </c>
      <c r="D139" s="4">
        <v>42452.0</v>
      </c>
      <c r="E139" s="4">
        <v>42453.0</v>
      </c>
      <c r="F139" s="4">
        <v>42454.0</v>
      </c>
      <c r="G139" s="1">
        <v>2.0</v>
      </c>
      <c r="H139" s="1">
        <v>7.0</v>
      </c>
      <c r="I139" s="3" t="str">
        <f>VLOOKUP(B139,Customers!A:J, 10,FALSE)</f>
        <v>Katharine Herrera</v>
      </c>
      <c r="J139" s="3" t="str">
        <f>VLOOKUP(B139,Customers!A:J,8,FALSE)</f>
        <v>NY</v>
      </c>
      <c r="K139" s="3" t="str">
        <f>VLOOKUP(B139,Customers!A:J,7,FALSE)</f>
        <v>Queensbury</v>
      </c>
      <c r="L139" s="3" t="str">
        <f>VLOOKUP(H139,Staff!A:I,9,FALSE)</f>
        <v>Venita Daniel</v>
      </c>
      <c r="M139" s="3" t="str">
        <f>VLOOKUP(G139,Store!A:H,2,FALSE)</f>
        <v>Baldwin Bikes</v>
      </c>
      <c r="N139" s="3" t="str">
        <f>VLOOKUP(G139,Store!A:H,6,FALSE)</f>
        <v>Baldwin</v>
      </c>
      <c r="O139" s="3" t="s">
        <v>16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>
        <v>139.0</v>
      </c>
      <c r="B140" s="1">
        <v>710.0</v>
      </c>
      <c r="C140" s="1">
        <v>4.0</v>
      </c>
      <c r="D140" s="4">
        <v>42452.0</v>
      </c>
      <c r="E140" s="4">
        <v>42453.0</v>
      </c>
      <c r="F140" s="4">
        <v>42455.0</v>
      </c>
      <c r="G140" s="1">
        <v>2.0</v>
      </c>
      <c r="H140" s="1">
        <v>7.0</v>
      </c>
      <c r="I140" s="3" t="str">
        <f>VLOOKUP(B140,Customers!A:J, 10,FALSE)</f>
        <v>Ezra Silva</v>
      </c>
      <c r="J140" s="3" t="str">
        <f>VLOOKUP(B140,Customers!A:J,8,FALSE)</f>
        <v>NY</v>
      </c>
      <c r="K140" s="3" t="str">
        <f>VLOOKUP(B140,Customers!A:J,7,FALSE)</f>
        <v>New Windsor</v>
      </c>
      <c r="L140" s="3" t="str">
        <f>VLOOKUP(H140,Staff!A:I,9,FALSE)</f>
        <v>Venita Daniel</v>
      </c>
      <c r="M140" s="3" t="str">
        <f>VLOOKUP(G140,Store!A:H,2,FALSE)</f>
        <v>Baldwin Bikes</v>
      </c>
      <c r="N140" s="3" t="str">
        <f>VLOOKUP(G140,Store!A:H,6,FALSE)</f>
        <v>Baldwin</v>
      </c>
      <c r="O140" s="3" t="s">
        <v>16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>
        <v>140.0</v>
      </c>
      <c r="B141" s="1">
        <v>1264.0</v>
      </c>
      <c r="C141" s="1">
        <v>4.0</v>
      </c>
      <c r="D141" s="4">
        <v>42452.0</v>
      </c>
      <c r="E141" s="4">
        <v>42455.0</v>
      </c>
      <c r="F141" s="4">
        <v>42455.0</v>
      </c>
      <c r="G141" s="1">
        <v>2.0</v>
      </c>
      <c r="H141" s="1">
        <v>7.0</v>
      </c>
      <c r="I141" s="3" t="str">
        <f>VLOOKUP(B141,Customers!A:J, 10,FALSE)</f>
        <v>Devin Velazquez</v>
      </c>
      <c r="J141" s="3" t="str">
        <f>VLOOKUP(B141,Customers!A:J,8,FALSE)</f>
        <v>NY</v>
      </c>
      <c r="K141" s="3" t="str">
        <f>VLOOKUP(B141,Customers!A:J,7,FALSE)</f>
        <v>Brentwood</v>
      </c>
      <c r="L141" s="3" t="str">
        <f>VLOOKUP(H141,Staff!A:I,9,FALSE)</f>
        <v>Venita Daniel</v>
      </c>
      <c r="M141" s="3" t="str">
        <f>VLOOKUP(G141,Store!A:H,2,FALSE)</f>
        <v>Baldwin Bikes</v>
      </c>
      <c r="N141" s="3" t="str">
        <f>VLOOKUP(G141,Store!A:H,6,FALSE)</f>
        <v>Baldwin</v>
      </c>
      <c r="O141" s="3" t="s">
        <v>16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>
        <v>141.0</v>
      </c>
      <c r="B142" s="1">
        <v>557.0</v>
      </c>
      <c r="C142" s="1">
        <v>4.0</v>
      </c>
      <c r="D142" s="4">
        <v>42454.0</v>
      </c>
      <c r="E142" s="4">
        <v>42456.0</v>
      </c>
      <c r="F142" s="4">
        <v>42455.0</v>
      </c>
      <c r="G142" s="1">
        <v>2.0</v>
      </c>
      <c r="H142" s="1">
        <v>7.0</v>
      </c>
      <c r="I142" s="3" t="str">
        <f>VLOOKUP(B142,Customers!A:J, 10,FALSE)</f>
        <v>Erlene Cook</v>
      </c>
      <c r="J142" s="3" t="str">
        <f>VLOOKUP(B142,Customers!A:J,8,FALSE)</f>
        <v>NY</v>
      </c>
      <c r="K142" s="3" t="str">
        <f>VLOOKUP(B142,Customers!A:J,7,FALSE)</f>
        <v>Mount Vernon</v>
      </c>
      <c r="L142" s="3" t="str">
        <f>VLOOKUP(H142,Staff!A:I,9,FALSE)</f>
        <v>Venita Daniel</v>
      </c>
      <c r="M142" s="3" t="str">
        <f>VLOOKUP(G142,Store!A:H,2,FALSE)</f>
        <v>Baldwin Bikes</v>
      </c>
      <c r="N142" s="3" t="str">
        <f>VLOOKUP(G142,Store!A:H,6,FALSE)</f>
        <v>Baldwin</v>
      </c>
      <c r="O142" s="3" t="s">
        <v>16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>
        <v>142.0</v>
      </c>
      <c r="B143" s="1">
        <v>170.0</v>
      </c>
      <c r="C143" s="1">
        <v>4.0</v>
      </c>
      <c r="D143" s="4">
        <v>42455.0</v>
      </c>
      <c r="E143" s="4">
        <v>42456.0</v>
      </c>
      <c r="F143" s="4">
        <v>42456.0</v>
      </c>
      <c r="G143" s="1">
        <v>1.0</v>
      </c>
      <c r="H143" s="1">
        <v>3.0</v>
      </c>
      <c r="I143" s="3" t="str">
        <f>VLOOKUP(B143,Customers!A:J, 10,FALSE)</f>
        <v>Regine Gonzales</v>
      </c>
      <c r="J143" s="3" t="str">
        <f>VLOOKUP(B143,Customers!A:J,8,FALSE)</f>
        <v>CA</v>
      </c>
      <c r="K143" s="3" t="str">
        <f>VLOOKUP(B143,Customers!A:J,7,FALSE)</f>
        <v>Oxnard</v>
      </c>
      <c r="L143" s="3" t="str">
        <f>VLOOKUP(H143,Staff!A:I,9,FALSE)</f>
        <v>Genna Serrano</v>
      </c>
      <c r="M143" s="3" t="str">
        <f>VLOOKUP(G143,Store!A:H,2,FALSE)</f>
        <v>Santa Cruz Bikes</v>
      </c>
      <c r="N143" s="3" t="str">
        <f>VLOOKUP(G143,Store!A:H,6,FALSE)</f>
        <v>Santa Cruz</v>
      </c>
      <c r="O143" s="3" t="s">
        <v>15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>
        <v>143.0</v>
      </c>
      <c r="B144" s="1">
        <v>693.0</v>
      </c>
      <c r="C144" s="1">
        <v>4.0</v>
      </c>
      <c r="D144" s="4">
        <v>42455.0</v>
      </c>
      <c r="E144" s="4">
        <v>42457.0</v>
      </c>
      <c r="F144" s="4">
        <v>42457.0</v>
      </c>
      <c r="G144" s="1">
        <v>2.0</v>
      </c>
      <c r="H144" s="1">
        <v>7.0</v>
      </c>
      <c r="I144" s="3" t="str">
        <f>VLOOKUP(B144,Customers!A:J, 10,FALSE)</f>
        <v>Merlin Foreman</v>
      </c>
      <c r="J144" s="3" t="str">
        <f>VLOOKUP(B144,Customers!A:J,8,FALSE)</f>
        <v>NY</v>
      </c>
      <c r="K144" s="3" t="str">
        <f>VLOOKUP(B144,Customers!A:J,7,FALSE)</f>
        <v>Hempstead</v>
      </c>
      <c r="L144" s="3" t="str">
        <f>VLOOKUP(H144,Staff!A:I,9,FALSE)</f>
        <v>Venita Daniel</v>
      </c>
      <c r="M144" s="3" t="str">
        <f>VLOOKUP(G144,Store!A:H,2,FALSE)</f>
        <v>Baldwin Bikes</v>
      </c>
      <c r="N144" s="3" t="str">
        <f>VLOOKUP(G144,Store!A:H,6,FALSE)</f>
        <v>Baldwin</v>
      </c>
      <c r="O144" s="3" t="s">
        <v>16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>
        <v>144.0</v>
      </c>
      <c r="B145" s="1">
        <v>1124.0</v>
      </c>
      <c r="C145" s="1">
        <v>4.0</v>
      </c>
      <c r="D145" s="4">
        <v>42455.0</v>
      </c>
      <c r="E145" s="4">
        <v>42458.0</v>
      </c>
      <c r="F145" s="4">
        <v>42458.0</v>
      </c>
      <c r="G145" s="1">
        <v>2.0</v>
      </c>
      <c r="H145" s="1">
        <v>7.0</v>
      </c>
      <c r="I145" s="3" t="str">
        <f>VLOOKUP(B145,Customers!A:J, 10,FALSE)</f>
        <v>Hubert Reilly</v>
      </c>
      <c r="J145" s="3" t="str">
        <f>VLOOKUP(B145,Customers!A:J,8,FALSE)</f>
        <v>NY</v>
      </c>
      <c r="K145" s="3" t="str">
        <f>VLOOKUP(B145,Customers!A:J,7,FALSE)</f>
        <v>Amityville</v>
      </c>
      <c r="L145" s="3" t="str">
        <f>VLOOKUP(H145,Staff!A:I,9,FALSE)</f>
        <v>Venita Daniel</v>
      </c>
      <c r="M145" s="3" t="str">
        <f>VLOOKUP(G145,Store!A:H,2,FALSE)</f>
        <v>Baldwin Bikes</v>
      </c>
      <c r="N145" s="3" t="str">
        <f>VLOOKUP(G145,Store!A:H,6,FALSE)</f>
        <v>Baldwin</v>
      </c>
      <c r="O145" s="3" t="s">
        <v>16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>
        <v>145.0</v>
      </c>
      <c r="B146" s="1">
        <v>366.0</v>
      </c>
      <c r="C146" s="1">
        <v>4.0</v>
      </c>
      <c r="D146" s="4">
        <v>42456.0</v>
      </c>
      <c r="E146" s="4">
        <v>42458.0</v>
      </c>
      <c r="F146" s="4">
        <v>42459.0</v>
      </c>
      <c r="G146" s="1">
        <v>2.0</v>
      </c>
      <c r="H146" s="1">
        <v>6.0</v>
      </c>
      <c r="I146" s="3" t="str">
        <f>VLOOKUP(B146,Customers!A:J, 10,FALSE)</f>
        <v>Lavonne Anderson</v>
      </c>
      <c r="J146" s="3" t="str">
        <f>VLOOKUP(B146,Customers!A:J,8,FALSE)</f>
        <v>NY</v>
      </c>
      <c r="K146" s="3" t="str">
        <f>VLOOKUP(B146,Customers!A:J,7,FALSE)</f>
        <v>Floral Park</v>
      </c>
      <c r="L146" s="3" t="str">
        <f>VLOOKUP(H146,Staff!A:I,9,FALSE)</f>
        <v>Marcelene Boyer</v>
      </c>
      <c r="M146" s="3" t="str">
        <f>VLOOKUP(G146,Store!A:H,2,FALSE)</f>
        <v>Baldwin Bikes</v>
      </c>
      <c r="N146" s="3" t="str">
        <f>VLOOKUP(G146,Store!A:H,6,FALSE)</f>
        <v>Baldwin</v>
      </c>
      <c r="O146" s="3" t="s">
        <v>16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>
        <v>146.0</v>
      </c>
      <c r="B147" s="1">
        <v>288.0</v>
      </c>
      <c r="C147" s="1">
        <v>4.0</v>
      </c>
      <c r="D147" s="4">
        <v>42457.0</v>
      </c>
      <c r="E147" s="4">
        <v>42459.0</v>
      </c>
      <c r="F147" s="4">
        <v>42459.0</v>
      </c>
      <c r="G147" s="1">
        <v>1.0</v>
      </c>
      <c r="H147" s="1">
        <v>3.0</v>
      </c>
      <c r="I147" s="3" t="str">
        <f>VLOOKUP(B147,Customers!A:J, 10,FALSE)</f>
        <v>Keturah Massey</v>
      </c>
      <c r="J147" s="3" t="str">
        <f>VLOOKUP(B147,Customers!A:J,8,FALSE)</f>
        <v>CA</v>
      </c>
      <c r="K147" s="3" t="str">
        <f>VLOOKUP(B147,Customers!A:J,7,FALSE)</f>
        <v>Banning</v>
      </c>
      <c r="L147" s="3" t="str">
        <f>VLOOKUP(H147,Staff!A:I,9,FALSE)</f>
        <v>Genna Serrano</v>
      </c>
      <c r="M147" s="3" t="str">
        <f>VLOOKUP(G147,Store!A:H,2,FALSE)</f>
        <v>Santa Cruz Bikes</v>
      </c>
      <c r="N147" s="3" t="str">
        <f>VLOOKUP(G147,Store!A:H,6,FALSE)</f>
        <v>Santa Cruz</v>
      </c>
      <c r="O147" s="3" t="s">
        <v>15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>
        <v>147.0</v>
      </c>
      <c r="B148" s="1">
        <v>55.0</v>
      </c>
      <c r="C148" s="1">
        <v>4.0</v>
      </c>
      <c r="D148" s="4">
        <v>42457.0</v>
      </c>
      <c r="E148" s="4">
        <v>42460.0</v>
      </c>
      <c r="F148" s="4">
        <v>42460.0</v>
      </c>
      <c r="G148" s="1">
        <v>2.0</v>
      </c>
      <c r="H148" s="1">
        <v>7.0</v>
      </c>
      <c r="I148" s="3" t="str">
        <f>VLOOKUP(B148,Customers!A:J, 10,FALSE)</f>
        <v>Diana Guerra</v>
      </c>
      <c r="J148" s="3" t="str">
        <f>VLOOKUP(B148,Customers!A:J,8,FALSE)</f>
        <v>NY</v>
      </c>
      <c r="K148" s="3" t="str">
        <f>VLOOKUP(B148,Customers!A:J,7,FALSE)</f>
        <v>Merrick</v>
      </c>
      <c r="L148" s="3" t="str">
        <f>VLOOKUP(H148,Staff!A:I,9,FALSE)</f>
        <v>Venita Daniel</v>
      </c>
      <c r="M148" s="3" t="str">
        <f>VLOOKUP(G148,Store!A:H,2,FALSE)</f>
        <v>Baldwin Bikes</v>
      </c>
      <c r="N148" s="3" t="str">
        <f>VLOOKUP(G148,Store!A:H,6,FALSE)</f>
        <v>Baldwin</v>
      </c>
      <c r="O148" s="3" t="s">
        <v>16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>
        <v>148.0</v>
      </c>
      <c r="B149" s="1">
        <v>714.0</v>
      </c>
      <c r="C149" s="1">
        <v>4.0</v>
      </c>
      <c r="D149" s="4">
        <v>42457.0</v>
      </c>
      <c r="E149" s="4">
        <v>42459.0</v>
      </c>
      <c r="F149" s="4">
        <v>42459.0</v>
      </c>
      <c r="G149" s="1">
        <v>2.0</v>
      </c>
      <c r="H149" s="1">
        <v>6.0</v>
      </c>
      <c r="I149" s="3" t="str">
        <f>VLOOKUP(B149,Customers!A:J, 10,FALSE)</f>
        <v>Senaida Thompson</v>
      </c>
      <c r="J149" s="3" t="str">
        <f>VLOOKUP(B149,Customers!A:J,8,FALSE)</f>
        <v>NY</v>
      </c>
      <c r="K149" s="3" t="str">
        <f>VLOOKUP(B149,Customers!A:J,7,FALSE)</f>
        <v>Bronx</v>
      </c>
      <c r="L149" s="3" t="str">
        <f>VLOOKUP(H149,Staff!A:I,9,FALSE)</f>
        <v>Marcelene Boyer</v>
      </c>
      <c r="M149" s="3" t="str">
        <f>VLOOKUP(G149,Store!A:H,2,FALSE)</f>
        <v>Baldwin Bikes</v>
      </c>
      <c r="N149" s="3" t="str">
        <f>VLOOKUP(G149,Store!A:H,6,FALSE)</f>
        <v>Baldwin</v>
      </c>
      <c r="O149" s="3" t="s">
        <v>16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>
        <v>149.0</v>
      </c>
      <c r="B150" s="1">
        <v>763.0</v>
      </c>
      <c r="C150" s="1">
        <v>4.0</v>
      </c>
      <c r="D150" s="4">
        <v>42457.0</v>
      </c>
      <c r="E150" s="4">
        <v>42459.0</v>
      </c>
      <c r="F150" s="4">
        <v>42458.0</v>
      </c>
      <c r="G150" s="1">
        <v>2.0</v>
      </c>
      <c r="H150" s="1">
        <v>6.0</v>
      </c>
      <c r="I150" s="3" t="str">
        <f>VLOOKUP(B150,Customers!A:J, 10,FALSE)</f>
        <v>Han Schneider</v>
      </c>
      <c r="J150" s="3" t="str">
        <f>VLOOKUP(B150,Customers!A:J,8,FALSE)</f>
        <v>NY</v>
      </c>
      <c r="K150" s="3" t="str">
        <f>VLOOKUP(B150,Customers!A:J,7,FALSE)</f>
        <v>Elmhurst</v>
      </c>
      <c r="L150" s="3" t="str">
        <f>VLOOKUP(H150,Staff!A:I,9,FALSE)</f>
        <v>Marcelene Boyer</v>
      </c>
      <c r="M150" s="3" t="str">
        <f>VLOOKUP(G150,Store!A:H,2,FALSE)</f>
        <v>Baldwin Bikes</v>
      </c>
      <c r="N150" s="3" t="str">
        <f>VLOOKUP(G150,Store!A:H,6,FALSE)</f>
        <v>Baldwin</v>
      </c>
      <c r="O150" s="3" t="s">
        <v>16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>
        <v>150.0</v>
      </c>
      <c r="B151" s="1">
        <v>332.0</v>
      </c>
      <c r="C151" s="1">
        <v>4.0</v>
      </c>
      <c r="D151" s="4">
        <v>42458.0</v>
      </c>
      <c r="E151" s="4">
        <v>42460.0</v>
      </c>
      <c r="F151" s="4">
        <v>42461.0</v>
      </c>
      <c r="G151" s="1">
        <v>1.0</v>
      </c>
      <c r="H151" s="1">
        <v>2.0</v>
      </c>
      <c r="I151" s="3" t="str">
        <f>VLOOKUP(B151,Customers!A:J, 10,FALSE)</f>
        <v>Reena Higgins</v>
      </c>
      <c r="J151" s="3" t="str">
        <f>VLOOKUP(B151,Customers!A:J,8,FALSE)</f>
        <v>CA</v>
      </c>
      <c r="K151" s="3" t="str">
        <f>VLOOKUP(B151,Customers!A:J,7,FALSE)</f>
        <v>Canyon Country</v>
      </c>
      <c r="L151" s="3" t="str">
        <f>VLOOKUP(H151,Staff!A:I,9,FALSE)</f>
        <v>Mireya Copeland</v>
      </c>
      <c r="M151" s="3" t="str">
        <f>VLOOKUP(G151,Store!A:H,2,FALSE)</f>
        <v>Santa Cruz Bikes</v>
      </c>
      <c r="N151" s="3" t="str">
        <f>VLOOKUP(G151,Store!A:H,6,FALSE)</f>
        <v>Santa Cruz</v>
      </c>
      <c r="O151" s="3" t="s">
        <v>15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>
        <v>151.0</v>
      </c>
      <c r="B152" s="1">
        <v>926.0</v>
      </c>
      <c r="C152" s="1">
        <v>4.0</v>
      </c>
      <c r="D152" s="4">
        <v>42458.0</v>
      </c>
      <c r="E152" s="4">
        <v>42461.0</v>
      </c>
      <c r="F152" s="4">
        <v>42460.0</v>
      </c>
      <c r="G152" s="1">
        <v>1.0</v>
      </c>
      <c r="H152" s="1">
        <v>2.0</v>
      </c>
      <c r="I152" s="3" t="str">
        <f>VLOOKUP(B152,Customers!A:J, 10,FALSE)</f>
        <v>Katina Mcintosh</v>
      </c>
      <c r="J152" s="3" t="str">
        <f>VLOOKUP(B152,Customers!A:J,8,FALSE)</f>
        <v>CA</v>
      </c>
      <c r="K152" s="3" t="str">
        <f>VLOOKUP(B152,Customers!A:J,7,FALSE)</f>
        <v>Bakersfield</v>
      </c>
      <c r="L152" s="3" t="str">
        <f>VLOOKUP(H152,Staff!A:I,9,FALSE)</f>
        <v>Mireya Copeland</v>
      </c>
      <c r="M152" s="3" t="str">
        <f>VLOOKUP(G152,Store!A:H,2,FALSE)</f>
        <v>Santa Cruz Bikes</v>
      </c>
      <c r="N152" s="3" t="str">
        <f>VLOOKUP(G152,Store!A:H,6,FALSE)</f>
        <v>Santa Cruz</v>
      </c>
      <c r="O152" s="3" t="s">
        <v>15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>
        <v>152.0</v>
      </c>
      <c r="B153" s="1">
        <v>76.0</v>
      </c>
      <c r="C153" s="1">
        <v>4.0</v>
      </c>
      <c r="D153" s="4">
        <v>42458.0</v>
      </c>
      <c r="E153" s="4">
        <v>42459.0</v>
      </c>
      <c r="F153" s="4">
        <v>42459.0</v>
      </c>
      <c r="G153" s="1">
        <v>2.0</v>
      </c>
      <c r="H153" s="1">
        <v>6.0</v>
      </c>
      <c r="I153" s="3" t="str">
        <f>VLOOKUP(B153,Customers!A:J, 10,FALSE)</f>
        <v>Parker Prince</v>
      </c>
      <c r="J153" s="3" t="str">
        <f>VLOOKUP(B153,Customers!A:J,8,FALSE)</f>
        <v>NY</v>
      </c>
      <c r="K153" s="3" t="str">
        <f>VLOOKUP(B153,Customers!A:J,7,FALSE)</f>
        <v>Port Jefferson Station</v>
      </c>
      <c r="L153" s="3" t="str">
        <f>VLOOKUP(H153,Staff!A:I,9,FALSE)</f>
        <v>Marcelene Boyer</v>
      </c>
      <c r="M153" s="3" t="str">
        <f>VLOOKUP(G153,Store!A:H,2,FALSE)</f>
        <v>Baldwin Bikes</v>
      </c>
      <c r="N153" s="3" t="str">
        <f>VLOOKUP(G153,Store!A:H,6,FALSE)</f>
        <v>Baldwin</v>
      </c>
      <c r="O153" s="3" t="s">
        <v>16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>
        <v>153.0</v>
      </c>
      <c r="B154" s="1">
        <v>498.0</v>
      </c>
      <c r="C154" s="1">
        <v>4.0</v>
      </c>
      <c r="D154" s="4">
        <v>42459.0</v>
      </c>
      <c r="E154" s="4">
        <v>42462.0</v>
      </c>
      <c r="F154" s="4">
        <v>42461.0</v>
      </c>
      <c r="G154" s="1">
        <v>2.0</v>
      </c>
      <c r="H154" s="1">
        <v>6.0</v>
      </c>
      <c r="I154" s="3" t="str">
        <f>VLOOKUP(B154,Customers!A:J, 10,FALSE)</f>
        <v>Edda Young</v>
      </c>
      <c r="J154" s="3" t="str">
        <f>VLOOKUP(B154,Customers!A:J,8,FALSE)</f>
        <v>NY</v>
      </c>
      <c r="K154" s="3" t="str">
        <f>VLOOKUP(B154,Customers!A:J,7,FALSE)</f>
        <v>North Tonawanda</v>
      </c>
      <c r="L154" s="3" t="str">
        <f>VLOOKUP(H154,Staff!A:I,9,FALSE)</f>
        <v>Marcelene Boyer</v>
      </c>
      <c r="M154" s="3" t="str">
        <f>VLOOKUP(G154,Store!A:H,2,FALSE)</f>
        <v>Baldwin Bikes</v>
      </c>
      <c r="N154" s="3" t="str">
        <f>VLOOKUP(G154,Store!A:H,6,FALSE)</f>
        <v>Baldwin</v>
      </c>
      <c r="O154" s="3" t="s">
        <v>16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>
        <v>154.0</v>
      </c>
      <c r="B155" s="1">
        <v>1286.0</v>
      </c>
      <c r="C155" s="1">
        <v>4.0</v>
      </c>
      <c r="D155" s="4">
        <v>42460.0</v>
      </c>
      <c r="E155" s="4">
        <v>42461.0</v>
      </c>
      <c r="F155" s="4">
        <v>42461.0</v>
      </c>
      <c r="G155" s="1">
        <v>1.0</v>
      </c>
      <c r="H155" s="1">
        <v>2.0</v>
      </c>
      <c r="I155" s="3" t="str">
        <f>VLOOKUP(B155,Customers!A:J, 10,FALSE)</f>
        <v>Dione Pratt</v>
      </c>
      <c r="J155" s="3" t="str">
        <f>VLOOKUP(B155,Customers!A:J,8,FALSE)</f>
        <v>CA</v>
      </c>
      <c r="K155" s="3" t="str">
        <f>VLOOKUP(B155,Customers!A:J,7,FALSE)</f>
        <v>Pleasanton</v>
      </c>
      <c r="L155" s="3" t="str">
        <f>VLOOKUP(H155,Staff!A:I,9,FALSE)</f>
        <v>Mireya Copeland</v>
      </c>
      <c r="M155" s="3" t="str">
        <f>VLOOKUP(G155,Store!A:H,2,FALSE)</f>
        <v>Santa Cruz Bikes</v>
      </c>
      <c r="N155" s="3" t="str">
        <f>VLOOKUP(G155,Store!A:H,6,FALSE)</f>
        <v>Santa Cruz</v>
      </c>
      <c r="O155" s="3" t="s">
        <v>15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>
        <v>155.0</v>
      </c>
      <c r="B156" s="1">
        <v>371.0</v>
      </c>
      <c r="C156" s="1">
        <v>4.0</v>
      </c>
      <c r="D156" s="4">
        <v>42462.0</v>
      </c>
      <c r="E156" s="4">
        <v>42463.0</v>
      </c>
      <c r="F156" s="4">
        <v>42464.0</v>
      </c>
      <c r="G156" s="1">
        <v>2.0</v>
      </c>
      <c r="H156" s="1">
        <v>6.0</v>
      </c>
      <c r="I156" s="3" t="str">
        <f>VLOOKUP(B156,Customers!A:J, 10,FALSE)</f>
        <v>Loni Duncan</v>
      </c>
      <c r="J156" s="3" t="str">
        <f>VLOOKUP(B156,Customers!A:J,8,FALSE)</f>
        <v>NY</v>
      </c>
      <c r="K156" s="3" t="str">
        <f>VLOOKUP(B156,Customers!A:J,7,FALSE)</f>
        <v>Rosedale</v>
      </c>
      <c r="L156" s="3" t="str">
        <f>VLOOKUP(H156,Staff!A:I,9,FALSE)</f>
        <v>Marcelene Boyer</v>
      </c>
      <c r="M156" s="3" t="str">
        <f>VLOOKUP(G156,Store!A:H,2,FALSE)</f>
        <v>Baldwin Bikes</v>
      </c>
      <c r="N156" s="3" t="str">
        <f>VLOOKUP(G156,Store!A:H,6,FALSE)</f>
        <v>Baldwin</v>
      </c>
      <c r="O156" s="3" t="s">
        <v>16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>
        <v>156.0</v>
      </c>
      <c r="B157" s="1">
        <v>357.0</v>
      </c>
      <c r="C157" s="1">
        <v>4.0</v>
      </c>
      <c r="D157" s="4">
        <v>42463.0</v>
      </c>
      <c r="E157" s="4">
        <v>42466.0</v>
      </c>
      <c r="F157" s="4">
        <v>42465.0</v>
      </c>
      <c r="G157" s="1">
        <v>1.0</v>
      </c>
      <c r="H157" s="1">
        <v>3.0</v>
      </c>
      <c r="I157" s="3" t="str">
        <f>VLOOKUP(B157,Customers!A:J, 10,FALSE)</f>
        <v>Sheri Cole</v>
      </c>
      <c r="J157" s="3" t="str">
        <f>VLOOKUP(B157,Customers!A:J,8,FALSE)</f>
        <v>CA</v>
      </c>
      <c r="K157" s="3" t="str">
        <f>VLOOKUP(B157,Customers!A:J,7,FALSE)</f>
        <v>San Jose</v>
      </c>
      <c r="L157" s="3" t="str">
        <f>VLOOKUP(H157,Staff!A:I,9,FALSE)</f>
        <v>Genna Serrano</v>
      </c>
      <c r="M157" s="3" t="str">
        <f>VLOOKUP(G157,Store!A:H,2,FALSE)</f>
        <v>Santa Cruz Bikes</v>
      </c>
      <c r="N157" s="3" t="str">
        <f>VLOOKUP(G157,Store!A:H,6,FALSE)</f>
        <v>Santa Cruz</v>
      </c>
      <c r="O157" s="3" t="s">
        <v>15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>
        <v>157.0</v>
      </c>
      <c r="B158" s="1">
        <v>43.0</v>
      </c>
      <c r="C158" s="1">
        <v>4.0</v>
      </c>
      <c r="D158" s="4">
        <v>42463.0</v>
      </c>
      <c r="E158" s="4">
        <v>42466.0</v>
      </c>
      <c r="F158" s="4">
        <v>42466.0</v>
      </c>
      <c r="G158" s="1">
        <v>3.0</v>
      </c>
      <c r="H158" s="1">
        <v>8.0</v>
      </c>
      <c r="I158" s="3" t="str">
        <f>VLOOKUP(B158,Customers!A:J, 10,FALSE)</f>
        <v>Mozelle Carter</v>
      </c>
      <c r="J158" s="3" t="str">
        <f>VLOOKUP(B158,Customers!A:J,8,FALSE)</f>
        <v>TX</v>
      </c>
      <c r="K158" s="3" t="str">
        <f>VLOOKUP(B158,Customers!A:J,7,FALSE)</f>
        <v>Houston</v>
      </c>
      <c r="L158" s="3" t="str">
        <f>VLOOKUP(H158,Staff!A:I,9,FALSE)</f>
        <v>Kali Vargas</v>
      </c>
      <c r="M158" s="3" t="str">
        <f>VLOOKUP(G158,Store!A:H,2,FALSE)</f>
        <v>Rowlett Bikes</v>
      </c>
      <c r="N158" s="3" t="str">
        <f>VLOOKUP(G158,Store!A:H,6,FALSE)</f>
        <v>Rowlett</v>
      </c>
      <c r="O158" s="3" t="s">
        <v>17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>
        <v>158.0</v>
      </c>
      <c r="B159" s="1">
        <v>117.0</v>
      </c>
      <c r="C159" s="1">
        <v>3.0</v>
      </c>
      <c r="D159" s="4">
        <v>42464.0</v>
      </c>
      <c r="E159" s="4">
        <v>42464.0</v>
      </c>
      <c r="F159" s="1" t="s">
        <v>18</v>
      </c>
      <c r="G159" s="1">
        <v>3.0</v>
      </c>
      <c r="H159" s="1">
        <v>9.0</v>
      </c>
      <c r="I159" s="3" t="str">
        <f>VLOOKUP(B159,Customers!A:J, 10,FALSE)</f>
        <v>Dacia William</v>
      </c>
      <c r="J159" s="3" t="str">
        <f>VLOOKUP(B159,Customers!A:J,8,FALSE)</f>
        <v>TX</v>
      </c>
      <c r="K159" s="3" t="str">
        <f>VLOOKUP(B159,Customers!A:J,7,FALSE)</f>
        <v>Sugar Land</v>
      </c>
      <c r="L159" s="3" t="str">
        <f>VLOOKUP(H159,Staff!A:I,9,FALSE)</f>
        <v>Layla Terrell</v>
      </c>
      <c r="M159" s="3" t="str">
        <f>VLOOKUP(G159,Store!A:H,2,FALSE)</f>
        <v>Rowlett Bikes</v>
      </c>
      <c r="N159" s="3" t="str">
        <f>VLOOKUP(G159,Store!A:H,6,FALSE)</f>
        <v>Rowlett</v>
      </c>
      <c r="O159" s="3" t="s">
        <v>17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>
        <v>159.0</v>
      </c>
      <c r="B160" s="1">
        <v>32.0</v>
      </c>
      <c r="C160" s="1">
        <v>4.0</v>
      </c>
      <c r="D160" s="4">
        <v>42464.0</v>
      </c>
      <c r="E160" s="4">
        <v>42466.0</v>
      </c>
      <c r="F160" s="4">
        <v>42466.0</v>
      </c>
      <c r="G160" s="1">
        <v>1.0</v>
      </c>
      <c r="H160" s="1">
        <v>2.0</v>
      </c>
      <c r="I160" s="3" t="str">
        <f>VLOOKUP(B160,Customers!A:J, 10,FALSE)</f>
        <v>Araceli Golden</v>
      </c>
      <c r="J160" s="3" t="str">
        <f>VLOOKUP(B160,Customers!A:J,8,FALSE)</f>
        <v>CA</v>
      </c>
      <c r="K160" s="3" t="str">
        <f>VLOOKUP(B160,Customers!A:J,7,FALSE)</f>
        <v>Fullerton</v>
      </c>
      <c r="L160" s="3" t="str">
        <f>VLOOKUP(H160,Staff!A:I,9,FALSE)</f>
        <v>Mireya Copeland</v>
      </c>
      <c r="M160" s="3" t="str">
        <f>VLOOKUP(G160,Store!A:H,2,FALSE)</f>
        <v>Santa Cruz Bikes</v>
      </c>
      <c r="N160" s="3" t="str">
        <f>VLOOKUP(G160,Store!A:H,6,FALSE)</f>
        <v>Santa Cruz</v>
      </c>
      <c r="O160" s="3" t="s">
        <v>15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>
        <v>160.0</v>
      </c>
      <c r="B161" s="1">
        <v>205.0</v>
      </c>
      <c r="C161" s="1">
        <v>4.0</v>
      </c>
      <c r="D161" s="4">
        <v>42464.0</v>
      </c>
      <c r="E161" s="4">
        <v>42466.0</v>
      </c>
      <c r="F161" s="4">
        <v>42466.0</v>
      </c>
      <c r="G161" s="1">
        <v>2.0</v>
      </c>
      <c r="H161" s="1">
        <v>7.0</v>
      </c>
      <c r="I161" s="3" t="str">
        <f>VLOOKUP(B161,Customers!A:J, 10,FALSE)</f>
        <v>Harris Pittman</v>
      </c>
      <c r="J161" s="3" t="str">
        <f>VLOOKUP(B161,Customers!A:J,8,FALSE)</f>
        <v>NY</v>
      </c>
      <c r="K161" s="3" t="str">
        <f>VLOOKUP(B161,Customers!A:J,7,FALSE)</f>
        <v>Jamaica</v>
      </c>
      <c r="L161" s="3" t="str">
        <f>VLOOKUP(H161,Staff!A:I,9,FALSE)</f>
        <v>Venita Daniel</v>
      </c>
      <c r="M161" s="3" t="str">
        <f>VLOOKUP(G161,Store!A:H,2,FALSE)</f>
        <v>Baldwin Bikes</v>
      </c>
      <c r="N161" s="3" t="str">
        <f>VLOOKUP(G161,Store!A:H,6,FALSE)</f>
        <v>Baldwin</v>
      </c>
      <c r="O161" s="3" t="s">
        <v>16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>
        <v>161.0</v>
      </c>
      <c r="B162" s="1">
        <v>251.0</v>
      </c>
      <c r="C162" s="1">
        <v>4.0</v>
      </c>
      <c r="D162" s="4">
        <v>42464.0</v>
      </c>
      <c r="E162" s="4">
        <v>42467.0</v>
      </c>
      <c r="F162" s="4">
        <v>42465.0</v>
      </c>
      <c r="G162" s="1">
        <v>2.0</v>
      </c>
      <c r="H162" s="1">
        <v>7.0</v>
      </c>
      <c r="I162" s="3" t="str">
        <f>VLOOKUP(B162,Customers!A:J, 10,FALSE)</f>
        <v>Kasie Rodriquez</v>
      </c>
      <c r="J162" s="3" t="str">
        <f>VLOOKUP(B162,Customers!A:J,8,FALSE)</f>
        <v>NY</v>
      </c>
      <c r="K162" s="3" t="str">
        <f>VLOOKUP(B162,Customers!A:J,7,FALSE)</f>
        <v>Ballston Spa</v>
      </c>
      <c r="L162" s="3" t="str">
        <f>VLOOKUP(H162,Staff!A:I,9,FALSE)</f>
        <v>Venita Daniel</v>
      </c>
      <c r="M162" s="3" t="str">
        <f>VLOOKUP(G162,Store!A:H,2,FALSE)</f>
        <v>Baldwin Bikes</v>
      </c>
      <c r="N162" s="3" t="str">
        <f>VLOOKUP(G162,Store!A:H,6,FALSE)</f>
        <v>Baldwin</v>
      </c>
      <c r="O162" s="3" t="s">
        <v>16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>
        <v>162.0</v>
      </c>
      <c r="B163" s="1">
        <v>31.0</v>
      </c>
      <c r="C163" s="1">
        <v>4.0</v>
      </c>
      <c r="D163" s="4">
        <v>42466.0</v>
      </c>
      <c r="E163" s="4">
        <v>42468.0</v>
      </c>
      <c r="F163" s="4">
        <v>42467.0</v>
      </c>
      <c r="G163" s="1">
        <v>1.0</v>
      </c>
      <c r="H163" s="1">
        <v>3.0</v>
      </c>
      <c r="I163" s="3" t="str">
        <f>VLOOKUP(B163,Customers!A:J, 10,FALSE)</f>
        <v>Williemae Holloway</v>
      </c>
      <c r="J163" s="3" t="str">
        <f>VLOOKUP(B163,Customers!A:J,8,FALSE)</f>
        <v>CA</v>
      </c>
      <c r="K163" s="3" t="str">
        <f>VLOOKUP(B163,Customers!A:J,7,FALSE)</f>
        <v>Oakland</v>
      </c>
      <c r="L163" s="3" t="str">
        <f>VLOOKUP(H163,Staff!A:I,9,FALSE)</f>
        <v>Genna Serrano</v>
      </c>
      <c r="M163" s="3" t="str">
        <f>VLOOKUP(G163,Store!A:H,2,FALSE)</f>
        <v>Santa Cruz Bikes</v>
      </c>
      <c r="N163" s="3" t="str">
        <f>VLOOKUP(G163,Store!A:H,6,FALSE)</f>
        <v>Santa Cruz</v>
      </c>
      <c r="O163" s="3" t="s">
        <v>15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>
        <v>163.0</v>
      </c>
      <c r="B164" s="1">
        <v>1325.0</v>
      </c>
      <c r="C164" s="1">
        <v>4.0</v>
      </c>
      <c r="D164" s="4">
        <v>42466.0</v>
      </c>
      <c r="E164" s="4">
        <v>42467.0</v>
      </c>
      <c r="F164" s="4">
        <v>42467.0</v>
      </c>
      <c r="G164" s="1">
        <v>2.0</v>
      </c>
      <c r="H164" s="1">
        <v>7.0</v>
      </c>
      <c r="I164" s="3" t="str">
        <f>VLOOKUP(B164,Customers!A:J, 10,FALSE)</f>
        <v>Magdalena Sherman</v>
      </c>
      <c r="J164" s="3" t="str">
        <f>VLOOKUP(B164,Customers!A:J,8,FALSE)</f>
        <v>NY</v>
      </c>
      <c r="K164" s="3" t="str">
        <f>VLOOKUP(B164,Customers!A:J,7,FALSE)</f>
        <v>Oswego</v>
      </c>
      <c r="L164" s="3" t="str">
        <f>VLOOKUP(H164,Staff!A:I,9,FALSE)</f>
        <v>Venita Daniel</v>
      </c>
      <c r="M164" s="3" t="str">
        <f>VLOOKUP(G164,Store!A:H,2,FALSE)</f>
        <v>Baldwin Bikes</v>
      </c>
      <c r="N164" s="3" t="str">
        <f>VLOOKUP(G164,Store!A:H,6,FALSE)</f>
        <v>Baldwin</v>
      </c>
      <c r="O164" s="3" t="s">
        <v>16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>
        <v>164.0</v>
      </c>
      <c r="B165" s="1">
        <v>610.0</v>
      </c>
      <c r="C165" s="1">
        <v>4.0</v>
      </c>
      <c r="D165" s="4">
        <v>42467.0</v>
      </c>
      <c r="E165" s="4">
        <v>42468.0</v>
      </c>
      <c r="F165" s="4">
        <v>42469.0</v>
      </c>
      <c r="G165" s="1">
        <v>2.0</v>
      </c>
      <c r="H165" s="1">
        <v>7.0</v>
      </c>
      <c r="I165" s="3" t="str">
        <f>VLOOKUP(B165,Customers!A:J, 10,FALSE)</f>
        <v>Leonore Dorsey</v>
      </c>
      <c r="J165" s="3" t="str">
        <f>VLOOKUP(B165,Customers!A:J,8,FALSE)</f>
        <v>NY</v>
      </c>
      <c r="K165" s="3" t="str">
        <f>VLOOKUP(B165,Customers!A:J,7,FALSE)</f>
        <v>Jackson Heights</v>
      </c>
      <c r="L165" s="3" t="str">
        <f>VLOOKUP(H165,Staff!A:I,9,FALSE)</f>
        <v>Venita Daniel</v>
      </c>
      <c r="M165" s="3" t="str">
        <f>VLOOKUP(G165,Store!A:H,2,FALSE)</f>
        <v>Baldwin Bikes</v>
      </c>
      <c r="N165" s="3" t="str">
        <f>VLOOKUP(G165,Store!A:H,6,FALSE)</f>
        <v>Baldwin</v>
      </c>
      <c r="O165" s="3" t="s">
        <v>16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>
        <v>165.0</v>
      </c>
      <c r="B166" s="1">
        <v>574.0</v>
      </c>
      <c r="C166" s="1">
        <v>4.0</v>
      </c>
      <c r="D166" s="4">
        <v>42468.0</v>
      </c>
      <c r="E166" s="4">
        <v>42470.0</v>
      </c>
      <c r="F166" s="4">
        <v>42470.0</v>
      </c>
      <c r="G166" s="1">
        <v>1.0</v>
      </c>
      <c r="H166" s="1">
        <v>3.0</v>
      </c>
      <c r="I166" s="3" t="str">
        <f>VLOOKUP(B166,Customers!A:J, 10,FALSE)</f>
        <v>Adriene Rivera</v>
      </c>
      <c r="J166" s="3" t="str">
        <f>VLOOKUP(B166,Customers!A:J,8,FALSE)</f>
        <v>CA</v>
      </c>
      <c r="K166" s="3" t="str">
        <f>VLOOKUP(B166,Customers!A:J,7,FALSE)</f>
        <v>Encino</v>
      </c>
      <c r="L166" s="3" t="str">
        <f>VLOOKUP(H166,Staff!A:I,9,FALSE)</f>
        <v>Genna Serrano</v>
      </c>
      <c r="M166" s="3" t="str">
        <f>VLOOKUP(G166,Store!A:H,2,FALSE)</f>
        <v>Santa Cruz Bikes</v>
      </c>
      <c r="N166" s="3" t="str">
        <f>VLOOKUP(G166,Store!A:H,6,FALSE)</f>
        <v>Santa Cruz</v>
      </c>
      <c r="O166" s="3" t="s">
        <v>15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>
        <v>166.0</v>
      </c>
      <c r="B167" s="1">
        <v>338.0</v>
      </c>
      <c r="C167" s="1">
        <v>4.0</v>
      </c>
      <c r="D167" s="4">
        <v>42468.0</v>
      </c>
      <c r="E167" s="4">
        <v>42471.0</v>
      </c>
      <c r="F167" s="4">
        <v>42471.0</v>
      </c>
      <c r="G167" s="1">
        <v>2.0</v>
      </c>
      <c r="H167" s="1">
        <v>6.0</v>
      </c>
      <c r="I167" s="3" t="str">
        <f>VLOOKUP(B167,Customers!A:J, 10,FALSE)</f>
        <v>Abbey Pugh</v>
      </c>
      <c r="J167" s="3" t="str">
        <f>VLOOKUP(B167,Customers!A:J,8,FALSE)</f>
        <v>NY</v>
      </c>
      <c r="K167" s="3" t="str">
        <f>VLOOKUP(B167,Customers!A:J,7,FALSE)</f>
        <v>Forest Hills</v>
      </c>
      <c r="L167" s="3" t="str">
        <f>VLOOKUP(H167,Staff!A:I,9,FALSE)</f>
        <v>Marcelene Boyer</v>
      </c>
      <c r="M167" s="3" t="str">
        <f>VLOOKUP(G167,Store!A:H,2,FALSE)</f>
        <v>Baldwin Bikes</v>
      </c>
      <c r="N167" s="3" t="str">
        <f>VLOOKUP(G167,Store!A:H,6,FALSE)</f>
        <v>Baldwin</v>
      </c>
      <c r="O167" s="3" t="s">
        <v>16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>
        <v>167.0</v>
      </c>
      <c r="B168" s="1">
        <v>1034.0</v>
      </c>
      <c r="C168" s="1">
        <v>4.0</v>
      </c>
      <c r="D168" s="4">
        <v>42468.0</v>
      </c>
      <c r="E168" s="4">
        <v>42469.0</v>
      </c>
      <c r="F168" s="4">
        <v>42471.0</v>
      </c>
      <c r="G168" s="1">
        <v>2.0</v>
      </c>
      <c r="H168" s="1">
        <v>7.0</v>
      </c>
      <c r="I168" s="3" t="str">
        <f>VLOOKUP(B168,Customers!A:J, 10,FALSE)</f>
        <v>Rico Salas</v>
      </c>
      <c r="J168" s="3" t="str">
        <f>VLOOKUP(B168,Customers!A:J,8,FALSE)</f>
        <v>NY</v>
      </c>
      <c r="K168" s="3" t="str">
        <f>VLOOKUP(B168,Customers!A:J,7,FALSE)</f>
        <v>Centereach</v>
      </c>
      <c r="L168" s="3" t="str">
        <f>VLOOKUP(H168,Staff!A:I,9,FALSE)</f>
        <v>Venita Daniel</v>
      </c>
      <c r="M168" s="3" t="str">
        <f>VLOOKUP(G168,Store!A:H,2,FALSE)</f>
        <v>Baldwin Bikes</v>
      </c>
      <c r="N168" s="3" t="str">
        <f>VLOOKUP(G168,Store!A:H,6,FALSE)</f>
        <v>Baldwin</v>
      </c>
      <c r="O168" s="3" t="s">
        <v>16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>
        <v>168.0</v>
      </c>
      <c r="B169" s="1">
        <v>1147.0</v>
      </c>
      <c r="C169" s="1">
        <v>4.0</v>
      </c>
      <c r="D169" s="4">
        <v>42469.0</v>
      </c>
      <c r="E169" s="4">
        <v>42472.0</v>
      </c>
      <c r="F169" s="4">
        <v>42471.0</v>
      </c>
      <c r="G169" s="1">
        <v>1.0</v>
      </c>
      <c r="H169" s="1">
        <v>3.0</v>
      </c>
      <c r="I169" s="3" t="str">
        <f>VLOOKUP(B169,Customers!A:J, 10,FALSE)</f>
        <v>Kandace Ayers</v>
      </c>
      <c r="J169" s="3" t="str">
        <f>VLOOKUP(B169,Customers!A:J,8,FALSE)</f>
        <v>CA</v>
      </c>
      <c r="K169" s="3" t="str">
        <f>VLOOKUP(B169,Customers!A:J,7,FALSE)</f>
        <v>Santa Monica</v>
      </c>
      <c r="L169" s="3" t="str">
        <f>VLOOKUP(H169,Staff!A:I,9,FALSE)</f>
        <v>Genna Serrano</v>
      </c>
      <c r="M169" s="3" t="str">
        <f>VLOOKUP(G169,Store!A:H,2,FALSE)</f>
        <v>Santa Cruz Bikes</v>
      </c>
      <c r="N169" s="3" t="str">
        <f>VLOOKUP(G169,Store!A:H,6,FALSE)</f>
        <v>Santa Cruz</v>
      </c>
      <c r="O169" s="3" t="s">
        <v>15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>
        <v>169.0</v>
      </c>
      <c r="B170" s="1">
        <v>99.0</v>
      </c>
      <c r="C170" s="1">
        <v>4.0</v>
      </c>
      <c r="D170" s="4">
        <v>42470.0</v>
      </c>
      <c r="E170" s="4">
        <v>42471.0</v>
      </c>
      <c r="F170" s="4">
        <v>42471.0</v>
      </c>
      <c r="G170" s="1">
        <v>2.0</v>
      </c>
      <c r="H170" s="1">
        <v>7.0</v>
      </c>
      <c r="I170" s="3" t="str">
        <f>VLOOKUP(B170,Customers!A:J, 10,FALSE)</f>
        <v>Carie Kidd</v>
      </c>
      <c r="J170" s="3" t="str">
        <f>VLOOKUP(B170,Customers!A:J,8,FALSE)</f>
        <v>NY</v>
      </c>
      <c r="K170" s="3" t="str">
        <f>VLOOKUP(B170,Customers!A:J,7,FALSE)</f>
        <v>Monroe</v>
      </c>
      <c r="L170" s="3" t="str">
        <f>VLOOKUP(H170,Staff!A:I,9,FALSE)</f>
        <v>Venita Daniel</v>
      </c>
      <c r="M170" s="3" t="str">
        <f>VLOOKUP(G170,Store!A:H,2,FALSE)</f>
        <v>Baldwin Bikes</v>
      </c>
      <c r="N170" s="3" t="str">
        <f>VLOOKUP(G170,Store!A:H,6,FALSE)</f>
        <v>Baldwin</v>
      </c>
      <c r="O170" s="3" t="s">
        <v>16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>
        <v>170.0</v>
      </c>
      <c r="B171" s="1">
        <v>1200.0</v>
      </c>
      <c r="C171" s="1">
        <v>4.0</v>
      </c>
      <c r="D171" s="4">
        <v>42470.0</v>
      </c>
      <c r="E171" s="4">
        <v>42471.0</v>
      </c>
      <c r="F171" s="4">
        <v>42473.0</v>
      </c>
      <c r="G171" s="1">
        <v>2.0</v>
      </c>
      <c r="H171" s="1">
        <v>7.0</v>
      </c>
      <c r="I171" s="3" t="str">
        <f>VLOOKUP(B171,Customers!A:J, 10,FALSE)</f>
        <v>Aubrey Durham</v>
      </c>
      <c r="J171" s="3" t="str">
        <f>VLOOKUP(B171,Customers!A:J,8,FALSE)</f>
        <v>NY</v>
      </c>
      <c r="K171" s="3" t="str">
        <f>VLOOKUP(B171,Customers!A:J,7,FALSE)</f>
        <v>Port Washington</v>
      </c>
      <c r="L171" s="3" t="str">
        <f>VLOOKUP(H171,Staff!A:I,9,FALSE)</f>
        <v>Venita Daniel</v>
      </c>
      <c r="M171" s="3" t="str">
        <f>VLOOKUP(G171,Store!A:H,2,FALSE)</f>
        <v>Baldwin Bikes</v>
      </c>
      <c r="N171" s="3" t="str">
        <f>VLOOKUP(G171,Store!A:H,6,FALSE)</f>
        <v>Baldwin</v>
      </c>
      <c r="O171" s="3" t="s">
        <v>16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>
        <v>171.0</v>
      </c>
      <c r="B172" s="1">
        <v>237.0</v>
      </c>
      <c r="C172" s="1">
        <v>4.0</v>
      </c>
      <c r="D172" s="4">
        <v>42471.0</v>
      </c>
      <c r="E172" s="4">
        <v>42474.0</v>
      </c>
      <c r="F172" s="4">
        <v>42474.0</v>
      </c>
      <c r="G172" s="1">
        <v>1.0</v>
      </c>
      <c r="H172" s="1">
        <v>3.0</v>
      </c>
      <c r="I172" s="3" t="str">
        <f>VLOOKUP(B172,Customers!A:J, 10,FALSE)</f>
        <v>Elvera Peck</v>
      </c>
      <c r="J172" s="3" t="str">
        <f>VLOOKUP(B172,Customers!A:J,8,FALSE)</f>
        <v>CA</v>
      </c>
      <c r="K172" s="3" t="str">
        <f>VLOOKUP(B172,Customers!A:J,7,FALSE)</f>
        <v>Banning</v>
      </c>
      <c r="L172" s="3" t="str">
        <f>VLOOKUP(H172,Staff!A:I,9,FALSE)</f>
        <v>Genna Serrano</v>
      </c>
      <c r="M172" s="3" t="str">
        <f>VLOOKUP(G172,Store!A:H,2,FALSE)</f>
        <v>Santa Cruz Bikes</v>
      </c>
      <c r="N172" s="3" t="str">
        <f>VLOOKUP(G172,Store!A:H,6,FALSE)</f>
        <v>Santa Cruz</v>
      </c>
      <c r="O172" s="3" t="s">
        <v>15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>
        <v>172.0</v>
      </c>
      <c r="B173" s="1">
        <v>1079.0</v>
      </c>
      <c r="C173" s="1">
        <v>4.0</v>
      </c>
      <c r="D173" s="4">
        <v>42471.0</v>
      </c>
      <c r="E173" s="4">
        <v>42472.0</v>
      </c>
      <c r="F173" s="4">
        <v>42474.0</v>
      </c>
      <c r="G173" s="1">
        <v>2.0</v>
      </c>
      <c r="H173" s="1">
        <v>7.0</v>
      </c>
      <c r="I173" s="3" t="str">
        <f>VLOOKUP(B173,Customers!A:J, 10,FALSE)</f>
        <v>Cindi Ellis</v>
      </c>
      <c r="J173" s="3" t="str">
        <f>VLOOKUP(B173,Customers!A:J,8,FALSE)</f>
        <v>NY</v>
      </c>
      <c r="K173" s="3" t="str">
        <f>VLOOKUP(B173,Customers!A:J,7,FALSE)</f>
        <v>Floral Park</v>
      </c>
      <c r="L173" s="3" t="str">
        <f>VLOOKUP(H173,Staff!A:I,9,FALSE)</f>
        <v>Venita Daniel</v>
      </c>
      <c r="M173" s="3" t="str">
        <f>VLOOKUP(G173,Store!A:H,2,FALSE)</f>
        <v>Baldwin Bikes</v>
      </c>
      <c r="N173" s="3" t="str">
        <f>VLOOKUP(G173,Store!A:H,6,FALSE)</f>
        <v>Baldwin</v>
      </c>
      <c r="O173" s="3" t="s">
        <v>16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>
        <v>173.0</v>
      </c>
      <c r="B174" s="1">
        <v>117.0</v>
      </c>
      <c r="C174" s="1">
        <v>4.0</v>
      </c>
      <c r="D174" s="4">
        <v>42471.0</v>
      </c>
      <c r="E174" s="4">
        <v>42474.0</v>
      </c>
      <c r="F174" s="4">
        <v>42473.0</v>
      </c>
      <c r="G174" s="1">
        <v>3.0</v>
      </c>
      <c r="H174" s="1">
        <v>8.0</v>
      </c>
      <c r="I174" s="3" t="str">
        <f>VLOOKUP(B174,Customers!A:J, 10,FALSE)</f>
        <v>Dacia William</v>
      </c>
      <c r="J174" s="3" t="str">
        <f>VLOOKUP(B174,Customers!A:J,8,FALSE)</f>
        <v>TX</v>
      </c>
      <c r="K174" s="3" t="str">
        <f>VLOOKUP(B174,Customers!A:J,7,FALSE)</f>
        <v>Sugar Land</v>
      </c>
      <c r="L174" s="3" t="str">
        <f>VLOOKUP(H174,Staff!A:I,9,FALSE)</f>
        <v>Kali Vargas</v>
      </c>
      <c r="M174" s="3" t="str">
        <f>VLOOKUP(G174,Store!A:H,2,FALSE)</f>
        <v>Rowlett Bikes</v>
      </c>
      <c r="N174" s="3" t="str">
        <f>VLOOKUP(G174,Store!A:H,6,FALSE)</f>
        <v>Rowlett</v>
      </c>
      <c r="O174" s="3" t="s">
        <v>17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>
        <v>174.0</v>
      </c>
      <c r="B175" s="1">
        <v>1361.0</v>
      </c>
      <c r="C175" s="1">
        <v>4.0</v>
      </c>
      <c r="D175" s="4">
        <v>42472.0</v>
      </c>
      <c r="E175" s="4">
        <v>42473.0</v>
      </c>
      <c r="F175" s="4">
        <v>42475.0</v>
      </c>
      <c r="G175" s="1">
        <v>2.0</v>
      </c>
      <c r="H175" s="1">
        <v>7.0</v>
      </c>
      <c r="I175" s="3" t="str">
        <f>VLOOKUP(B175,Customers!A:J, 10,FALSE)</f>
        <v>Destiny Goodman</v>
      </c>
      <c r="J175" s="3" t="str">
        <f>VLOOKUP(B175,Customers!A:J,8,FALSE)</f>
        <v>NY</v>
      </c>
      <c r="K175" s="3" t="str">
        <f>VLOOKUP(B175,Customers!A:J,7,FALSE)</f>
        <v>Westbury</v>
      </c>
      <c r="L175" s="3" t="str">
        <f>VLOOKUP(H175,Staff!A:I,9,FALSE)</f>
        <v>Venita Daniel</v>
      </c>
      <c r="M175" s="3" t="str">
        <f>VLOOKUP(G175,Store!A:H,2,FALSE)</f>
        <v>Baldwin Bikes</v>
      </c>
      <c r="N175" s="3" t="str">
        <f>VLOOKUP(G175,Store!A:H,6,FALSE)</f>
        <v>Baldwin</v>
      </c>
      <c r="O175" s="3" t="s">
        <v>16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>
        <v>175.0</v>
      </c>
      <c r="B176" s="1">
        <v>951.0</v>
      </c>
      <c r="C176" s="1">
        <v>4.0</v>
      </c>
      <c r="D176" s="4">
        <v>42473.0</v>
      </c>
      <c r="E176" s="4">
        <v>42474.0</v>
      </c>
      <c r="F176" s="4">
        <v>42474.0</v>
      </c>
      <c r="G176" s="1">
        <v>2.0</v>
      </c>
      <c r="H176" s="1">
        <v>6.0</v>
      </c>
      <c r="I176" s="3" t="str">
        <f>VLOOKUP(B176,Customers!A:J, 10,FALSE)</f>
        <v>Steve Bender</v>
      </c>
      <c r="J176" s="3" t="str">
        <f>VLOOKUP(B176,Customers!A:J,8,FALSE)</f>
        <v>NY</v>
      </c>
      <c r="K176" s="3" t="str">
        <f>VLOOKUP(B176,Customers!A:J,7,FALSE)</f>
        <v>Scarsdale</v>
      </c>
      <c r="L176" s="3" t="str">
        <f>VLOOKUP(H176,Staff!A:I,9,FALSE)</f>
        <v>Marcelene Boyer</v>
      </c>
      <c r="M176" s="3" t="str">
        <f>VLOOKUP(G176,Store!A:H,2,FALSE)</f>
        <v>Baldwin Bikes</v>
      </c>
      <c r="N176" s="3" t="str">
        <f>VLOOKUP(G176,Store!A:H,6,FALSE)</f>
        <v>Baldwin</v>
      </c>
      <c r="O176" s="3" t="s">
        <v>16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>
        <v>176.0</v>
      </c>
      <c r="B177" s="1">
        <v>643.0</v>
      </c>
      <c r="C177" s="1">
        <v>4.0</v>
      </c>
      <c r="D177" s="4">
        <v>42475.0</v>
      </c>
      <c r="E177" s="4">
        <v>42476.0</v>
      </c>
      <c r="F177" s="4">
        <v>42477.0</v>
      </c>
      <c r="G177" s="1">
        <v>2.0</v>
      </c>
      <c r="H177" s="1">
        <v>7.0</v>
      </c>
      <c r="I177" s="3" t="str">
        <f>VLOOKUP(B177,Customers!A:J, 10,FALSE)</f>
        <v>Melba Wilkinson</v>
      </c>
      <c r="J177" s="3" t="str">
        <f>VLOOKUP(B177,Customers!A:J,8,FALSE)</f>
        <v>NY</v>
      </c>
      <c r="K177" s="3" t="str">
        <f>VLOOKUP(B177,Customers!A:J,7,FALSE)</f>
        <v>Floral Park</v>
      </c>
      <c r="L177" s="3" t="str">
        <f>VLOOKUP(H177,Staff!A:I,9,FALSE)</f>
        <v>Venita Daniel</v>
      </c>
      <c r="M177" s="3" t="str">
        <f>VLOOKUP(G177,Store!A:H,2,FALSE)</f>
        <v>Baldwin Bikes</v>
      </c>
      <c r="N177" s="3" t="str">
        <f>VLOOKUP(G177,Store!A:H,6,FALSE)</f>
        <v>Baldwin</v>
      </c>
      <c r="O177" s="3" t="s">
        <v>16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>
        <v>177.0</v>
      </c>
      <c r="B178" s="1">
        <v>121.0</v>
      </c>
      <c r="C178" s="1">
        <v>4.0</v>
      </c>
      <c r="D178" s="4">
        <v>42476.0</v>
      </c>
      <c r="E178" s="4">
        <v>42479.0</v>
      </c>
      <c r="F178" s="4">
        <v>42479.0</v>
      </c>
      <c r="G178" s="1">
        <v>1.0</v>
      </c>
      <c r="H178" s="1">
        <v>2.0</v>
      </c>
      <c r="I178" s="3" t="str">
        <f>VLOOKUP(B178,Customers!A:J, 10,FALSE)</f>
        <v>Lucy Woods</v>
      </c>
      <c r="J178" s="3" t="str">
        <f>VLOOKUP(B178,Customers!A:J,8,FALSE)</f>
        <v>CA</v>
      </c>
      <c r="K178" s="3" t="str">
        <f>VLOOKUP(B178,Customers!A:J,7,FALSE)</f>
        <v>Palos Verdes Peninsula</v>
      </c>
      <c r="L178" s="3" t="str">
        <f>VLOOKUP(H178,Staff!A:I,9,FALSE)</f>
        <v>Mireya Copeland</v>
      </c>
      <c r="M178" s="3" t="str">
        <f>VLOOKUP(G178,Store!A:H,2,FALSE)</f>
        <v>Santa Cruz Bikes</v>
      </c>
      <c r="N178" s="3" t="str">
        <f>VLOOKUP(G178,Store!A:H,6,FALSE)</f>
        <v>Santa Cruz</v>
      </c>
      <c r="O178" s="3" t="s">
        <v>15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>
        <v>178.0</v>
      </c>
      <c r="B179" s="1">
        <v>756.0</v>
      </c>
      <c r="C179" s="1">
        <v>4.0</v>
      </c>
      <c r="D179" s="4">
        <v>42476.0</v>
      </c>
      <c r="E179" s="4">
        <v>42477.0</v>
      </c>
      <c r="F179" s="4">
        <v>42478.0</v>
      </c>
      <c r="G179" s="1">
        <v>2.0</v>
      </c>
      <c r="H179" s="1">
        <v>6.0</v>
      </c>
      <c r="I179" s="3" t="str">
        <f>VLOOKUP(B179,Customers!A:J, 10,FALSE)</f>
        <v>Graig Roth</v>
      </c>
      <c r="J179" s="3" t="str">
        <f>VLOOKUP(B179,Customers!A:J,8,FALSE)</f>
        <v>NY</v>
      </c>
      <c r="K179" s="3" t="str">
        <f>VLOOKUP(B179,Customers!A:J,7,FALSE)</f>
        <v>West Babylon</v>
      </c>
      <c r="L179" s="3" t="str">
        <f>VLOOKUP(H179,Staff!A:I,9,FALSE)</f>
        <v>Marcelene Boyer</v>
      </c>
      <c r="M179" s="3" t="str">
        <f>VLOOKUP(G179,Store!A:H,2,FALSE)</f>
        <v>Baldwin Bikes</v>
      </c>
      <c r="N179" s="3" t="str">
        <f>VLOOKUP(G179,Store!A:H,6,FALSE)</f>
        <v>Baldwin</v>
      </c>
      <c r="O179" s="3" t="s">
        <v>16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>
        <v>179.0</v>
      </c>
      <c r="B180" s="1">
        <v>616.0</v>
      </c>
      <c r="C180" s="1">
        <v>4.0</v>
      </c>
      <c r="D180" s="4">
        <v>42477.0</v>
      </c>
      <c r="E180" s="4">
        <v>42479.0</v>
      </c>
      <c r="F180" s="4">
        <v>42479.0</v>
      </c>
      <c r="G180" s="1">
        <v>2.0</v>
      </c>
      <c r="H180" s="1">
        <v>6.0</v>
      </c>
      <c r="I180" s="3" t="str">
        <f>VLOOKUP(B180,Customers!A:J, 10,FALSE)</f>
        <v>Shery Acosta</v>
      </c>
      <c r="J180" s="3" t="str">
        <f>VLOOKUP(B180,Customers!A:J,8,FALSE)</f>
        <v>NY</v>
      </c>
      <c r="K180" s="3" t="str">
        <f>VLOOKUP(B180,Customers!A:J,7,FALSE)</f>
        <v>Saratoga Springs</v>
      </c>
      <c r="L180" s="3" t="str">
        <f>VLOOKUP(H180,Staff!A:I,9,FALSE)</f>
        <v>Marcelene Boyer</v>
      </c>
      <c r="M180" s="3" t="str">
        <f>VLOOKUP(G180,Store!A:H,2,FALSE)</f>
        <v>Baldwin Bikes</v>
      </c>
      <c r="N180" s="3" t="str">
        <f>VLOOKUP(G180,Store!A:H,6,FALSE)</f>
        <v>Baldwin</v>
      </c>
      <c r="O180" s="3" t="s">
        <v>16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>
        <v>180.0</v>
      </c>
      <c r="B181" s="1">
        <v>918.0</v>
      </c>
      <c r="C181" s="1">
        <v>4.0</v>
      </c>
      <c r="D181" s="4">
        <v>42477.0</v>
      </c>
      <c r="E181" s="4">
        <v>42480.0</v>
      </c>
      <c r="F181" s="4">
        <v>42479.0</v>
      </c>
      <c r="G181" s="1">
        <v>2.0</v>
      </c>
      <c r="H181" s="1">
        <v>7.0</v>
      </c>
      <c r="I181" s="3" t="str">
        <f>VLOOKUP(B181,Customers!A:J, 10,FALSE)</f>
        <v>Kristel Bullock</v>
      </c>
      <c r="J181" s="3" t="str">
        <f>VLOOKUP(B181,Customers!A:J,8,FALSE)</f>
        <v>NY</v>
      </c>
      <c r="K181" s="3" t="str">
        <f>VLOOKUP(B181,Customers!A:J,7,FALSE)</f>
        <v>Smithtown</v>
      </c>
      <c r="L181" s="3" t="str">
        <f>VLOOKUP(H181,Staff!A:I,9,FALSE)</f>
        <v>Venita Daniel</v>
      </c>
      <c r="M181" s="3" t="str">
        <f>VLOOKUP(G181,Store!A:H,2,FALSE)</f>
        <v>Baldwin Bikes</v>
      </c>
      <c r="N181" s="3" t="str">
        <f>VLOOKUP(G181,Store!A:H,6,FALSE)</f>
        <v>Baldwin</v>
      </c>
      <c r="O181" s="3" t="s">
        <v>16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>
        <v>181.0</v>
      </c>
      <c r="B182" s="1">
        <v>459.0</v>
      </c>
      <c r="C182" s="1">
        <v>4.0</v>
      </c>
      <c r="D182" s="4">
        <v>42478.0</v>
      </c>
      <c r="E182" s="4">
        <v>42480.0</v>
      </c>
      <c r="F182" s="4">
        <v>42480.0</v>
      </c>
      <c r="G182" s="1">
        <v>1.0</v>
      </c>
      <c r="H182" s="1">
        <v>3.0</v>
      </c>
      <c r="I182" s="3" t="str">
        <f>VLOOKUP(B182,Customers!A:J, 10,FALSE)</f>
        <v>Latosha Dalton</v>
      </c>
      <c r="J182" s="3" t="str">
        <f>VLOOKUP(B182,Customers!A:J,8,FALSE)</f>
        <v>CA</v>
      </c>
      <c r="K182" s="3" t="str">
        <f>VLOOKUP(B182,Customers!A:J,7,FALSE)</f>
        <v>Bakersfield</v>
      </c>
      <c r="L182" s="3" t="str">
        <f>VLOOKUP(H182,Staff!A:I,9,FALSE)</f>
        <v>Genna Serrano</v>
      </c>
      <c r="M182" s="3" t="str">
        <f>VLOOKUP(G182,Store!A:H,2,FALSE)</f>
        <v>Santa Cruz Bikes</v>
      </c>
      <c r="N182" s="3" t="str">
        <f>VLOOKUP(G182,Store!A:H,6,FALSE)</f>
        <v>Santa Cruz</v>
      </c>
      <c r="O182" s="3" t="s">
        <v>15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>
        <v>182.0</v>
      </c>
      <c r="B183" s="1">
        <v>854.0</v>
      </c>
      <c r="C183" s="1">
        <v>4.0</v>
      </c>
      <c r="D183" s="4">
        <v>42478.0</v>
      </c>
      <c r="E183" s="4">
        <v>42479.0</v>
      </c>
      <c r="F183" s="4">
        <v>42480.0</v>
      </c>
      <c r="G183" s="1">
        <v>2.0</v>
      </c>
      <c r="H183" s="1">
        <v>6.0</v>
      </c>
      <c r="I183" s="3" t="str">
        <f>VLOOKUP(B183,Customers!A:J, 10,FALSE)</f>
        <v>Phylis Adkins</v>
      </c>
      <c r="J183" s="3" t="str">
        <f>VLOOKUP(B183,Customers!A:J,8,FALSE)</f>
        <v>NY</v>
      </c>
      <c r="K183" s="3" t="str">
        <f>VLOOKUP(B183,Customers!A:J,7,FALSE)</f>
        <v>New York</v>
      </c>
      <c r="L183" s="3" t="str">
        <f>VLOOKUP(H183,Staff!A:I,9,FALSE)</f>
        <v>Marcelene Boyer</v>
      </c>
      <c r="M183" s="3" t="str">
        <f>VLOOKUP(G183,Store!A:H,2,FALSE)</f>
        <v>Baldwin Bikes</v>
      </c>
      <c r="N183" s="3" t="str">
        <f>VLOOKUP(G183,Store!A:H,6,FALSE)</f>
        <v>Baldwin</v>
      </c>
      <c r="O183" s="3" t="s">
        <v>16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>
        <v>183.0</v>
      </c>
      <c r="B184" s="1">
        <v>22.0</v>
      </c>
      <c r="C184" s="1">
        <v>4.0</v>
      </c>
      <c r="D184" s="4">
        <v>42479.0</v>
      </c>
      <c r="E184" s="4">
        <v>42480.0</v>
      </c>
      <c r="F184" s="4">
        <v>42480.0</v>
      </c>
      <c r="G184" s="1">
        <v>2.0</v>
      </c>
      <c r="H184" s="1">
        <v>7.0</v>
      </c>
      <c r="I184" s="3" t="str">
        <f>VLOOKUP(B184,Customers!A:J, 10,FALSE)</f>
        <v>Adelle Larsen</v>
      </c>
      <c r="J184" s="3" t="str">
        <f>VLOOKUP(B184,Customers!A:J,8,FALSE)</f>
        <v>NY</v>
      </c>
      <c r="K184" s="3" t="str">
        <f>VLOOKUP(B184,Customers!A:J,7,FALSE)</f>
        <v>East Northport</v>
      </c>
      <c r="L184" s="3" t="str">
        <f>VLOOKUP(H184,Staff!A:I,9,FALSE)</f>
        <v>Venita Daniel</v>
      </c>
      <c r="M184" s="3" t="str">
        <f>VLOOKUP(G184,Store!A:H,2,FALSE)</f>
        <v>Baldwin Bikes</v>
      </c>
      <c r="N184" s="3" t="str">
        <f>VLOOKUP(G184,Store!A:H,6,FALSE)</f>
        <v>Baldwin</v>
      </c>
      <c r="O184" s="3" t="s">
        <v>16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>
        <v>184.0</v>
      </c>
      <c r="B185" s="1">
        <v>134.0</v>
      </c>
      <c r="C185" s="1">
        <v>4.0</v>
      </c>
      <c r="D185" s="4">
        <v>42479.0</v>
      </c>
      <c r="E185" s="4">
        <v>42481.0</v>
      </c>
      <c r="F185" s="4">
        <v>42482.0</v>
      </c>
      <c r="G185" s="1">
        <v>2.0</v>
      </c>
      <c r="H185" s="1">
        <v>7.0</v>
      </c>
      <c r="I185" s="3" t="str">
        <f>VLOOKUP(B185,Customers!A:J, 10,FALSE)</f>
        <v>Brianna Moss</v>
      </c>
      <c r="J185" s="3" t="str">
        <f>VLOOKUP(B185,Customers!A:J,8,FALSE)</f>
        <v>NY</v>
      </c>
      <c r="K185" s="3" t="str">
        <f>VLOOKUP(B185,Customers!A:J,7,FALSE)</f>
        <v>Hempstead</v>
      </c>
      <c r="L185" s="3" t="str">
        <f>VLOOKUP(H185,Staff!A:I,9,FALSE)</f>
        <v>Venita Daniel</v>
      </c>
      <c r="M185" s="3" t="str">
        <f>VLOOKUP(G185,Store!A:H,2,FALSE)</f>
        <v>Baldwin Bikes</v>
      </c>
      <c r="N185" s="3" t="str">
        <f>VLOOKUP(G185,Store!A:H,6,FALSE)</f>
        <v>Baldwin</v>
      </c>
      <c r="O185" s="3" t="s">
        <v>16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>
        <v>185.0</v>
      </c>
      <c r="B186" s="1">
        <v>24.0</v>
      </c>
      <c r="C186" s="1">
        <v>3.0</v>
      </c>
      <c r="D186" s="4">
        <v>42480.0</v>
      </c>
      <c r="E186" s="4">
        <v>42480.0</v>
      </c>
      <c r="F186" s="1" t="s">
        <v>18</v>
      </c>
      <c r="G186" s="1">
        <v>1.0</v>
      </c>
      <c r="H186" s="1">
        <v>2.0</v>
      </c>
      <c r="I186" s="3" t="str">
        <f>VLOOKUP(B186,Customers!A:J, 10,FALSE)</f>
        <v>Corene Wall</v>
      </c>
      <c r="J186" s="3" t="str">
        <f>VLOOKUP(B186,Customers!A:J,8,FALSE)</f>
        <v>CA</v>
      </c>
      <c r="K186" s="3" t="str">
        <f>VLOOKUP(B186,Customers!A:J,7,FALSE)</f>
        <v>Atwater</v>
      </c>
      <c r="L186" s="3" t="str">
        <f>VLOOKUP(H186,Staff!A:I,9,FALSE)</f>
        <v>Mireya Copeland</v>
      </c>
      <c r="M186" s="3" t="str">
        <f>VLOOKUP(G186,Store!A:H,2,FALSE)</f>
        <v>Santa Cruz Bikes</v>
      </c>
      <c r="N186" s="3" t="str">
        <f>VLOOKUP(G186,Store!A:H,6,FALSE)</f>
        <v>Santa Cruz</v>
      </c>
      <c r="O186" s="3" t="s">
        <v>15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>
        <v>186.0</v>
      </c>
      <c r="B187" s="1">
        <v>1127.0</v>
      </c>
      <c r="C187" s="1">
        <v>4.0</v>
      </c>
      <c r="D187" s="4">
        <v>42481.0</v>
      </c>
      <c r="E187" s="4">
        <v>42482.0</v>
      </c>
      <c r="F187" s="4">
        <v>42484.0</v>
      </c>
      <c r="G187" s="1">
        <v>2.0</v>
      </c>
      <c r="H187" s="1">
        <v>6.0</v>
      </c>
      <c r="I187" s="3" t="str">
        <f>VLOOKUP(B187,Customers!A:J, 10,FALSE)</f>
        <v>Waldo Hart</v>
      </c>
      <c r="J187" s="3" t="str">
        <f>VLOOKUP(B187,Customers!A:J,8,FALSE)</f>
        <v>NY</v>
      </c>
      <c r="K187" s="3" t="str">
        <f>VLOOKUP(B187,Customers!A:J,7,FALSE)</f>
        <v>Queensbury</v>
      </c>
      <c r="L187" s="3" t="str">
        <f>VLOOKUP(H187,Staff!A:I,9,FALSE)</f>
        <v>Marcelene Boyer</v>
      </c>
      <c r="M187" s="3" t="str">
        <f>VLOOKUP(G187,Store!A:H,2,FALSE)</f>
        <v>Baldwin Bikes</v>
      </c>
      <c r="N187" s="3" t="str">
        <f>VLOOKUP(G187,Store!A:H,6,FALSE)</f>
        <v>Baldwin</v>
      </c>
      <c r="O187" s="3" t="s">
        <v>16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>
        <v>187.0</v>
      </c>
      <c r="B188" s="1">
        <v>183.0</v>
      </c>
      <c r="C188" s="1">
        <v>4.0</v>
      </c>
      <c r="D188" s="4">
        <v>42482.0</v>
      </c>
      <c r="E188" s="4">
        <v>42483.0</v>
      </c>
      <c r="F188" s="4">
        <v>42484.0</v>
      </c>
      <c r="G188" s="1">
        <v>2.0</v>
      </c>
      <c r="H188" s="1">
        <v>6.0</v>
      </c>
      <c r="I188" s="3" t="str">
        <f>VLOOKUP(B188,Customers!A:J, 10,FALSE)</f>
        <v>Jeniffer Ratliff</v>
      </c>
      <c r="J188" s="3" t="str">
        <f>VLOOKUP(B188,Customers!A:J,8,FALSE)</f>
        <v>NY</v>
      </c>
      <c r="K188" s="3" t="str">
        <f>VLOOKUP(B188,Customers!A:J,7,FALSE)</f>
        <v>Floral Park</v>
      </c>
      <c r="L188" s="3" t="str">
        <f>VLOOKUP(H188,Staff!A:I,9,FALSE)</f>
        <v>Marcelene Boyer</v>
      </c>
      <c r="M188" s="3" t="str">
        <f>VLOOKUP(G188,Store!A:H,2,FALSE)</f>
        <v>Baldwin Bikes</v>
      </c>
      <c r="N188" s="3" t="str">
        <f>VLOOKUP(G188,Store!A:H,6,FALSE)</f>
        <v>Baldwin</v>
      </c>
      <c r="O188" s="3" t="s">
        <v>16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>
        <v>188.0</v>
      </c>
      <c r="B189" s="1">
        <v>390.0</v>
      </c>
      <c r="C189" s="1">
        <v>4.0</v>
      </c>
      <c r="D189" s="4">
        <v>42482.0</v>
      </c>
      <c r="E189" s="4">
        <v>42483.0</v>
      </c>
      <c r="F189" s="4">
        <v>42485.0</v>
      </c>
      <c r="G189" s="1">
        <v>2.0</v>
      </c>
      <c r="H189" s="1">
        <v>6.0</v>
      </c>
      <c r="I189" s="3" t="str">
        <f>VLOOKUP(B189,Customers!A:J, 10,FALSE)</f>
        <v>Lorrie Pollard</v>
      </c>
      <c r="J189" s="3" t="str">
        <f>VLOOKUP(B189,Customers!A:J,8,FALSE)</f>
        <v>NY</v>
      </c>
      <c r="K189" s="3" t="str">
        <f>VLOOKUP(B189,Customers!A:J,7,FALSE)</f>
        <v>Ronkonkoma</v>
      </c>
      <c r="L189" s="3" t="str">
        <f>VLOOKUP(H189,Staff!A:I,9,FALSE)</f>
        <v>Marcelene Boyer</v>
      </c>
      <c r="M189" s="3" t="str">
        <f>VLOOKUP(G189,Store!A:H,2,FALSE)</f>
        <v>Baldwin Bikes</v>
      </c>
      <c r="N189" s="3" t="str">
        <f>VLOOKUP(G189,Store!A:H,6,FALSE)</f>
        <v>Baldwin</v>
      </c>
      <c r="O189" s="3" t="s">
        <v>16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>
        <v>189.0</v>
      </c>
      <c r="B190" s="1">
        <v>1288.0</v>
      </c>
      <c r="C190" s="1">
        <v>4.0</v>
      </c>
      <c r="D190" s="4">
        <v>42483.0</v>
      </c>
      <c r="E190" s="4">
        <v>42484.0</v>
      </c>
      <c r="F190" s="4">
        <v>42486.0</v>
      </c>
      <c r="G190" s="1">
        <v>1.0</v>
      </c>
      <c r="H190" s="1">
        <v>2.0</v>
      </c>
      <c r="I190" s="3" t="str">
        <f>VLOOKUP(B190,Customers!A:J, 10,FALSE)</f>
        <v>Allie Conley</v>
      </c>
      <c r="J190" s="3" t="str">
        <f>VLOOKUP(B190,Customers!A:J,8,FALSE)</f>
        <v>CA</v>
      </c>
      <c r="K190" s="3" t="str">
        <f>VLOOKUP(B190,Customers!A:J,7,FALSE)</f>
        <v>Lawndale</v>
      </c>
      <c r="L190" s="3" t="str">
        <f>VLOOKUP(H190,Staff!A:I,9,FALSE)</f>
        <v>Mireya Copeland</v>
      </c>
      <c r="M190" s="3" t="str">
        <f>VLOOKUP(G190,Store!A:H,2,FALSE)</f>
        <v>Santa Cruz Bikes</v>
      </c>
      <c r="N190" s="3" t="str">
        <f>VLOOKUP(G190,Store!A:H,6,FALSE)</f>
        <v>Santa Cruz</v>
      </c>
      <c r="O190" s="3" t="s">
        <v>15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>
        <v>190.0</v>
      </c>
      <c r="B191" s="1">
        <v>98.0</v>
      </c>
      <c r="C191" s="1">
        <v>4.0</v>
      </c>
      <c r="D191" s="4">
        <v>42483.0</v>
      </c>
      <c r="E191" s="4">
        <v>42485.0</v>
      </c>
      <c r="F191" s="4">
        <v>42485.0</v>
      </c>
      <c r="G191" s="1">
        <v>2.0</v>
      </c>
      <c r="H191" s="1">
        <v>6.0</v>
      </c>
      <c r="I191" s="3" t="str">
        <f>VLOOKUP(B191,Customers!A:J, 10,FALSE)</f>
        <v>Violet Valenzuela</v>
      </c>
      <c r="J191" s="3" t="str">
        <f>VLOOKUP(B191,Customers!A:J,8,FALSE)</f>
        <v>NY</v>
      </c>
      <c r="K191" s="3" t="str">
        <f>VLOOKUP(B191,Customers!A:J,7,FALSE)</f>
        <v>Plattsburgh</v>
      </c>
      <c r="L191" s="3" t="str">
        <f>VLOOKUP(H191,Staff!A:I,9,FALSE)</f>
        <v>Marcelene Boyer</v>
      </c>
      <c r="M191" s="3" t="str">
        <f>VLOOKUP(G191,Store!A:H,2,FALSE)</f>
        <v>Baldwin Bikes</v>
      </c>
      <c r="N191" s="3" t="str">
        <f>VLOOKUP(G191,Store!A:H,6,FALSE)</f>
        <v>Baldwin</v>
      </c>
      <c r="O191" s="3" t="s">
        <v>16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>
        <v>191.0</v>
      </c>
      <c r="B192" s="1">
        <v>919.0</v>
      </c>
      <c r="C192" s="1">
        <v>4.0</v>
      </c>
      <c r="D192" s="4">
        <v>42487.0</v>
      </c>
      <c r="E192" s="4">
        <v>42488.0</v>
      </c>
      <c r="F192" s="4">
        <v>42488.0</v>
      </c>
      <c r="G192" s="1">
        <v>1.0</v>
      </c>
      <c r="H192" s="1">
        <v>2.0</v>
      </c>
      <c r="I192" s="3" t="str">
        <f>VLOOKUP(B192,Customers!A:J, 10,FALSE)</f>
        <v>Ruthanne Hoover</v>
      </c>
      <c r="J192" s="3" t="str">
        <f>VLOOKUP(B192,Customers!A:J,8,FALSE)</f>
        <v>CA</v>
      </c>
      <c r="K192" s="3" t="str">
        <f>VLOOKUP(B192,Customers!A:J,7,FALSE)</f>
        <v>Torrance</v>
      </c>
      <c r="L192" s="3" t="str">
        <f>VLOOKUP(H192,Staff!A:I,9,FALSE)</f>
        <v>Mireya Copeland</v>
      </c>
      <c r="M192" s="3" t="str">
        <f>VLOOKUP(G192,Store!A:H,2,FALSE)</f>
        <v>Santa Cruz Bikes</v>
      </c>
      <c r="N192" s="3" t="str">
        <f>VLOOKUP(G192,Store!A:H,6,FALSE)</f>
        <v>Santa Cruz</v>
      </c>
      <c r="O192" s="3" t="s">
        <v>15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>
        <v>192.0</v>
      </c>
      <c r="B193" s="1">
        <v>728.0</v>
      </c>
      <c r="C193" s="1">
        <v>4.0</v>
      </c>
      <c r="D193" s="4">
        <v>42487.0</v>
      </c>
      <c r="E193" s="4">
        <v>42488.0</v>
      </c>
      <c r="F193" s="4">
        <v>42489.0</v>
      </c>
      <c r="G193" s="1">
        <v>2.0</v>
      </c>
      <c r="H193" s="1">
        <v>7.0</v>
      </c>
      <c r="I193" s="3" t="str">
        <f>VLOOKUP(B193,Customers!A:J, 10,FALSE)</f>
        <v>Viva Dawson</v>
      </c>
      <c r="J193" s="3" t="str">
        <f>VLOOKUP(B193,Customers!A:J,8,FALSE)</f>
        <v>NY</v>
      </c>
      <c r="K193" s="3" t="str">
        <f>VLOOKUP(B193,Customers!A:J,7,FALSE)</f>
        <v>Orchard Park</v>
      </c>
      <c r="L193" s="3" t="str">
        <f>VLOOKUP(H193,Staff!A:I,9,FALSE)</f>
        <v>Venita Daniel</v>
      </c>
      <c r="M193" s="3" t="str">
        <f>VLOOKUP(G193,Store!A:H,2,FALSE)</f>
        <v>Baldwin Bikes</v>
      </c>
      <c r="N193" s="3" t="str">
        <f>VLOOKUP(G193,Store!A:H,6,FALSE)</f>
        <v>Baldwin</v>
      </c>
      <c r="O193" s="3" t="s">
        <v>16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>
        <v>193.0</v>
      </c>
      <c r="B194" s="1">
        <v>1366.0</v>
      </c>
      <c r="C194" s="1">
        <v>4.0</v>
      </c>
      <c r="D194" s="4">
        <v>42488.0</v>
      </c>
      <c r="E194" s="4">
        <v>42490.0</v>
      </c>
      <c r="F194" s="4">
        <v>42490.0</v>
      </c>
      <c r="G194" s="1">
        <v>1.0</v>
      </c>
      <c r="H194" s="1">
        <v>3.0</v>
      </c>
      <c r="I194" s="3" t="str">
        <f>VLOOKUP(B194,Customers!A:J, 10,FALSE)</f>
        <v>Trena Rogers</v>
      </c>
      <c r="J194" s="3" t="str">
        <f>VLOOKUP(B194,Customers!A:J,8,FALSE)</f>
        <v>CA</v>
      </c>
      <c r="K194" s="3" t="str">
        <f>VLOOKUP(B194,Customers!A:J,7,FALSE)</f>
        <v>Campbell</v>
      </c>
      <c r="L194" s="3" t="str">
        <f>VLOOKUP(H194,Staff!A:I,9,FALSE)</f>
        <v>Genna Serrano</v>
      </c>
      <c r="M194" s="3" t="str">
        <f>VLOOKUP(G194,Store!A:H,2,FALSE)</f>
        <v>Santa Cruz Bikes</v>
      </c>
      <c r="N194" s="3" t="str">
        <f>VLOOKUP(G194,Store!A:H,6,FALSE)</f>
        <v>Santa Cruz</v>
      </c>
      <c r="O194" s="3" t="s">
        <v>15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>
        <v>194.0</v>
      </c>
      <c r="B195" s="1">
        <v>558.0</v>
      </c>
      <c r="C195" s="1">
        <v>4.0</v>
      </c>
      <c r="D195" s="4">
        <v>42488.0</v>
      </c>
      <c r="E195" s="4">
        <v>42490.0</v>
      </c>
      <c r="F195" s="4">
        <v>42491.0</v>
      </c>
      <c r="G195" s="1">
        <v>2.0</v>
      </c>
      <c r="H195" s="1">
        <v>7.0</v>
      </c>
      <c r="I195" s="3" t="str">
        <f>VLOOKUP(B195,Customers!A:J, 10,FALSE)</f>
        <v>Carroll Kelly</v>
      </c>
      <c r="J195" s="3" t="str">
        <f>VLOOKUP(B195,Customers!A:J,8,FALSE)</f>
        <v>NY</v>
      </c>
      <c r="K195" s="3" t="str">
        <f>VLOOKUP(B195,Customers!A:J,7,FALSE)</f>
        <v>Monroe</v>
      </c>
      <c r="L195" s="3" t="str">
        <f>VLOOKUP(H195,Staff!A:I,9,FALSE)</f>
        <v>Venita Daniel</v>
      </c>
      <c r="M195" s="3" t="str">
        <f>VLOOKUP(G195,Store!A:H,2,FALSE)</f>
        <v>Baldwin Bikes</v>
      </c>
      <c r="N195" s="3" t="str">
        <f>VLOOKUP(G195,Store!A:H,6,FALSE)</f>
        <v>Baldwin</v>
      </c>
      <c r="O195" s="3" t="s">
        <v>16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>
        <v>195.0</v>
      </c>
      <c r="B196" s="1">
        <v>727.0</v>
      </c>
      <c r="C196" s="1">
        <v>4.0</v>
      </c>
      <c r="D196" s="4">
        <v>42488.0</v>
      </c>
      <c r="E196" s="4">
        <v>42491.0</v>
      </c>
      <c r="F196" s="4">
        <v>42491.0</v>
      </c>
      <c r="G196" s="1">
        <v>2.0</v>
      </c>
      <c r="H196" s="1">
        <v>7.0</v>
      </c>
      <c r="I196" s="3" t="str">
        <f>VLOOKUP(B196,Customers!A:J, 10,FALSE)</f>
        <v>Kasha Sullivan</v>
      </c>
      <c r="J196" s="3" t="str">
        <f>VLOOKUP(B196,Customers!A:J,8,FALSE)</f>
        <v>NY</v>
      </c>
      <c r="K196" s="3" t="str">
        <f>VLOOKUP(B196,Customers!A:J,7,FALSE)</f>
        <v>Scarsdale</v>
      </c>
      <c r="L196" s="3" t="str">
        <f>VLOOKUP(H196,Staff!A:I,9,FALSE)</f>
        <v>Venita Daniel</v>
      </c>
      <c r="M196" s="3" t="str">
        <f>VLOOKUP(G196,Store!A:H,2,FALSE)</f>
        <v>Baldwin Bikes</v>
      </c>
      <c r="N196" s="3" t="str">
        <f>VLOOKUP(G196,Store!A:H,6,FALSE)</f>
        <v>Baldwin</v>
      </c>
      <c r="O196" s="3" t="s">
        <v>16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>
        <v>196.0</v>
      </c>
      <c r="B197" s="1">
        <v>1247.0</v>
      </c>
      <c r="C197" s="1">
        <v>4.0</v>
      </c>
      <c r="D197" s="4">
        <v>42488.0</v>
      </c>
      <c r="E197" s="4">
        <v>42490.0</v>
      </c>
      <c r="F197" s="4">
        <v>42491.0</v>
      </c>
      <c r="G197" s="1">
        <v>2.0</v>
      </c>
      <c r="H197" s="1">
        <v>6.0</v>
      </c>
      <c r="I197" s="3" t="str">
        <f>VLOOKUP(B197,Customers!A:J, 10,FALSE)</f>
        <v>Tammie Cherry</v>
      </c>
      <c r="J197" s="3" t="str">
        <f>VLOOKUP(B197,Customers!A:J,8,FALSE)</f>
        <v>NY</v>
      </c>
      <c r="K197" s="3" t="str">
        <f>VLOOKUP(B197,Customers!A:J,7,FALSE)</f>
        <v>Massapequa</v>
      </c>
      <c r="L197" s="3" t="str">
        <f>VLOOKUP(H197,Staff!A:I,9,FALSE)</f>
        <v>Marcelene Boyer</v>
      </c>
      <c r="M197" s="3" t="str">
        <f>VLOOKUP(G197,Store!A:H,2,FALSE)</f>
        <v>Baldwin Bikes</v>
      </c>
      <c r="N197" s="3" t="str">
        <f>VLOOKUP(G197,Store!A:H,6,FALSE)</f>
        <v>Baldwin</v>
      </c>
      <c r="O197" s="3" t="s">
        <v>16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>
        <v>197.0</v>
      </c>
      <c r="B198" s="1">
        <v>127.0</v>
      </c>
      <c r="C198" s="1">
        <v>4.0</v>
      </c>
      <c r="D198" s="4">
        <v>42490.0</v>
      </c>
      <c r="E198" s="4">
        <v>42493.0</v>
      </c>
      <c r="F198" s="4">
        <v>42493.0</v>
      </c>
      <c r="G198" s="1">
        <v>2.0</v>
      </c>
      <c r="H198" s="1">
        <v>7.0</v>
      </c>
      <c r="I198" s="3" t="str">
        <f>VLOOKUP(B198,Customers!A:J, 10,FALSE)</f>
        <v>Erlinda Nielsen</v>
      </c>
      <c r="J198" s="3" t="str">
        <f>VLOOKUP(B198,Customers!A:J,8,FALSE)</f>
        <v>NY</v>
      </c>
      <c r="K198" s="3" t="str">
        <f>VLOOKUP(B198,Customers!A:J,7,FALSE)</f>
        <v>Maspeth</v>
      </c>
      <c r="L198" s="3" t="str">
        <f>VLOOKUP(H198,Staff!A:I,9,FALSE)</f>
        <v>Venita Daniel</v>
      </c>
      <c r="M198" s="3" t="str">
        <f>VLOOKUP(G198,Store!A:H,2,FALSE)</f>
        <v>Baldwin Bikes</v>
      </c>
      <c r="N198" s="3" t="str">
        <f>VLOOKUP(G198,Store!A:H,6,FALSE)</f>
        <v>Baldwin</v>
      </c>
      <c r="O198" s="3" t="s">
        <v>16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>
        <v>198.0</v>
      </c>
      <c r="B199" s="1">
        <v>640.0</v>
      </c>
      <c r="C199" s="1">
        <v>4.0</v>
      </c>
      <c r="D199" s="4">
        <v>42491.0</v>
      </c>
      <c r="E199" s="4">
        <v>42494.0</v>
      </c>
      <c r="F199" s="4">
        <v>42493.0</v>
      </c>
      <c r="G199" s="1">
        <v>2.0</v>
      </c>
      <c r="H199" s="1">
        <v>6.0</v>
      </c>
      <c r="I199" s="3" t="str">
        <f>VLOOKUP(B199,Customers!A:J, 10,FALSE)</f>
        <v>Allison Nolan</v>
      </c>
      <c r="J199" s="3" t="str">
        <f>VLOOKUP(B199,Customers!A:J,8,FALSE)</f>
        <v>NY</v>
      </c>
      <c r="K199" s="3" t="str">
        <f>VLOOKUP(B199,Customers!A:J,7,FALSE)</f>
        <v>New City</v>
      </c>
      <c r="L199" s="3" t="str">
        <f>VLOOKUP(H199,Staff!A:I,9,FALSE)</f>
        <v>Marcelene Boyer</v>
      </c>
      <c r="M199" s="3" t="str">
        <f>VLOOKUP(G199,Store!A:H,2,FALSE)</f>
        <v>Baldwin Bikes</v>
      </c>
      <c r="N199" s="3" t="str">
        <f>VLOOKUP(G199,Store!A:H,6,FALSE)</f>
        <v>Baldwin</v>
      </c>
      <c r="O199" s="3" t="s">
        <v>16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>
        <v>199.0</v>
      </c>
      <c r="B200" s="1">
        <v>760.0</v>
      </c>
      <c r="C200" s="1">
        <v>4.0</v>
      </c>
      <c r="D200" s="4">
        <v>42491.0</v>
      </c>
      <c r="E200" s="4">
        <v>42494.0</v>
      </c>
      <c r="F200" s="4">
        <v>42494.0</v>
      </c>
      <c r="G200" s="1">
        <v>2.0</v>
      </c>
      <c r="H200" s="1">
        <v>7.0</v>
      </c>
      <c r="I200" s="3" t="str">
        <f>VLOOKUP(B200,Customers!A:J, 10,FALSE)</f>
        <v>Marisa Chambers</v>
      </c>
      <c r="J200" s="3" t="str">
        <f>VLOOKUP(B200,Customers!A:J,8,FALSE)</f>
        <v>NY</v>
      </c>
      <c r="K200" s="3" t="str">
        <f>VLOOKUP(B200,Customers!A:J,7,FALSE)</f>
        <v>Amityville</v>
      </c>
      <c r="L200" s="3" t="str">
        <f>VLOOKUP(H200,Staff!A:I,9,FALSE)</f>
        <v>Venita Daniel</v>
      </c>
      <c r="M200" s="3" t="str">
        <f>VLOOKUP(G200,Store!A:H,2,FALSE)</f>
        <v>Baldwin Bikes</v>
      </c>
      <c r="N200" s="3" t="str">
        <f>VLOOKUP(G200,Store!A:H,6,FALSE)</f>
        <v>Baldwin</v>
      </c>
      <c r="O200" s="3" t="s">
        <v>16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>
        <v>200.0</v>
      </c>
      <c r="B201" s="1">
        <v>1074.0</v>
      </c>
      <c r="C201" s="1">
        <v>4.0</v>
      </c>
      <c r="D201" s="4">
        <v>42491.0</v>
      </c>
      <c r="E201" s="4">
        <v>42493.0</v>
      </c>
      <c r="F201" s="4">
        <v>42493.0</v>
      </c>
      <c r="G201" s="1">
        <v>2.0</v>
      </c>
      <c r="H201" s="1">
        <v>6.0</v>
      </c>
      <c r="I201" s="3" t="str">
        <f>VLOOKUP(B201,Customers!A:J, 10,FALSE)</f>
        <v>Lanelle Guerra</v>
      </c>
      <c r="J201" s="3" t="str">
        <f>VLOOKUP(B201,Customers!A:J,8,FALSE)</f>
        <v>NY</v>
      </c>
      <c r="K201" s="3" t="str">
        <f>VLOOKUP(B201,Customers!A:J,7,FALSE)</f>
        <v>Floral Park</v>
      </c>
      <c r="L201" s="3" t="str">
        <f>VLOOKUP(H201,Staff!A:I,9,FALSE)</f>
        <v>Marcelene Boyer</v>
      </c>
      <c r="M201" s="3" t="str">
        <f>VLOOKUP(G201,Store!A:H,2,FALSE)</f>
        <v>Baldwin Bikes</v>
      </c>
      <c r="N201" s="3" t="str">
        <f>VLOOKUP(G201,Store!A:H,6,FALSE)</f>
        <v>Baldwin</v>
      </c>
      <c r="O201" s="3" t="s">
        <v>16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>
        <v>201.0</v>
      </c>
      <c r="B202" s="1">
        <v>280.0</v>
      </c>
      <c r="C202" s="1">
        <v>4.0</v>
      </c>
      <c r="D202" s="4">
        <v>42491.0</v>
      </c>
      <c r="E202" s="4">
        <v>42494.0</v>
      </c>
      <c r="F202" s="4">
        <v>42492.0</v>
      </c>
      <c r="G202" s="1">
        <v>3.0</v>
      </c>
      <c r="H202" s="1">
        <v>9.0</v>
      </c>
      <c r="I202" s="3" t="str">
        <f>VLOOKUP(B202,Customers!A:J, 10,FALSE)</f>
        <v>Brenda Tate</v>
      </c>
      <c r="J202" s="3" t="str">
        <f>VLOOKUP(B202,Customers!A:J,8,FALSE)</f>
        <v>TX</v>
      </c>
      <c r="K202" s="3" t="str">
        <f>VLOOKUP(B202,Customers!A:J,7,FALSE)</f>
        <v>San Angelo</v>
      </c>
      <c r="L202" s="3" t="str">
        <f>VLOOKUP(H202,Staff!A:I,9,FALSE)</f>
        <v>Layla Terrell</v>
      </c>
      <c r="M202" s="3" t="str">
        <f>VLOOKUP(G202,Store!A:H,2,FALSE)</f>
        <v>Rowlett Bikes</v>
      </c>
      <c r="N202" s="3" t="str">
        <f>VLOOKUP(G202,Store!A:H,6,FALSE)</f>
        <v>Rowlett</v>
      </c>
      <c r="O202" s="3" t="s">
        <v>17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>
        <v>202.0</v>
      </c>
      <c r="B203" s="1">
        <v>600.0</v>
      </c>
      <c r="C203" s="1">
        <v>4.0</v>
      </c>
      <c r="D203" s="4">
        <v>42493.0</v>
      </c>
      <c r="E203" s="4">
        <v>42495.0</v>
      </c>
      <c r="F203" s="4">
        <v>42494.0</v>
      </c>
      <c r="G203" s="1">
        <v>1.0</v>
      </c>
      <c r="H203" s="1">
        <v>2.0</v>
      </c>
      <c r="I203" s="3" t="str">
        <f>VLOOKUP(B203,Customers!A:J, 10,FALSE)</f>
        <v>Joi Reeves</v>
      </c>
      <c r="J203" s="3" t="str">
        <f>VLOOKUP(B203,Customers!A:J,8,FALSE)</f>
        <v>CA</v>
      </c>
      <c r="K203" s="3" t="str">
        <f>VLOOKUP(B203,Customers!A:J,7,FALSE)</f>
        <v>San Diego</v>
      </c>
      <c r="L203" s="3" t="str">
        <f>VLOOKUP(H203,Staff!A:I,9,FALSE)</f>
        <v>Mireya Copeland</v>
      </c>
      <c r="M203" s="3" t="str">
        <f>VLOOKUP(G203,Store!A:H,2,FALSE)</f>
        <v>Santa Cruz Bikes</v>
      </c>
      <c r="N203" s="3" t="str">
        <f>VLOOKUP(G203,Store!A:H,6,FALSE)</f>
        <v>Santa Cruz</v>
      </c>
      <c r="O203" s="3" t="s">
        <v>15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>
        <v>203.0</v>
      </c>
      <c r="B204" s="1">
        <v>1102.0</v>
      </c>
      <c r="C204" s="1">
        <v>4.0</v>
      </c>
      <c r="D204" s="4">
        <v>42493.0</v>
      </c>
      <c r="E204" s="4">
        <v>42495.0</v>
      </c>
      <c r="F204" s="4">
        <v>42496.0</v>
      </c>
      <c r="G204" s="1">
        <v>3.0</v>
      </c>
      <c r="H204" s="1">
        <v>9.0</v>
      </c>
      <c r="I204" s="3" t="str">
        <f>VLOOKUP(B204,Customers!A:J, 10,FALSE)</f>
        <v>Henrietta Wagner</v>
      </c>
      <c r="J204" s="3" t="str">
        <f>VLOOKUP(B204,Customers!A:J,8,FALSE)</f>
        <v>TX</v>
      </c>
      <c r="K204" s="3" t="str">
        <f>VLOOKUP(B204,Customers!A:J,7,FALSE)</f>
        <v>Fort Worth</v>
      </c>
      <c r="L204" s="3" t="str">
        <f>VLOOKUP(H204,Staff!A:I,9,FALSE)</f>
        <v>Layla Terrell</v>
      </c>
      <c r="M204" s="3" t="str">
        <f>VLOOKUP(G204,Store!A:H,2,FALSE)</f>
        <v>Rowlett Bikes</v>
      </c>
      <c r="N204" s="3" t="str">
        <f>VLOOKUP(G204,Store!A:H,6,FALSE)</f>
        <v>Rowlett</v>
      </c>
      <c r="O204" s="3" t="s">
        <v>17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>
        <v>204.0</v>
      </c>
      <c r="B205" s="1">
        <v>591.0</v>
      </c>
      <c r="C205" s="1">
        <v>4.0</v>
      </c>
      <c r="D205" s="4">
        <v>42494.0</v>
      </c>
      <c r="E205" s="4">
        <v>42497.0</v>
      </c>
      <c r="F205" s="4">
        <v>42496.0</v>
      </c>
      <c r="G205" s="1">
        <v>2.0</v>
      </c>
      <c r="H205" s="1">
        <v>7.0</v>
      </c>
      <c r="I205" s="3" t="str">
        <f>VLOOKUP(B205,Customers!A:J, 10,FALSE)</f>
        <v>Danilo Holmes</v>
      </c>
      <c r="J205" s="3" t="str">
        <f>VLOOKUP(B205,Customers!A:J,8,FALSE)</f>
        <v>NY</v>
      </c>
      <c r="K205" s="3" t="str">
        <f>VLOOKUP(B205,Customers!A:J,7,FALSE)</f>
        <v>Hicksville</v>
      </c>
      <c r="L205" s="3" t="str">
        <f>VLOOKUP(H205,Staff!A:I,9,FALSE)</f>
        <v>Venita Daniel</v>
      </c>
      <c r="M205" s="3" t="str">
        <f>VLOOKUP(G205,Store!A:H,2,FALSE)</f>
        <v>Baldwin Bikes</v>
      </c>
      <c r="N205" s="3" t="str">
        <f>VLOOKUP(G205,Store!A:H,6,FALSE)</f>
        <v>Baldwin</v>
      </c>
      <c r="O205" s="3" t="s">
        <v>16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>
        <v>205.0</v>
      </c>
      <c r="B206" s="1">
        <v>635.0</v>
      </c>
      <c r="C206" s="1">
        <v>4.0</v>
      </c>
      <c r="D206" s="4">
        <v>42494.0</v>
      </c>
      <c r="E206" s="4">
        <v>42495.0</v>
      </c>
      <c r="F206" s="4">
        <v>42496.0</v>
      </c>
      <c r="G206" s="1">
        <v>2.0</v>
      </c>
      <c r="H206" s="1">
        <v>6.0</v>
      </c>
      <c r="I206" s="3" t="str">
        <f>VLOOKUP(B206,Customers!A:J, 10,FALSE)</f>
        <v>Myrtie James</v>
      </c>
      <c r="J206" s="3" t="str">
        <f>VLOOKUP(B206,Customers!A:J,8,FALSE)</f>
        <v>NY</v>
      </c>
      <c r="K206" s="3" t="str">
        <f>VLOOKUP(B206,Customers!A:J,7,FALSE)</f>
        <v>Merrick</v>
      </c>
      <c r="L206" s="3" t="str">
        <f>VLOOKUP(H206,Staff!A:I,9,FALSE)</f>
        <v>Marcelene Boyer</v>
      </c>
      <c r="M206" s="3" t="str">
        <f>VLOOKUP(G206,Store!A:H,2,FALSE)</f>
        <v>Baldwin Bikes</v>
      </c>
      <c r="N206" s="3" t="str">
        <f>VLOOKUP(G206,Store!A:H,6,FALSE)</f>
        <v>Baldwin</v>
      </c>
      <c r="O206" s="3" t="s">
        <v>16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>
        <v>206.0</v>
      </c>
      <c r="B207" s="1">
        <v>743.0</v>
      </c>
      <c r="C207" s="1">
        <v>4.0</v>
      </c>
      <c r="D207" s="4">
        <v>42494.0</v>
      </c>
      <c r="E207" s="4">
        <v>42496.0</v>
      </c>
      <c r="F207" s="4">
        <v>42495.0</v>
      </c>
      <c r="G207" s="1">
        <v>3.0</v>
      </c>
      <c r="H207" s="1">
        <v>9.0</v>
      </c>
      <c r="I207" s="3" t="str">
        <f>VLOOKUP(B207,Customers!A:J, 10,FALSE)</f>
        <v>Tania Swanson</v>
      </c>
      <c r="J207" s="3" t="str">
        <f>VLOOKUP(B207,Customers!A:J,8,FALSE)</f>
        <v>TX</v>
      </c>
      <c r="K207" s="3" t="str">
        <f>VLOOKUP(B207,Customers!A:J,7,FALSE)</f>
        <v>Longview</v>
      </c>
      <c r="L207" s="3" t="str">
        <f>VLOOKUP(H207,Staff!A:I,9,FALSE)</f>
        <v>Layla Terrell</v>
      </c>
      <c r="M207" s="3" t="str">
        <f>VLOOKUP(G207,Store!A:H,2,FALSE)</f>
        <v>Rowlett Bikes</v>
      </c>
      <c r="N207" s="3" t="str">
        <f>VLOOKUP(G207,Store!A:H,6,FALSE)</f>
        <v>Rowlett</v>
      </c>
      <c r="O207" s="3" t="s">
        <v>17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>
        <v>207.0</v>
      </c>
      <c r="B208" s="1">
        <v>105.0</v>
      </c>
      <c r="C208" s="1">
        <v>4.0</v>
      </c>
      <c r="D208" s="4">
        <v>42495.0</v>
      </c>
      <c r="E208" s="4">
        <v>42497.0</v>
      </c>
      <c r="F208" s="4">
        <v>42497.0</v>
      </c>
      <c r="G208" s="1">
        <v>2.0</v>
      </c>
      <c r="H208" s="1">
        <v>7.0</v>
      </c>
      <c r="I208" s="3" t="str">
        <f>VLOOKUP(B208,Customers!A:J, 10,FALSE)</f>
        <v>Marget Hodge</v>
      </c>
      <c r="J208" s="3" t="str">
        <f>VLOOKUP(B208,Customers!A:J,8,FALSE)</f>
        <v>NY</v>
      </c>
      <c r="K208" s="3" t="str">
        <f>VLOOKUP(B208,Customers!A:J,7,FALSE)</f>
        <v>Woodhaven</v>
      </c>
      <c r="L208" s="3" t="str">
        <f>VLOOKUP(H208,Staff!A:I,9,FALSE)</f>
        <v>Venita Daniel</v>
      </c>
      <c r="M208" s="3" t="str">
        <f>VLOOKUP(G208,Store!A:H,2,FALSE)</f>
        <v>Baldwin Bikes</v>
      </c>
      <c r="N208" s="3" t="str">
        <f>VLOOKUP(G208,Store!A:H,6,FALSE)</f>
        <v>Baldwin</v>
      </c>
      <c r="O208" s="3" t="s">
        <v>16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>
        <v>208.0</v>
      </c>
      <c r="B209" s="1">
        <v>815.0</v>
      </c>
      <c r="C209" s="1">
        <v>4.0</v>
      </c>
      <c r="D209" s="4">
        <v>42496.0</v>
      </c>
      <c r="E209" s="4">
        <v>42497.0</v>
      </c>
      <c r="F209" s="4">
        <v>42499.0</v>
      </c>
      <c r="G209" s="1">
        <v>2.0</v>
      </c>
      <c r="H209" s="1">
        <v>7.0</v>
      </c>
      <c r="I209" s="3" t="str">
        <f>VLOOKUP(B209,Customers!A:J, 10,FALSE)</f>
        <v>Leanna Manning</v>
      </c>
      <c r="J209" s="3" t="str">
        <f>VLOOKUP(B209,Customers!A:J,8,FALSE)</f>
        <v>NY</v>
      </c>
      <c r="K209" s="3" t="str">
        <f>VLOOKUP(B209,Customers!A:J,7,FALSE)</f>
        <v>Hicksville</v>
      </c>
      <c r="L209" s="3" t="str">
        <f>VLOOKUP(H209,Staff!A:I,9,FALSE)</f>
        <v>Venita Daniel</v>
      </c>
      <c r="M209" s="3" t="str">
        <f>VLOOKUP(G209,Store!A:H,2,FALSE)</f>
        <v>Baldwin Bikes</v>
      </c>
      <c r="N209" s="3" t="str">
        <f>VLOOKUP(G209,Store!A:H,6,FALSE)</f>
        <v>Baldwin</v>
      </c>
      <c r="O209" s="3" t="s">
        <v>16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>
        <v>209.0</v>
      </c>
      <c r="B210" s="1">
        <v>514.0</v>
      </c>
      <c r="C210" s="1">
        <v>4.0</v>
      </c>
      <c r="D210" s="4">
        <v>42497.0</v>
      </c>
      <c r="E210" s="4">
        <v>42498.0</v>
      </c>
      <c r="F210" s="4">
        <v>42498.0</v>
      </c>
      <c r="G210" s="1">
        <v>2.0</v>
      </c>
      <c r="H210" s="1">
        <v>6.0</v>
      </c>
      <c r="I210" s="3" t="str">
        <f>VLOOKUP(B210,Customers!A:J, 10,FALSE)</f>
        <v>Clarita Curry</v>
      </c>
      <c r="J210" s="3" t="str">
        <f>VLOOKUP(B210,Customers!A:J,8,FALSE)</f>
        <v>NY</v>
      </c>
      <c r="K210" s="3" t="str">
        <f>VLOOKUP(B210,Customers!A:J,7,FALSE)</f>
        <v>Hollis</v>
      </c>
      <c r="L210" s="3" t="str">
        <f>VLOOKUP(H210,Staff!A:I,9,FALSE)</f>
        <v>Marcelene Boyer</v>
      </c>
      <c r="M210" s="3" t="str">
        <f>VLOOKUP(G210,Store!A:H,2,FALSE)</f>
        <v>Baldwin Bikes</v>
      </c>
      <c r="N210" s="3" t="str">
        <f>VLOOKUP(G210,Store!A:H,6,FALSE)</f>
        <v>Baldwin</v>
      </c>
      <c r="O210" s="3" t="s">
        <v>16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>
        <v>210.0</v>
      </c>
      <c r="B211" s="1">
        <v>943.0</v>
      </c>
      <c r="C211" s="1">
        <v>4.0</v>
      </c>
      <c r="D211" s="4">
        <v>42497.0</v>
      </c>
      <c r="E211" s="4">
        <v>42498.0</v>
      </c>
      <c r="F211" s="4">
        <v>42499.0</v>
      </c>
      <c r="G211" s="1">
        <v>2.0</v>
      </c>
      <c r="H211" s="1">
        <v>6.0</v>
      </c>
      <c r="I211" s="3" t="str">
        <f>VLOOKUP(B211,Customers!A:J, 10,FALSE)</f>
        <v>Lynn Mcmahon</v>
      </c>
      <c r="J211" s="3" t="str">
        <f>VLOOKUP(B211,Customers!A:J,8,FALSE)</f>
        <v>NY</v>
      </c>
      <c r="K211" s="3" t="str">
        <f>VLOOKUP(B211,Customers!A:J,7,FALSE)</f>
        <v>Scarsdale</v>
      </c>
      <c r="L211" s="3" t="str">
        <f>VLOOKUP(H211,Staff!A:I,9,FALSE)</f>
        <v>Marcelene Boyer</v>
      </c>
      <c r="M211" s="3" t="str">
        <f>VLOOKUP(G211,Store!A:H,2,FALSE)</f>
        <v>Baldwin Bikes</v>
      </c>
      <c r="N211" s="3" t="str">
        <f>VLOOKUP(G211,Store!A:H,6,FALSE)</f>
        <v>Baldwin</v>
      </c>
      <c r="O211" s="3" t="s">
        <v>16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>
        <v>211.0</v>
      </c>
      <c r="B212" s="1">
        <v>1140.0</v>
      </c>
      <c r="C212" s="1">
        <v>4.0</v>
      </c>
      <c r="D212" s="4">
        <v>42497.0</v>
      </c>
      <c r="E212" s="4">
        <v>42499.0</v>
      </c>
      <c r="F212" s="4">
        <v>42498.0</v>
      </c>
      <c r="G212" s="1">
        <v>2.0</v>
      </c>
      <c r="H212" s="1">
        <v>6.0</v>
      </c>
      <c r="I212" s="3" t="str">
        <f>VLOOKUP(B212,Customers!A:J, 10,FALSE)</f>
        <v>Penney Hall</v>
      </c>
      <c r="J212" s="3" t="str">
        <f>VLOOKUP(B212,Customers!A:J,8,FALSE)</f>
        <v>NY</v>
      </c>
      <c r="K212" s="3" t="str">
        <f>VLOOKUP(B212,Customers!A:J,7,FALSE)</f>
        <v>Liverpool</v>
      </c>
      <c r="L212" s="3" t="str">
        <f>VLOOKUP(H212,Staff!A:I,9,FALSE)</f>
        <v>Marcelene Boyer</v>
      </c>
      <c r="M212" s="3" t="str">
        <f>VLOOKUP(G212,Store!A:H,2,FALSE)</f>
        <v>Baldwin Bikes</v>
      </c>
      <c r="N212" s="3" t="str">
        <f>VLOOKUP(G212,Store!A:H,6,FALSE)</f>
        <v>Baldwin</v>
      </c>
      <c r="O212" s="3" t="s">
        <v>16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>
        <v>212.0</v>
      </c>
      <c r="B213" s="1">
        <v>1373.0</v>
      </c>
      <c r="C213" s="1">
        <v>4.0</v>
      </c>
      <c r="D213" s="4">
        <v>42498.0</v>
      </c>
      <c r="E213" s="4">
        <v>42499.0</v>
      </c>
      <c r="F213" s="4">
        <v>42501.0</v>
      </c>
      <c r="G213" s="1">
        <v>2.0</v>
      </c>
      <c r="H213" s="1">
        <v>6.0</v>
      </c>
      <c r="I213" s="3" t="str">
        <f>VLOOKUP(B213,Customers!A:J, 10,FALSE)</f>
        <v>Lanora Robbins</v>
      </c>
      <c r="J213" s="3" t="str">
        <f>VLOOKUP(B213,Customers!A:J,8,FALSE)</f>
        <v>NY</v>
      </c>
      <c r="K213" s="3" t="str">
        <f>VLOOKUP(B213,Customers!A:J,7,FALSE)</f>
        <v>West Babylon</v>
      </c>
      <c r="L213" s="3" t="str">
        <f>VLOOKUP(H213,Staff!A:I,9,FALSE)</f>
        <v>Marcelene Boyer</v>
      </c>
      <c r="M213" s="3" t="str">
        <f>VLOOKUP(G213,Store!A:H,2,FALSE)</f>
        <v>Baldwin Bikes</v>
      </c>
      <c r="N213" s="3" t="str">
        <f>VLOOKUP(G213,Store!A:H,6,FALSE)</f>
        <v>Baldwin</v>
      </c>
      <c r="O213" s="3" t="s">
        <v>16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>
        <v>213.0</v>
      </c>
      <c r="B214" s="1">
        <v>788.0</v>
      </c>
      <c r="C214" s="1">
        <v>4.0</v>
      </c>
      <c r="D214" s="4">
        <v>42498.0</v>
      </c>
      <c r="E214" s="4">
        <v>42499.0</v>
      </c>
      <c r="F214" s="4">
        <v>42499.0</v>
      </c>
      <c r="G214" s="1">
        <v>3.0</v>
      </c>
      <c r="H214" s="1">
        <v>8.0</v>
      </c>
      <c r="I214" s="3" t="str">
        <f>VLOOKUP(B214,Customers!A:J, 10,FALSE)</f>
        <v>Lilliam Nolan</v>
      </c>
      <c r="J214" s="3" t="str">
        <f>VLOOKUP(B214,Customers!A:J,8,FALSE)</f>
        <v>TX</v>
      </c>
      <c r="K214" s="3" t="str">
        <f>VLOOKUP(B214,Customers!A:J,7,FALSE)</f>
        <v>Copperas Cove</v>
      </c>
      <c r="L214" s="3" t="str">
        <f>VLOOKUP(H214,Staff!A:I,9,FALSE)</f>
        <v>Kali Vargas</v>
      </c>
      <c r="M214" s="3" t="str">
        <f>VLOOKUP(G214,Store!A:H,2,FALSE)</f>
        <v>Rowlett Bikes</v>
      </c>
      <c r="N214" s="3" t="str">
        <f>VLOOKUP(G214,Store!A:H,6,FALSE)</f>
        <v>Rowlett</v>
      </c>
      <c r="O214" s="3" t="s">
        <v>17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>
        <v>214.0</v>
      </c>
      <c r="B215" s="1">
        <v>363.0</v>
      </c>
      <c r="C215" s="1">
        <v>4.0</v>
      </c>
      <c r="D215" s="4">
        <v>42500.0</v>
      </c>
      <c r="E215" s="4">
        <v>42502.0</v>
      </c>
      <c r="F215" s="4">
        <v>42501.0</v>
      </c>
      <c r="G215" s="1">
        <v>2.0</v>
      </c>
      <c r="H215" s="1">
        <v>6.0</v>
      </c>
      <c r="I215" s="3" t="str">
        <f>VLOOKUP(B215,Customers!A:J, 10,FALSE)</f>
        <v>Kaci Gallegos</v>
      </c>
      <c r="J215" s="3" t="str">
        <f>VLOOKUP(B215,Customers!A:J,8,FALSE)</f>
        <v>NY</v>
      </c>
      <c r="K215" s="3" t="str">
        <f>VLOOKUP(B215,Customers!A:J,7,FALSE)</f>
        <v>Ballston Spa</v>
      </c>
      <c r="L215" s="3" t="str">
        <f>VLOOKUP(H215,Staff!A:I,9,FALSE)</f>
        <v>Marcelene Boyer</v>
      </c>
      <c r="M215" s="3" t="str">
        <f>VLOOKUP(G215,Store!A:H,2,FALSE)</f>
        <v>Baldwin Bikes</v>
      </c>
      <c r="N215" s="3" t="str">
        <f>VLOOKUP(G215,Store!A:H,6,FALSE)</f>
        <v>Baldwin</v>
      </c>
      <c r="O215" s="3" t="s">
        <v>16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>
        <v>215.0</v>
      </c>
      <c r="B216" s="1">
        <v>1420.0</v>
      </c>
      <c r="C216" s="1">
        <v>4.0</v>
      </c>
      <c r="D216" s="4">
        <v>42500.0</v>
      </c>
      <c r="E216" s="4">
        <v>42503.0</v>
      </c>
      <c r="F216" s="4">
        <v>42502.0</v>
      </c>
      <c r="G216" s="1">
        <v>2.0</v>
      </c>
      <c r="H216" s="1">
        <v>7.0</v>
      </c>
      <c r="I216" s="3" t="str">
        <f>VLOOKUP(B216,Customers!A:J, 10,FALSE)</f>
        <v>Kelsey Noble</v>
      </c>
      <c r="J216" s="3" t="str">
        <f>VLOOKUP(B216,Customers!A:J,8,FALSE)</f>
        <v>NY</v>
      </c>
      <c r="K216" s="3" t="str">
        <f>VLOOKUP(B216,Customers!A:J,7,FALSE)</f>
        <v>Mount Vernon</v>
      </c>
      <c r="L216" s="3" t="str">
        <f>VLOOKUP(H216,Staff!A:I,9,FALSE)</f>
        <v>Venita Daniel</v>
      </c>
      <c r="M216" s="3" t="str">
        <f>VLOOKUP(G216,Store!A:H,2,FALSE)</f>
        <v>Baldwin Bikes</v>
      </c>
      <c r="N216" s="3" t="str">
        <f>VLOOKUP(G216,Store!A:H,6,FALSE)</f>
        <v>Baldwin</v>
      </c>
      <c r="O216" s="3" t="s">
        <v>16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>
        <v>216.0</v>
      </c>
      <c r="B217" s="1">
        <v>267.0</v>
      </c>
      <c r="C217" s="1">
        <v>4.0</v>
      </c>
      <c r="D217" s="4">
        <v>42501.0</v>
      </c>
      <c r="E217" s="4">
        <v>42504.0</v>
      </c>
      <c r="F217" s="4">
        <v>42503.0</v>
      </c>
      <c r="G217" s="1">
        <v>1.0</v>
      </c>
      <c r="H217" s="1">
        <v>3.0</v>
      </c>
      <c r="I217" s="3" t="str">
        <f>VLOOKUP(B217,Customers!A:J, 10,FALSE)</f>
        <v>Angelina Lloyd</v>
      </c>
      <c r="J217" s="3" t="str">
        <f>VLOOKUP(B217,Customers!A:J,8,FALSE)</f>
        <v>CA</v>
      </c>
      <c r="K217" s="3" t="str">
        <f>VLOOKUP(B217,Customers!A:J,7,FALSE)</f>
        <v>Apple Valley</v>
      </c>
      <c r="L217" s="3" t="str">
        <f>VLOOKUP(H217,Staff!A:I,9,FALSE)</f>
        <v>Genna Serrano</v>
      </c>
      <c r="M217" s="3" t="str">
        <f>VLOOKUP(G217,Store!A:H,2,FALSE)</f>
        <v>Santa Cruz Bikes</v>
      </c>
      <c r="N217" s="3" t="str">
        <f>VLOOKUP(G217,Store!A:H,6,FALSE)</f>
        <v>Santa Cruz</v>
      </c>
      <c r="O217" s="3" t="s">
        <v>15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>
        <v>217.0</v>
      </c>
      <c r="B218" s="1">
        <v>716.0</v>
      </c>
      <c r="C218" s="1">
        <v>4.0</v>
      </c>
      <c r="D218" s="4">
        <v>42501.0</v>
      </c>
      <c r="E218" s="4">
        <v>42502.0</v>
      </c>
      <c r="F218" s="4">
        <v>42504.0</v>
      </c>
      <c r="G218" s="1">
        <v>2.0</v>
      </c>
      <c r="H218" s="1">
        <v>7.0</v>
      </c>
      <c r="I218" s="3" t="str">
        <f>VLOOKUP(B218,Customers!A:J, 10,FALSE)</f>
        <v>Sebrina Hart</v>
      </c>
      <c r="J218" s="3" t="str">
        <f>VLOOKUP(B218,Customers!A:J,8,FALSE)</f>
        <v>NY</v>
      </c>
      <c r="K218" s="3" t="str">
        <f>VLOOKUP(B218,Customers!A:J,7,FALSE)</f>
        <v>Coram</v>
      </c>
      <c r="L218" s="3" t="str">
        <f>VLOOKUP(H218,Staff!A:I,9,FALSE)</f>
        <v>Venita Daniel</v>
      </c>
      <c r="M218" s="3" t="str">
        <f>VLOOKUP(G218,Store!A:H,2,FALSE)</f>
        <v>Baldwin Bikes</v>
      </c>
      <c r="N218" s="3" t="str">
        <f>VLOOKUP(G218,Store!A:H,6,FALSE)</f>
        <v>Baldwin</v>
      </c>
      <c r="O218" s="3" t="s">
        <v>16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>
        <v>218.0</v>
      </c>
      <c r="B219" s="1">
        <v>1179.0</v>
      </c>
      <c r="C219" s="1">
        <v>4.0</v>
      </c>
      <c r="D219" s="4">
        <v>42502.0</v>
      </c>
      <c r="E219" s="4">
        <v>42504.0</v>
      </c>
      <c r="F219" s="4">
        <v>42504.0</v>
      </c>
      <c r="G219" s="1">
        <v>2.0</v>
      </c>
      <c r="H219" s="1">
        <v>7.0</v>
      </c>
      <c r="I219" s="3" t="str">
        <f>VLOOKUP(B219,Customers!A:J, 10,FALSE)</f>
        <v>Vernetta Banks</v>
      </c>
      <c r="J219" s="3" t="str">
        <f>VLOOKUP(B219,Customers!A:J,8,FALSE)</f>
        <v>NY</v>
      </c>
      <c r="K219" s="3" t="str">
        <f>VLOOKUP(B219,Customers!A:J,7,FALSE)</f>
        <v>Brooklyn</v>
      </c>
      <c r="L219" s="3" t="str">
        <f>VLOOKUP(H219,Staff!A:I,9,FALSE)</f>
        <v>Venita Daniel</v>
      </c>
      <c r="M219" s="3" t="str">
        <f>VLOOKUP(G219,Store!A:H,2,FALSE)</f>
        <v>Baldwin Bikes</v>
      </c>
      <c r="N219" s="3" t="str">
        <f>VLOOKUP(G219,Store!A:H,6,FALSE)</f>
        <v>Baldwin</v>
      </c>
      <c r="O219" s="3" t="s">
        <v>16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>
        <v>219.0</v>
      </c>
      <c r="B220" s="1">
        <v>1338.0</v>
      </c>
      <c r="C220" s="1">
        <v>4.0</v>
      </c>
      <c r="D220" s="4">
        <v>42502.0</v>
      </c>
      <c r="E220" s="4">
        <v>42505.0</v>
      </c>
      <c r="F220" s="4">
        <v>42505.0</v>
      </c>
      <c r="G220" s="1">
        <v>2.0</v>
      </c>
      <c r="H220" s="1">
        <v>6.0</v>
      </c>
      <c r="I220" s="3" t="str">
        <f>VLOOKUP(B220,Customers!A:J, 10,FALSE)</f>
        <v>Inez Snider</v>
      </c>
      <c r="J220" s="3" t="str">
        <f>VLOOKUP(B220,Customers!A:J,8,FALSE)</f>
        <v>NY</v>
      </c>
      <c r="K220" s="3" t="str">
        <f>VLOOKUP(B220,Customers!A:J,7,FALSE)</f>
        <v>Ronkonkoma</v>
      </c>
      <c r="L220" s="3" t="str">
        <f>VLOOKUP(H220,Staff!A:I,9,FALSE)</f>
        <v>Marcelene Boyer</v>
      </c>
      <c r="M220" s="3" t="str">
        <f>VLOOKUP(G220,Store!A:H,2,FALSE)</f>
        <v>Baldwin Bikes</v>
      </c>
      <c r="N220" s="3" t="str">
        <f>VLOOKUP(G220,Store!A:H,6,FALSE)</f>
        <v>Baldwin</v>
      </c>
      <c r="O220" s="3" t="s">
        <v>16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>
        <v>220.0</v>
      </c>
      <c r="B221" s="1">
        <v>1358.0</v>
      </c>
      <c r="C221" s="1">
        <v>4.0</v>
      </c>
      <c r="D221" s="4">
        <v>42502.0</v>
      </c>
      <c r="E221" s="4">
        <v>42504.0</v>
      </c>
      <c r="F221" s="4">
        <v>42505.0</v>
      </c>
      <c r="G221" s="1">
        <v>2.0</v>
      </c>
      <c r="H221" s="1">
        <v>6.0</v>
      </c>
      <c r="I221" s="3" t="str">
        <f>VLOOKUP(B221,Customers!A:J, 10,FALSE)</f>
        <v>Noble Glover</v>
      </c>
      <c r="J221" s="3" t="str">
        <f>VLOOKUP(B221,Customers!A:J,8,FALSE)</f>
        <v>NY</v>
      </c>
      <c r="K221" s="3" t="str">
        <f>VLOOKUP(B221,Customers!A:J,7,FALSE)</f>
        <v>Orchard Park</v>
      </c>
      <c r="L221" s="3" t="str">
        <f>VLOOKUP(H221,Staff!A:I,9,FALSE)</f>
        <v>Marcelene Boyer</v>
      </c>
      <c r="M221" s="3" t="str">
        <f>VLOOKUP(G221,Store!A:H,2,FALSE)</f>
        <v>Baldwin Bikes</v>
      </c>
      <c r="N221" s="3" t="str">
        <f>VLOOKUP(G221,Store!A:H,6,FALSE)</f>
        <v>Baldwin</v>
      </c>
      <c r="O221" s="3" t="s">
        <v>16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>
        <v>221.0</v>
      </c>
      <c r="B222" s="1">
        <v>1218.0</v>
      </c>
      <c r="C222" s="1">
        <v>4.0</v>
      </c>
      <c r="D222" s="4">
        <v>42503.0</v>
      </c>
      <c r="E222" s="4">
        <v>42506.0</v>
      </c>
      <c r="F222" s="4">
        <v>42504.0</v>
      </c>
      <c r="G222" s="1">
        <v>1.0</v>
      </c>
      <c r="H222" s="1">
        <v>2.0</v>
      </c>
      <c r="I222" s="3" t="str">
        <f>VLOOKUP(B222,Customers!A:J, 10,FALSE)</f>
        <v>Donovan Cantrell</v>
      </c>
      <c r="J222" s="3" t="str">
        <f>VLOOKUP(B222,Customers!A:J,8,FALSE)</f>
        <v>CA</v>
      </c>
      <c r="K222" s="3" t="str">
        <f>VLOOKUP(B222,Customers!A:J,7,FALSE)</f>
        <v>Oakland</v>
      </c>
      <c r="L222" s="3" t="str">
        <f>VLOOKUP(H222,Staff!A:I,9,FALSE)</f>
        <v>Mireya Copeland</v>
      </c>
      <c r="M222" s="3" t="str">
        <f>VLOOKUP(G222,Store!A:H,2,FALSE)</f>
        <v>Santa Cruz Bikes</v>
      </c>
      <c r="N222" s="3" t="str">
        <f>VLOOKUP(G222,Store!A:H,6,FALSE)</f>
        <v>Santa Cruz</v>
      </c>
      <c r="O222" s="3" t="s">
        <v>15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>
        <v>222.0</v>
      </c>
      <c r="B223" s="1">
        <v>51.0</v>
      </c>
      <c r="C223" s="1">
        <v>4.0</v>
      </c>
      <c r="D223" s="4">
        <v>42503.0</v>
      </c>
      <c r="E223" s="4">
        <v>42506.0</v>
      </c>
      <c r="F223" s="4">
        <v>42504.0</v>
      </c>
      <c r="G223" s="1">
        <v>2.0</v>
      </c>
      <c r="H223" s="1">
        <v>6.0</v>
      </c>
      <c r="I223" s="3" t="str">
        <f>VLOOKUP(B223,Customers!A:J, 10,FALSE)</f>
        <v>Gertrud Rhodes</v>
      </c>
      <c r="J223" s="3" t="str">
        <f>VLOOKUP(B223,Customers!A:J,8,FALSE)</f>
        <v>NY</v>
      </c>
      <c r="K223" s="3" t="str">
        <f>VLOOKUP(B223,Customers!A:J,7,FALSE)</f>
        <v>Merrick</v>
      </c>
      <c r="L223" s="3" t="str">
        <f>VLOOKUP(H223,Staff!A:I,9,FALSE)</f>
        <v>Marcelene Boyer</v>
      </c>
      <c r="M223" s="3" t="str">
        <f>VLOOKUP(G223,Store!A:H,2,FALSE)</f>
        <v>Baldwin Bikes</v>
      </c>
      <c r="N223" s="3" t="str">
        <f>VLOOKUP(G223,Store!A:H,6,FALSE)</f>
        <v>Baldwin</v>
      </c>
      <c r="O223" s="3" t="s">
        <v>16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>
        <v>223.0</v>
      </c>
      <c r="B224" s="1">
        <v>1368.0</v>
      </c>
      <c r="C224" s="1">
        <v>4.0</v>
      </c>
      <c r="D224" s="4">
        <v>42505.0</v>
      </c>
      <c r="E224" s="4">
        <v>42506.0</v>
      </c>
      <c r="F224" s="4">
        <v>42507.0</v>
      </c>
      <c r="G224" s="1">
        <v>2.0</v>
      </c>
      <c r="H224" s="1">
        <v>7.0</v>
      </c>
      <c r="I224" s="3" t="str">
        <f>VLOOKUP(B224,Customers!A:J, 10,FALSE)</f>
        <v>Veronique Fulton</v>
      </c>
      <c r="J224" s="3" t="str">
        <f>VLOOKUP(B224,Customers!A:J,8,FALSE)</f>
        <v>NY</v>
      </c>
      <c r="K224" s="3" t="str">
        <f>VLOOKUP(B224,Customers!A:J,7,FALSE)</f>
        <v>Ballston Spa</v>
      </c>
      <c r="L224" s="3" t="str">
        <f>VLOOKUP(H224,Staff!A:I,9,FALSE)</f>
        <v>Venita Daniel</v>
      </c>
      <c r="M224" s="3" t="str">
        <f>VLOOKUP(G224,Store!A:H,2,FALSE)</f>
        <v>Baldwin Bikes</v>
      </c>
      <c r="N224" s="3" t="str">
        <f>VLOOKUP(G224,Store!A:H,6,FALSE)</f>
        <v>Baldwin</v>
      </c>
      <c r="O224" s="3" t="s">
        <v>16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>
        <v>224.0</v>
      </c>
      <c r="B225" s="1">
        <v>157.0</v>
      </c>
      <c r="C225" s="1">
        <v>4.0</v>
      </c>
      <c r="D225" s="4">
        <v>42507.0</v>
      </c>
      <c r="E225" s="4">
        <v>42508.0</v>
      </c>
      <c r="F225" s="4">
        <v>42509.0</v>
      </c>
      <c r="G225" s="1">
        <v>1.0</v>
      </c>
      <c r="H225" s="1">
        <v>3.0</v>
      </c>
      <c r="I225" s="3" t="str">
        <f>VLOOKUP(B225,Customers!A:J, 10,FALSE)</f>
        <v>Carola Rodriquez</v>
      </c>
      <c r="J225" s="3" t="str">
        <f>VLOOKUP(B225,Customers!A:J,8,FALSE)</f>
        <v>CA</v>
      </c>
      <c r="K225" s="3" t="str">
        <f>VLOOKUP(B225,Customers!A:J,7,FALSE)</f>
        <v>Banning</v>
      </c>
      <c r="L225" s="3" t="str">
        <f>VLOOKUP(H225,Staff!A:I,9,FALSE)</f>
        <v>Genna Serrano</v>
      </c>
      <c r="M225" s="3" t="str">
        <f>VLOOKUP(G225,Store!A:H,2,FALSE)</f>
        <v>Santa Cruz Bikes</v>
      </c>
      <c r="N225" s="3" t="str">
        <f>VLOOKUP(G225,Store!A:H,6,FALSE)</f>
        <v>Santa Cruz</v>
      </c>
      <c r="O225" s="3" t="s">
        <v>15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>
        <v>225.0</v>
      </c>
      <c r="B226" s="1">
        <v>307.0</v>
      </c>
      <c r="C226" s="1">
        <v>4.0</v>
      </c>
      <c r="D226" s="4">
        <v>42507.0</v>
      </c>
      <c r="E226" s="4">
        <v>42510.0</v>
      </c>
      <c r="F226" s="4">
        <v>42509.0</v>
      </c>
      <c r="G226" s="1">
        <v>1.0</v>
      </c>
      <c r="H226" s="1">
        <v>3.0</v>
      </c>
      <c r="I226" s="3" t="str">
        <f>VLOOKUP(B226,Customers!A:J, 10,FALSE)</f>
        <v>Fransisca Nicholson</v>
      </c>
      <c r="J226" s="3" t="str">
        <f>VLOOKUP(B226,Customers!A:J,8,FALSE)</f>
        <v>CA</v>
      </c>
      <c r="K226" s="3" t="str">
        <f>VLOOKUP(B226,Customers!A:J,7,FALSE)</f>
        <v>Glendora</v>
      </c>
      <c r="L226" s="3" t="str">
        <f>VLOOKUP(H226,Staff!A:I,9,FALSE)</f>
        <v>Genna Serrano</v>
      </c>
      <c r="M226" s="3" t="str">
        <f>VLOOKUP(G226,Store!A:H,2,FALSE)</f>
        <v>Santa Cruz Bikes</v>
      </c>
      <c r="N226" s="3" t="str">
        <f>VLOOKUP(G226,Store!A:H,6,FALSE)</f>
        <v>Santa Cruz</v>
      </c>
      <c r="O226" s="3" t="s">
        <v>15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>
        <v>226.0</v>
      </c>
      <c r="B227" s="1">
        <v>501.0</v>
      </c>
      <c r="C227" s="1">
        <v>4.0</v>
      </c>
      <c r="D227" s="4">
        <v>42507.0</v>
      </c>
      <c r="E227" s="4">
        <v>42509.0</v>
      </c>
      <c r="F227" s="4">
        <v>42510.0</v>
      </c>
      <c r="G227" s="1">
        <v>1.0</v>
      </c>
      <c r="H227" s="1">
        <v>2.0</v>
      </c>
      <c r="I227" s="3" t="str">
        <f>VLOOKUP(B227,Customers!A:J, 10,FALSE)</f>
        <v>Tony Hicks</v>
      </c>
      <c r="J227" s="3" t="str">
        <f>VLOOKUP(B227,Customers!A:J,8,FALSE)</f>
        <v>CA</v>
      </c>
      <c r="K227" s="3" t="str">
        <f>VLOOKUP(B227,Customers!A:J,7,FALSE)</f>
        <v>Anaheim</v>
      </c>
      <c r="L227" s="3" t="str">
        <f>VLOOKUP(H227,Staff!A:I,9,FALSE)</f>
        <v>Mireya Copeland</v>
      </c>
      <c r="M227" s="3" t="str">
        <f>VLOOKUP(G227,Store!A:H,2,FALSE)</f>
        <v>Santa Cruz Bikes</v>
      </c>
      <c r="N227" s="3" t="str">
        <f>VLOOKUP(G227,Store!A:H,6,FALSE)</f>
        <v>Santa Cruz</v>
      </c>
      <c r="O227" s="3" t="s">
        <v>15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>
        <v>227.0</v>
      </c>
      <c r="B228" s="1">
        <v>489.0</v>
      </c>
      <c r="C228" s="1">
        <v>4.0</v>
      </c>
      <c r="D228" s="4">
        <v>42507.0</v>
      </c>
      <c r="E228" s="4">
        <v>42508.0</v>
      </c>
      <c r="F228" s="4">
        <v>42510.0</v>
      </c>
      <c r="G228" s="1">
        <v>2.0</v>
      </c>
      <c r="H228" s="1">
        <v>7.0</v>
      </c>
      <c r="I228" s="3" t="str">
        <f>VLOOKUP(B228,Customers!A:J, 10,FALSE)</f>
        <v>Kirstie Vazquez</v>
      </c>
      <c r="J228" s="3" t="str">
        <f>VLOOKUP(B228,Customers!A:J,8,FALSE)</f>
        <v>NY</v>
      </c>
      <c r="K228" s="3" t="str">
        <f>VLOOKUP(B228,Customers!A:J,7,FALSE)</f>
        <v>Saratoga Springs</v>
      </c>
      <c r="L228" s="3" t="str">
        <f>VLOOKUP(H228,Staff!A:I,9,FALSE)</f>
        <v>Venita Daniel</v>
      </c>
      <c r="M228" s="3" t="str">
        <f>VLOOKUP(G228,Store!A:H,2,FALSE)</f>
        <v>Baldwin Bikes</v>
      </c>
      <c r="N228" s="3" t="str">
        <f>VLOOKUP(G228,Store!A:H,6,FALSE)</f>
        <v>Baldwin</v>
      </c>
      <c r="O228" s="3" t="s">
        <v>16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>
        <v>228.0</v>
      </c>
      <c r="B229" s="1">
        <v>615.0</v>
      </c>
      <c r="C229" s="1">
        <v>4.0</v>
      </c>
      <c r="D229" s="4">
        <v>42507.0</v>
      </c>
      <c r="E229" s="4">
        <v>42510.0</v>
      </c>
      <c r="F229" s="4">
        <v>42510.0</v>
      </c>
      <c r="G229" s="1">
        <v>2.0</v>
      </c>
      <c r="H229" s="1">
        <v>7.0</v>
      </c>
      <c r="I229" s="3" t="str">
        <f>VLOOKUP(B229,Customers!A:J, 10,FALSE)</f>
        <v>Jamika Blanchard</v>
      </c>
      <c r="J229" s="3" t="str">
        <f>VLOOKUP(B229,Customers!A:J,8,FALSE)</f>
        <v>NY</v>
      </c>
      <c r="K229" s="3" t="str">
        <f>VLOOKUP(B229,Customers!A:J,7,FALSE)</f>
        <v>Fresh Meadows</v>
      </c>
      <c r="L229" s="3" t="str">
        <f>VLOOKUP(H229,Staff!A:I,9,FALSE)</f>
        <v>Venita Daniel</v>
      </c>
      <c r="M229" s="3" t="str">
        <f>VLOOKUP(G229,Store!A:H,2,FALSE)</f>
        <v>Baldwin Bikes</v>
      </c>
      <c r="N229" s="3" t="str">
        <f>VLOOKUP(G229,Store!A:H,6,FALSE)</f>
        <v>Baldwin</v>
      </c>
      <c r="O229" s="3" t="s">
        <v>16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>
        <v>229.0</v>
      </c>
      <c r="B230" s="1">
        <v>742.0</v>
      </c>
      <c r="C230" s="1">
        <v>4.0</v>
      </c>
      <c r="D230" s="4">
        <v>42509.0</v>
      </c>
      <c r="E230" s="4">
        <v>42511.0</v>
      </c>
      <c r="F230" s="4">
        <v>42510.0</v>
      </c>
      <c r="G230" s="1">
        <v>2.0</v>
      </c>
      <c r="H230" s="1">
        <v>6.0</v>
      </c>
      <c r="I230" s="3" t="str">
        <f>VLOOKUP(B230,Customers!A:J, 10,FALSE)</f>
        <v>Evelina Manning</v>
      </c>
      <c r="J230" s="3" t="str">
        <f>VLOOKUP(B230,Customers!A:J,8,FALSE)</f>
        <v>NY</v>
      </c>
      <c r="K230" s="3" t="str">
        <f>VLOOKUP(B230,Customers!A:J,7,FALSE)</f>
        <v>Mount Vernon</v>
      </c>
      <c r="L230" s="3" t="str">
        <f>VLOOKUP(H230,Staff!A:I,9,FALSE)</f>
        <v>Marcelene Boyer</v>
      </c>
      <c r="M230" s="3" t="str">
        <f>VLOOKUP(G230,Store!A:H,2,FALSE)</f>
        <v>Baldwin Bikes</v>
      </c>
      <c r="N230" s="3" t="str">
        <f>VLOOKUP(G230,Store!A:H,6,FALSE)</f>
        <v>Baldwin</v>
      </c>
      <c r="O230" s="3" t="s">
        <v>16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>
        <v>230.0</v>
      </c>
      <c r="B231" s="1">
        <v>1167.0</v>
      </c>
      <c r="C231" s="1">
        <v>4.0</v>
      </c>
      <c r="D231" s="4">
        <v>42509.0</v>
      </c>
      <c r="E231" s="4">
        <v>42510.0</v>
      </c>
      <c r="F231" s="4">
        <v>42511.0</v>
      </c>
      <c r="G231" s="1">
        <v>2.0</v>
      </c>
      <c r="H231" s="1">
        <v>6.0</v>
      </c>
      <c r="I231" s="3" t="str">
        <f>VLOOKUP(B231,Customers!A:J, 10,FALSE)</f>
        <v>Ryan Carter</v>
      </c>
      <c r="J231" s="3" t="str">
        <f>VLOOKUP(B231,Customers!A:J,8,FALSE)</f>
        <v>NY</v>
      </c>
      <c r="K231" s="3" t="str">
        <f>VLOOKUP(B231,Customers!A:J,7,FALSE)</f>
        <v>Nanuet</v>
      </c>
      <c r="L231" s="3" t="str">
        <f>VLOOKUP(H231,Staff!A:I,9,FALSE)</f>
        <v>Marcelene Boyer</v>
      </c>
      <c r="M231" s="3" t="str">
        <f>VLOOKUP(G231,Store!A:H,2,FALSE)</f>
        <v>Baldwin Bikes</v>
      </c>
      <c r="N231" s="3" t="str">
        <f>VLOOKUP(G231,Store!A:H,6,FALSE)</f>
        <v>Baldwin</v>
      </c>
      <c r="O231" s="3" t="s">
        <v>16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>
        <v>231.0</v>
      </c>
      <c r="B232" s="1">
        <v>1257.0</v>
      </c>
      <c r="C232" s="1">
        <v>4.0</v>
      </c>
      <c r="D232" s="4">
        <v>42509.0</v>
      </c>
      <c r="E232" s="4">
        <v>42512.0</v>
      </c>
      <c r="F232" s="4">
        <v>42511.0</v>
      </c>
      <c r="G232" s="1">
        <v>2.0</v>
      </c>
      <c r="H232" s="1">
        <v>6.0</v>
      </c>
      <c r="I232" s="3" t="str">
        <f>VLOOKUP(B232,Customers!A:J, 10,FALSE)</f>
        <v>Rosamaria Meyer</v>
      </c>
      <c r="J232" s="3" t="str">
        <f>VLOOKUP(B232,Customers!A:J,8,FALSE)</f>
        <v>NY</v>
      </c>
      <c r="K232" s="3" t="str">
        <f>VLOOKUP(B232,Customers!A:J,7,FALSE)</f>
        <v>Webster</v>
      </c>
      <c r="L232" s="3" t="str">
        <f>VLOOKUP(H232,Staff!A:I,9,FALSE)</f>
        <v>Marcelene Boyer</v>
      </c>
      <c r="M232" s="3" t="str">
        <f>VLOOKUP(G232,Store!A:H,2,FALSE)</f>
        <v>Baldwin Bikes</v>
      </c>
      <c r="N232" s="3" t="str">
        <f>VLOOKUP(G232,Store!A:H,6,FALSE)</f>
        <v>Baldwin</v>
      </c>
      <c r="O232" s="3" t="s">
        <v>16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>
        <v>232.0</v>
      </c>
      <c r="B233" s="1">
        <v>1360.0</v>
      </c>
      <c r="C233" s="1">
        <v>4.0</v>
      </c>
      <c r="D233" s="4">
        <v>42510.0</v>
      </c>
      <c r="E233" s="4">
        <v>42513.0</v>
      </c>
      <c r="F233" s="4">
        <v>42513.0</v>
      </c>
      <c r="G233" s="1">
        <v>1.0</v>
      </c>
      <c r="H233" s="1">
        <v>3.0</v>
      </c>
      <c r="I233" s="3" t="str">
        <f>VLOOKUP(B233,Customers!A:J, 10,FALSE)</f>
        <v>Latashia Travis</v>
      </c>
      <c r="J233" s="3" t="str">
        <f>VLOOKUP(B233,Customers!A:J,8,FALSE)</f>
        <v>CA</v>
      </c>
      <c r="K233" s="3" t="str">
        <f>VLOOKUP(B233,Customers!A:J,7,FALSE)</f>
        <v>Upland</v>
      </c>
      <c r="L233" s="3" t="str">
        <f>VLOOKUP(H233,Staff!A:I,9,FALSE)</f>
        <v>Genna Serrano</v>
      </c>
      <c r="M233" s="3" t="str">
        <f>VLOOKUP(G233,Store!A:H,2,FALSE)</f>
        <v>Santa Cruz Bikes</v>
      </c>
      <c r="N233" s="3" t="str">
        <f>VLOOKUP(G233,Store!A:H,6,FALSE)</f>
        <v>Santa Cruz</v>
      </c>
      <c r="O233" s="3" t="s">
        <v>15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>
        <v>233.0</v>
      </c>
      <c r="B234" s="1">
        <v>737.0</v>
      </c>
      <c r="C234" s="1">
        <v>4.0</v>
      </c>
      <c r="D234" s="4">
        <v>42511.0</v>
      </c>
      <c r="E234" s="4">
        <v>42512.0</v>
      </c>
      <c r="F234" s="4">
        <v>42514.0</v>
      </c>
      <c r="G234" s="1">
        <v>2.0</v>
      </c>
      <c r="H234" s="1">
        <v>6.0</v>
      </c>
      <c r="I234" s="3" t="str">
        <f>VLOOKUP(B234,Customers!A:J, 10,FALSE)</f>
        <v>Melita Dominguez</v>
      </c>
      <c r="J234" s="3" t="str">
        <f>VLOOKUP(B234,Customers!A:J,8,FALSE)</f>
        <v>NY</v>
      </c>
      <c r="K234" s="3" t="str">
        <f>VLOOKUP(B234,Customers!A:J,7,FALSE)</f>
        <v>Auburn</v>
      </c>
      <c r="L234" s="3" t="str">
        <f>VLOOKUP(H234,Staff!A:I,9,FALSE)</f>
        <v>Marcelene Boyer</v>
      </c>
      <c r="M234" s="3" t="str">
        <f>VLOOKUP(G234,Store!A:H,2,FALSE)</f>
        <v>Baldwin Bikes</v>
      </c>
      <c r="N234" s="3" t="str">
        <f>VLOOKUP(G234,Store!A:H,6,FALSE)</f>
        <v>Baldwin</v>
      </c>
      <c r="O234" s="3" t="s">
        <v>16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>
        <v>234.0</v>
      </c>
      <c r="B235" s="1">
        <v>1435.0</v>
      </c>
      <c r="C235" s="1">
        <v>4.0</v>
      </c>
      <c r="D235" s="4">
        <v>42512.0</v>
      </c>
      <c r="E235" s="4">
        <v>42514.0</v>
      </c>
      <c r="F235" s="4">
        <v>42514.0</v>
      </c>
      <c r="G235" s="1">
        <v>2.0</v>
      </c>
      <c r="H235" s="1">
        <v>6.0</v>
      </c>
      <c r="I235" s="3" t="str">
        <f>VLOOKUP(B235,Customers!A:J, 10,FALSE)</f>
        <v>Merrie Fowler</v>
      </c>
      <c r="J235" s="3" t="str">
        <f>VLOOKUP(B235,Customers!A:J,8,FALSE)</f>
        <v>NY</v>
      </c>
      <c r="K235" s="3" t="str">
        <f>VLOOKUP(B235,Customers!A:J,7,FALSE)</f>
        <v>Scarsdale</v>
      </c>
      <c r="L235" s="3" t="str">
        <f>VLOOKUP(H235,Staff!A:I,9,FALSE)</f>
        <v>Marcelene Boyer</v>
      </c>
      <c r="M235" s="3" t="str">
        <f>VLOOKUP(G235,Store!A:H,2,FALSE)</f>
        <v>Baldwin Bikes</v>
      </c>
      <c r="N235" s="3" t="str">
        <f>VLOOKUP(G235,Store!A:H,6,FALSE)</f>
        <v>Baldwin</v>
      </c>
      <c r="O235" s="3" t="s">
        <v>16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>
        <v>235.0</v>
      </c>
      <c r="B236" s="1">
        <v>649.0</v>
      </c>
      <c r="C236" s="1">
        <v>4.0</v>
      </c>
      <c r="D236" s="4">
        <v>42514.0</v>
      </c>
      <c r="E236" s="4">
        <v>42515.0</v>
      </c>
      <c r="F236" s="4">
        <v>42515.0</v>
      </c>
      <c r="G236" s="1">
        <v>2.0</v>
      </c>
      <c r="H236" s="1">
        <v>6.0</v>
      </c>
      <c r="I236" s="3" t="str">
        <f>VLOOKUP(B236,Customers!A:J, 10,FALSE)</f>
        <v>Eli Contreras</v>
      </c>
      <c r="J236" s="3" t="str">
        <f>VLOOKUP(B236,Customers!A:J,8,FALSE)</f>
        <v>NY</v>
      </c>
      <c r="K236" s="3" t="str">
        <f>VLOOKUP(B236,Customers!A:J,7,FALSE)</f>
        <v>Ronkonkoma</v>
      </c>
      <c r="L236" s="3" t="str">
        <f>VLOOKUP(H236,Staff!A:I,9,FALSE)</f>
        <v>Marcelene Boyer</v>
      </c>
      <c r="M236" s="3" t="str">
        <f>VLOOKUP(G236,Store!A:H,2,FALSE)</f>
        <v>Baldwin Bikes</v>
      </c>
      <c r="N236" s="3" t="str">
        <f>VLOOKUP(G236,Store!A:H,6,FALSE)</f>
        <v>Baldwin</v>
      </c>
      <c r="O236" s="3" t="s">
        <v>16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>
        <v>236.0</v>
      </c>
      <c r="B237" s="1">
        <v>206.0</v>
      </c>
      <c r="C237" s="1">
        <v>4.0</v>
      </c>
      <c r="D237" s="4">
        <v>42515.0</v>
      </c>
      <c r="E237" s="4">
        <v>42517.0</v>
      </c>
      <c r="F237" s="4">
        <v>42516.0</v>
      </c>
      <c r="G237" s="1">
        <v>2.0</v>
      </c>
      <c r="H237" s="1">
        <v>6.0</v>
      </c>
      <c r="I237" s="3" t="str">
        <f>VLOOKUP(B237,Customers!A:J, 10,FALSE)</f>
        <v>Stephaine Riddle</v>
      </c>
      <c r="J237" s="3" t="str">
        <f>VLOOKUP(B237,Customers!A:J,8,FALSE)</f>
        <v>NY</v>
      </c>
      <c r="K237" s="3" t="str">
        <f>VLOOKUP(B237,Customers!A:J,7,FALSE)</f>
        <v>Brooklyn</v>
      </c>
      <c r="L237" s="3" t="str">
        <f>VLOOKUP(H237,Staff!A:I,9,FALSE)</f>
        <v>Marcelene Boyer</v>
      </c>
      <c r="M237" s="3" t="str">
        <f>VLOOKUP(G237,Store!A:H,2,FALSE)</f>
        <v>Baldwin Bikes</v>
      </c>
      <c r="N237" s="3" t="str">
        <f>VLOOKUP(G237,Store!A:H,6,FALSE)</f>
        <v>Baldwin</v>
      </c>
      <c r="O237" s="3" t="s">
        <v>16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>
        <v>237.0</v>
      </c>
      <c r="B238" s="1">
        <v>1351.0</v>
      </c>
      <c r="C238" s="1">
        <v>4.0</v>
      </c>
      <c r="D238" s="4">
        <v>42515.0</v>
      </c>
      <c r="E238" s="4">
        <v>42516.0</v>
      </c>
      <c r="F238" s="4">
        <v>42517.0</v>
      </c>
      <c r="G238" s="1">
        <v>2.0</v>
      </c>
      <c r="H238" s="1">
        <v>7.0</v>
      </c>
      <c r="I238" s="3" t="str">
        <f>VLOOKUP(B238,Customers!A:J, 10,FALSE)</f>
        <v>Carman Hardy</v>
      </c>
      <c r="J238" s="3" t="str">
        <f>VLOOKUP(B238,Customers!A:J,8,FALSE)</f>
        <v>NY</v>
      </c>
      <c r="K238" s="3" t="str">
        <f>VLOOKUP(B238,Customers!A:J,7,FALSE)</f>
        <v>Jamestown</v>
      </c>
      <c r="L238" s="3" t="str">
        <f>VLOOKUP(H238,Staff!A:I,9,FALSE)</f>
        <v>Venita Daniel</v>
      </c>
      <c r="M238" s="3" t="str">
        <f>VLOOKUP(G238,Store!A:H,2,FALSE)</f>
        <v>Baldwin Bikes</v>
      </c>
      <c r="N238" s="3" t="str">
        <f>VLOOKUP(G238,Store!A:H,6,FALSE)</f>
        <v>Baldwin</v>
      </c>
      <c r="O238" s="3" t="s">
        <v>16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>
        <v>238.0</v>
      </c>
      <c r="B239" s="1">
        <v>1350.0</v>
      </c>
      <c r="C239" s="1">
        <v>4.0</v>
      </c>
      <c r="D239" s="4">
        <v>42516.0</v>
      </c>
      <c r="E239" s="4">
        <v>42519.0</v>
      </c>
      <c r="F239" s="4">
        <v>42519.0</v>
      </c>
      <c r="G239" s="1">
        <v>2.0</v>
      </c>
      <c r="H239" s="1">
        <v>6.0</v>
      </c>
      <c r="I239" s="3" t="str">
        <f>VLOOKUP(B239,Customers!A:J, 10,FALSE)</f>
        <v>Annett Rush</v>
      </c>
      <c r="J239" s="3" t="str">
        <f>VLOOKUP(B239,Customers!A:J,8,FALSE)</f>
        <v>NY</v>
      </c>
      <c r="K239" s="3" t="str">
        <f>VLOOKUP(B239,Customers!A:J,7,FALSE)</f>
        <v>Rosedale</v>
      </c>
      <c r="L239" s="3" t="str">
        <f>VLOOKUP(H239,Staff!A:I,9,FALSE)</f>
        <v>Marcelene Boyer</v>
      </c>
      <c r="M239" s="3" t="str">
        <f>VLOOKUP(G239,Store!A:H,2,FALSE)</f>
        <v>Baldwin Bikes</v>
      </c>
      <c r="N239" s="3" t="str">
        <f>VLOOKUP(G239,Store!A:H,6,FALSE)</f>
        <v>Baldwin</v>
      </c>
      <c r="O239" s="3" t="s">
        <v>16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>
        <v>239.0</v>
      </c>
      <c r="B240" s="1">
        <v>13.0</v>
      </c>
      <c r="C240" s="1">
        <v>3.0</v>
      </c>
      <c r="D240" s="4">
        <v>42517.0</v>
      </c>
      <c r="E240" s="4">
        <v>42517.0</v>
      </c>
      <c r="F240" s="1" t="s">
        <v>18</v>
      </c>
      <c r="G240" s="1">
        <v>3.0</v>
      </c>
      <c r="H240" s="1">
        <v>9.0</v>
      </c>
      <c r="I240" s="3" t="str">
        <f>VLOOKUP(B240,Customers!A:J, 10,FALSE)</f>
        <v>Lashawn Ortiz</v>
      </c>
      <c r="J240" s="3" t="str">
        <f>VLOOKUP(B240,Customers!A:J,8,FALSE)</f>
        <v>TX</v>
      </c>
      <c r="K240" s="3" t="str">
        <f>VLOOKUP(B240,Customers!A:J,7,FALSE)</f>
        <v>Longview</v>
      </c>
      <c r="L240" s="3" t="str">
        <f>VLOOKUP(H240,Staff!A:I,9,FALSE)</f>
        <v>Layla Terrell</v>
      </c>
      <c r="M240" s="3" t="str">
        <f>VLOOKUP(G240,Store!A:H,2,FALSE)</f>
        <v>Rowlett Bikes</v>
      </c>
      <c r="N240" s="3" t="str">
        <f>VLOOKUP(G240,Store!A:H,6,FALSE)</f>
        <v>Rowlett</v>
      </c>
      <c r="O240" s="3" t="s">
        <v>17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>
        <v>240.0</v>
      </c>
      <c r="B241" s="1">
        <v>65.0</v>
      </c>
      <c r="C241" s="1">
        <v>4.0</v>
      </c>
      <c r="D241" s="4">
        <v>42517.0</v>
      </c>
      <c r="E241" s="4">
        <v>42519.0</v>
      </c>
      <c r="F241" s="4">
        <v>42520.0</v>
      </c>
      <c r="G241" s="1">
        <v>2.0</v>
      </c>
      <c r="H241" s="1">
        <v>6.0</v>
      </c>
      <c r="I241" s="3" t="str">
        <f>VLOOKUP(B241,Customers!A:J, 10,FALSE)</f>
        <v>Kanesha Vega</v>
      </c>
      <c r="J241" s="3" t="str">
        <f>VLOOKUP(B241,Customers!A:J,8,FALSE)</f>
        <v>NY</v>
      </c>
      <c r="K241" s="3" t="str">
        <f>VLOOKUP(B241,Customers!A:J,7,FALSE)</f>
        <v>Rome</v>
      </c>
      <c r="L241" s="3" t="str">
        <f>VLOOKUP(H241,Staff!A:I,9,FALSE)</f>
        <v>Marcelene Boyer</v>
      </c>
      <c r="M241" s="3" t="str">
        <f>VLOOKUP(G241,Store!A:H,2,FALSE)</f>
        <v>Baldwin Bikes</v>
      </c>
      <c r="N241" s="3" t="str">
        <f>VLOOKUP(G241,Store!A:H,6,FALSE)</f>
        <v>Baldwin</v>
      </c>
      <c r="O241" s="3" t="s">
        <v>16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>
        <v>241.0</v>
      </c>
      <c r="B242" s="1">
        <v>1082.0</v>
      </c>
      <c r="C242" s="1">
        <v>4.0</v>
      </c>
      <c r="D242" s="4">
        <v>42517.0</v>
      </c>
      <c r="E242" s="4">
        <v>42519.0</v>
      </c>
      <c r="F242" s="4">
        <v>42519.0</v>
      </c>
      <c r="G242" s="1">
        <v>2.0</v>
      </c>
      <c r="H242" s="1">
        <v>7.0</v>
      </c>
      <c r="I242" s="3" t="str">
        <f>VLOOKUP(B242,Customers!A:J, 10,FALSE)</f>
        <v>Divina Madden</v>
      </c>
      <c r="J242" s="3" t="str">
        <f>VLOOKUP(B242,Customers!A:J,8,FALSE)</f>
        <v>NY</v>
      </c>
      <c r="K242" s="3" t="str">
        <f>VLOOKUP(B242,Customers!A:J,7,FALSE)</f>
        <v>Long Beach</v>
      </c>
      <c r="L242" s="3" t="str">
        <f>VLOOKUP(H242,Staff!A:I,9,FALSE)</f>
        <v>Venita Daniel</v>
      </c>
      <c r="M242" s="3" t="str">
        <f>VLOOKUP(G242,Store!A:H,2,FALSE)</f>
        <v>Baldwin Bikes</v>
      </c>
      <c r="N242" s="3" t="str">
        <f>VLOOKUP(G242,Store!A:H,6,FALSE)</f>
        <v>Baldwin</v>
      </c>
      <c r="O242" s="3" t="s">
        <v>16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>
        <v>242.0</v>
      </c>
      <c r="B243" s="1">
        <v>1168.0</v>
      </c>
      <c r="C243" s="1">
        <v>4.0</v>
      </c>
      <c r="D243" s="4">
        <v>42517.0</v>
      </c>
      <c r="E243" s="4">
        <v>42520.0</v>
      </c>
      <c r="F243" s="4">
        <v>42520.0</v>
      </c>
      <c r="G243" s="1">
        <v>2.0</v>
      </c>
      <c r="H243" s="1">
        <v>7.0</v>
      </c>
      <c r="I243" s="3" t="str">
        <f>VLOOKUP(B243,Customers!A:J, 10,FALSE)</f>
        <v>Almeta Benjamin</v>
      </c>
      <c r="J243" s="3" t="str">
        <f>VLOOKUP(B243,Customers!A:J,8,FALSE)</f>
        <v>NY</v>
      </c>
      <c r="K243" s="3" t="str">
        <f>VLOOKUP(B243,Customers!A:J,7,FALSE)</f>
        <v>Sunnyside</v>
      </c>
      <c r="L243" s="3" t="str">
        <f>VLOOKUP(H243,Staff!A:I,9,FALSE)</f>
        <v>Venita Daniel</v>
      </c>
      <c r="M243" s="3" t="str">
        <f>VLOOKUP(G243,Store!A:H,2,FALSE)</f>
        <v>Baldwin Bikes</v>
      </c>
      <c r="N243" s="3" t="str">
        <f>VLOOKUP(G243,Store!A:H,6,FALSE)</f>
        <v>Baldwin</v>
      </c>
      <c r="O243" s="3" t="s">
        <v>16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>
        <v>243.0</v>
      </c>
      <c r="B244" s="1">
        <v>802.0</v>
      </c>
      <c r="C244" s="1">
        <v>4.0</v>
      </c>
      <c r="D244" s="4">
        <v>42517.0</v>
      </c>
      <c r="E244" s="4">
        <v>42520.0</v>
      </c>
      <c r="F244" s="4">
        <v>42518.0</v>
      </c>
      <c r="G244" s="1">
        <v>3.0</v>
      </c>
      <c r="H244" s="1">
        <v>8.0</v>
      </c>
      <c r="I244" s="3" t="str">
        <f>VLOOKUP(B244,Customers!A:J, 10,FALSE)</f>
        <v>Barrett Sanders</v>
      </c>
      <c r="J244" s="3" t="str">
        <f>VLOOKUP(B244,Customers!A:J,8,FALSE)</f>
        <v>TX</v>
      </c>
      <c r="K244" s="3" t="str">
        <f>VLOOKUP(B244,Customers!A:J,7,FALSE)</f>
        <v>Longview</v>
      </c>
      <c r="L244" s="3" t="str">
        <f>VLOOKUP(H244,Staff!A:I,9,FALSE)</f>
        <v>Kali Vargas</v>
      </c>
      <c r="M244" s="3" t="str">
        <f>VLOOKUP(G244,Store!A:H,2,FALSE)</f>
        <v>Rowlett Bikes</v>
      </c>
      <c r="N244" s="3" t="str">
        <f>VLOOKUP(G244,Store!A:H,6,FALSE)</f>
        <v>Rowlett</v>
      </c>
      <c r="O244" s="3" t="s">
        <v>17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>
        <v>244.0</v>
      </c>
      <c r="B245" s="1">
        <v>956.0</v>
      </c>
      <c r="C245" s="1">
        <v>4.0</v>
      </c>
      <c r="D245" s="4">
        <v>42518.0</v>
      </c>
      <c r="E245" s="4">
        <v>42519.0</v>
      </c>
      <c r="F245" s="4">
        <v>42519.0</v>
      </c>
      <c r="G245" s="1">
        <v>2.0</v>
      </c>
      <c r="H245" s="1">
        <v>6.0</v>
      </c>
      <c r="I245" s="3" t="str">
        <f>VLOOKUP(B245,Customers!A:J, 10,FALSE)</f>
        <v>Venus Hewitt</v>
      </c>
      <c r="J245" s="3" t="str">
        <f>VLOOKUP(B245,Customers!A:J,8,FALSE)</f>
        <v>NY</v>
      </c>
      <c r="K245" s="3" t="str">
        <f>VLOOKUP(B245,Customers!A:J,7,FALSE)</f>
        <v>Farmingdale</v>
      </c>
      <c r="L245" s="3" t="str">
        <f>VLOOKUP(H245,Staff!A:I,9,FALSE)</f>
        <v>Marcelene Boyer</v>
      </c>
      <c r="M245" s="3" t="str">
        <f>VLOOKUP(G245,Store!A:H,2,FALSE)</f>
        <v>Baldwin Bikes</v>
      </c>
      <c r="N245" s="3" t="str">
        <f>VLOOKUP(G245,Store!A:H,6,FALSE)</f>
        <v>Baldwin</v>
      </c>
      <c r="O245" s="3" t="s">
        <v>16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>
        <v>245.0</v>
      </c>
      <c r="B246" s="1">
        <v>223.0</v>
      </c>
      <c r="C246" s="1">
        <v>4.0</v>
      </c>
      <c r="D246" s="4">
        <v>42519.0</v>
      </c>
      <c r="E246" s="4">
        <v>42521.0</v>
      </c>
      <c r="F246" s="4">
        <v>42520.0</v>
      </c>
      <c r="G246" s="1">
        <v>2.0</v>
      </c>
      <c r="H246" s="1">
        <v>7.0</v>
      </c>
      <c r="I246" s="3" t="str">
        <f>VLOOKUP(B246,Customers!A:J, 10,FALSE)</f>
        <v>Scarlet Yates</v>
      </c>
      <c r="J246" s="3" t="str">
        <f>VLOOKUP(B246,Customers!A:J,8,FALSE)</f>
        <v>NY</v>
      </c>
      <c r="K246" s="3" t="str">
        <f>VLOOKUP(B246,Customers!A:J,7,FALSE)</f>
        <v>Patchogue</v>
      </c>
      <c r="L246" s="3" t="str">
        <f>VLOOKUP(H246,Staff!A:I,9,FALSE)</f>
        <v>Venita Daniel</v>
      </c>
      <c r="M246" s="3" t="str">
        <f>VLOOKUP(G246,Store!A:H,2,FALSE)</f>
        <v>Baldwin Bikes</v>
      </c>
      <c r="N246" s="3" t="str">
        <f>VLOOKUP(G246,Store!A:H,6,FALSE)</f>
        <v>Baldwin</v>
      </c>
      <c r="O246" s="3" t="s">
        <v>16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>
        <v>246.0</v>
      </c>
      <c r="B247" s="1">
        <v>17.0</v>
      </c>
      <c r="C247" s="1">
        <v>3.0</v>
      </c>
      <c r="D247" s="4">
        <v>42520.0</v>
      </c>
      <c r="E247" s="4">
        <v>42520.0</v>
      </c>
      <c r="F247" s="1" t="s">
        <v>18</v>
      </c>
      <c r="G247" s="1">
        <v>2.0</v>
      </c>
      <c r="H247" s="1">
        <v>6.0</v>
      </c>
      <c r="I247" s="3" t="str">
        <f>VLOOKUP(B247,Customers!A:J, 10,FALSE)</f>
        <v>Caren Stephens</v>
      </c>
      <c r="J247" s="3" t="str">
        <f>VLOOKUP(B247,Customers!A:J,8,FALSE)</f>
        <v>NY</v>
      </c>
      <c r="K247" s="3" t="str">
        <f>VLOOKUP(B247,Customers!A:J,7,FALSE)</f>
        <v>Scarsdale</v>
      </c>
      <c r="L247" s="3" t="str">
        <f>VLOOKUP(H247,Staff!A:I,9,FALSE)</f>
        <v>Marcelene Boyer</v>
      </c>
      <c r="M247" s="3" t="str">
        <f>VLOOKUP(G247,Store!A:H,2,FALSE)</f>
        <v>Baldwin Bikes</v>
      </c>
      <c r="N247" s="3" t="str">
        <f>VLOOKUP(G247,Store!A:H,6,FALSE)</f>
        <v>Baldwin</v>
      </c>
      <c r="O247" s="3" t="s">
        <v>16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>
        <v>247.0</v>
      </c>
      <c r="B248" s="1">
        <v>928.0</v>
      </c>
      <c r="C248" s="1">
        <v>4.0</v>
      </c>
      <c r="D248" s="4">
        <v>42520.0</v>
      </c>
      <c r="E248" s="4">
        <v>42522.0</v>
      </c>
      <c r="F248" s="4">
        <v>42522.0</v>
      </c>
      <c r="G248" s="1">
        <v>1.0</v>
      </c>
      <c r="H248" s="1">
        <v>3.0</v>
      </c>
      <c r="I248" s="3" t="str">
        <f>VLOOKUP(B248,Customers!A:J, 10,FALSE)</f>
        <v>Joann Barber</v>
      </c>
      <c r="J248" s="3" t="str">
        <f>VLOOKUP(B248,Customers!A:J,8,FALSE)</f>
        <v>CA</v>
      </c>
      <c r="K248" s="3" t="str">
        <f>VLOOKUP(B248,Customers!A:J,7,FALSE)</f>
        <v>Santa Monica</v>
      </c>
      <c r="L248" s="3" t="str">
        <f>VLOOKUP(H248,Staff!A:I,9,FALSE)</f>
        <v>Genna Serrano</v>
      </c>
      <c r="M248" s="3" t="str">
        <f>VLOOKUP(G248,Store!A:H,2,FALSE)</f>
        <v>Santa Cruz Bikes</v>
      </c>
      <c r="N248" s="3" t="str">
        <f>VLOOKUP(G248,Store!A:H,6,FALSE)</f>
        <v>Santa Cruz</v>
      </c>
      <c r="O248" s="3" t="s">
        <v>15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>
        <v>248.0</v>
      </c>
      <c r="B249" s="1">
        <v>1376.0</v>
      </c>
      <c r="C249" s="1">
        <v>4.0</v>
      </c>
      <c r="D249" s="4">
        <v>42520.0</v>
      </c>
      <c r="E249" s="4">
        <v>42522.0</v>
      </c>
      <c r="F249" s="4">
        <v>42521.0</v>
      </c>
      <c r="G249" s="1">
        <v>2.0</v>
      </c>
      <c r="H249" s="1">
        <v>7.0</v>
      </c>
      <c r="I249" s="3" t="str">
        <f>VLOOKUP(B249,Customers!A:J, 10,FALSE)</f>
        <v>Kimberley Reynolds</v>
      </c>
      <c r="J249" s="3" t="str">
        <f>VLOOKUP(B249,Customers!A:J,8,FALSE)</f>
        <v>NY</v>
      </c>
      <c r="K249" s="3" t="str">
        <f>VLOOKUP(B249,Customers!A:J,7,FALSE)</f>
        <v>Port Washington</v>
      </c>
      <c r="L249" s="3" t="str">
        <f>VLOOKUP(H249,Staff!A:I,9,FALSE)</f>
        <v>Venita Daniel</v>
      </c>
      <c r="M249" s="3" t="str">
        <f>VLOOKUP(G249,Store!A:H,2,FALSE)</f>
        <v>Baldwin Bikes</v>
      </c>
      <c r="N249" s="3" t="str">
        <f>VLOOKUP(G249,Store!A:H,6,FALSE)</f>
        <v>Baldwin</v>
      </c>
      <c r="O249" s="3" t="s">
        <v>16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>
        <v>249.0</v>
      </c>
      <c r="B250" s="1">
        <v>145.0</v>
      </c>
      <c r="C250" s="1">
        <v>4.0</v>
      </c>
      <c r="D250" s="4">
        <v>42522.0</v>
      </c>
      <c r="E250" s="4">
        <v>42525.0</v>
      </c>
      <c r="F250" s="4">
        <v>42525.0</v>
      </c>
      <c r="G250" s="1">
        <v>2.0</v>
      </c>
      <c r="H250" s="1">
        <v>6.0</v>
      </c>
      <c r="I250" s="3" t="str">
        <f>VLOOKUP(B250,Customers!A:J, 10,FALSE)</f>
        <v>Miquel Neal</v>
      </c>
      <c r="J250" s="3" t="str">
        <f>VLOOKUP(B250,Customers!A:J,8,FALSE)</f>
        <v>NY</v>
      </c>
      <c r="K250" s="3" t="str">
        <f>VLOOKUP(B250,Customers!A:J,7,FALSE)</f>
        <v>Staten Island</v>
      </c>
      <c r="L250" s="3" t="str">
        <f>VLOOKUP(H250,Staff!A:I,9,FALSE)</f>
        <v>Marcelene Boyer</v>
      </c>
      <c r="M250" s="3" t="str">
        <f>VLOOKUP(G250,Store!A:H,2,FALSE)</f>
        <v>Baldwin Bikes</v>
      </c>
      <c r="N250" s="3" t="str">
        <f>VLOOKUP(G250,Store!A:H,6,FALSE)</f>
        <v>Baldwin</v>
      </c>
      <c r="O250" s="3" t="s">
        <v>16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>
        <v>250.0</v>
      </c>
      <c r="B251" s="1">
        <v>150.0</v>
      </c>
      <c r="C251" s="1">
        <v>4.0</v>
      </c>
      <c r="D251" s="4">
        <v>42522.0</v>
      </c>
      <c r="E251" s="4">
        <v>42523.0</v>
      </c>
      <c r="F251" s="4">
        <v>42525.0</v>
      </c>
      <c r="G251" s="1">
        <v>2.0</v>
      </c>
      <c r="H251" s="1">
        <v>7.0</v>
      </c>
      <c r="I251" s="3" t="str">
        <f>VLOOKUP(B251,Customers!A:J, 10,FALSE)</f>
        <v>Weldon Michael</v>
      </c>
      <c r="J251" s="3" t="str">
        <f>VLOOKUP(B251,Customers!A:J,8,FALSE)</f>
        <v>NY</v>
      </c>
      <c r="K251" s="3" t="str">
        <f>VLOOKUP(B251,Customers!A:J,7,FALSE)</f>
        <v>Huntington</v>
      </c>
      <c r="L251" s="3" t="str">
        <f>VLOOKUP(H251,Staff!A:I,9,FALSE)</f>
        <v>Venita Daniel</v>
      </c>
      <c r="M251" s="3" t="str">
        <f>VLOOKUP(G251,Store!A:H,2,FALSE)</f>
        <v>Baldwin Bikes</v>
      </c>
      <c r="N251" s="3" t="str">
        <f>VLOOKUP(G251,Store!A:H,6,FALSE)</f>
        <v>Baldwin</v>
      </c>
      <c r="O251" s="3" t="s">
        <v>16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>
        <v>251.0</v>
      </c>
      <c r="B252" s="1">
        <v>851.0</v>
      </c>
      <c r="C252" s="1">
        <v>4.0</v>
      </c>
      <c r="D252" s="4">
        <v>42522.0</v>
      </c>
      <c r="E252" s="4">
        <v>42525.0</v>
      </c>
      <c r="F252" s="4">
        <v>42525.0</v>
      </c>
      <c r="G252" s="1">
        <v>2.0</v>
      </c>
      <c r="H252" s="1">
        <v>7.0</v>
      </c>
      <c r="I252" s="3" t="str">
        <f>VLOOKUP(B252,Customers!A:J, 10,FALSE)</f>
        <v>Arlena Buckner</v>
      </c>
      <c r="J252" s="3" t="str">
        <f>VLOOKUP(B252,Customers!A:J,8,FALSE)</f>
        <v>NY</v>
      </c>
      <c r="K252" s="3" t="str">
        <f>VLOOKUP(B252,Customers!A:J,7,FALSE)</f>
        <v>New Hyde Park</v>
      </c>
      <c r="L252" s="3" t="str">
        <f>VLOOKUP(H252,Staff!A:I,9,FALSE)</f>
        <v>Venita Daniel</v>
      </c>
      <c r="M252" s="3" t="str">
        <f>VLOOKUP(G252,Store!A:H,2,FALSE)</f>
        <v>Baldwin Bikes</v>
      </c>
      <c r="N252" s="3" t="str">
        <f>VLOOKUP(G252,Store!A:H,6,FALSE)</f>
        <v>Baldwin</v>
      </c>
      <c r="O252" s="3" t="s">
        <v>16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>
        <v>252.0</v>
      </c>
      <c r="B253" s="1">
        <v>66.0</v>
      </c>
      <c r="C253" s="1">
        <v>4.0</v>
      </c>
      <c r="D253" s="4">
        <v>42522.0</v>
      </c>
      <c r="E253" s="4">
        <v>42525.0</v>
      </c>
      <c r="F253" s="4">
        <v>42523.0</v>
      </c>
      <c r="G253" s="1">
        <v>3.0</v>
      </c>
      <c r="H253" s="1">
        <v>8.0</v>
      </c>
      <c r="I253" s="3" t="str">
        <f>VLOOKUP(B253,Customers!A:J, 10,FALSE)</f>
        <v>Lorrie Becker</v>
      </c>
      <c r="J253" s="3" t="str">
        <f>VLOOKUP(B253,Customers!A:J,8,FALSE)</f>
        <v>TX</v>
      </c>
      <c r="K253" s="3" t="str">
        <f>VLOOKUP(B253,Customers!A:J,7,FALSE)</f>
        <v>Garland</v>
      </c>
      <c r="L253" s="3" t="str">
        <f>VLOOKUP(H253,Staff!A:I,9,FALSE)</f>
        <v>Kali Vargas</v>
      </c>
      <c r="M253" s="3" t="str">
        <f>VLOOKUP(G253,Store!A:H,2,FALSE)</f>
        <v>Rowlett Bikes</v>
      </c>
      <c r="N253" s="3" t="str">
        <f>VLOOKUP(G253,Store!A:H,6,FALSE)</f>
        <v>Rowlett</v>
      </c>
      <c r="O253" s="3" t="s">
        <v>17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>
        <v>253.0</v>
      </c>
      <c r="B254" s="1">
        <v>1267.0</v>
      </c>
      <c r="C254" s="1">
        <v>4.0</v>
      </c>
      <c r="D254" s="4">
        <v>42523.0</v>
      </c>
      <c r="E254" s="4">
        <v>42526.0</v>
      </c>
      <c r="F254" s="4">
        <v>42526.0</v>
      </c>
      <c r="G254" s="1">
        <v>2.0</v>
      </c>
      <c r="H254" s="1">
        <v>6.0</v>
      </c>
      <c r="I254" s="3" t="str">
        <f>VLOOKUP(B254,Customers!A:J, 10,FALSE)</f>
        <v>Earline Gordon</v>
      </c>
      <c r="J254" s="3" t="str">
        <f>VLOOKUP(B254,Customers!A:J,8,FALSE)</f>
        <v>NY</v>
      </c>
      <c r="K254" s="3" t="str">
        <f>VLOOKUP(B254,Customers!A:J,7,FALSE)</f>
        <v>Ronkonkoma</v>
      </c>
      <c r="L254" s="3" t="str">
        <f>VLOOKUP(H254,Staff!A:I,9,FALSE)</f>
        <v>Marcelene Boyer</v>
      </c>
      <c r="M254" s="3" t="str">
        <f>VLOOKUP(G254,Store!A:H,2,FALSE)</f>
        <v>Baldwin Bikes</v>
      </c>
      <c r="N254" s="3" t="str">
        <f>VLOOKUP(G254,Store!A:H,6,FALSE)</f>
        <v>Baldwin</v>
      </c>
      <c r="O254" s="3" t="s">
        <v>16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>
        <v>254.0</v>
      </c>
      <c r="B255" s="1">
        <v>510.0</v>
      </c>
      <c r="C255" s="1">
        <v>4.0</v>
      </c>
      <c r="D255" s="4">
        <v>42524.0</v>
      </c>
      <c r="E255" s="4">
        <v>42527.0</v>
      </c>
      <c r="F255" s="4">
        <v>42526.0</v>
      </c>
      <c r="G255" s="1">
        <v>2.0</v>
      </c>
      <c r="H255" s="1">
        <v>7.0</v>
      </c>
      <c r="I255" s="3" t="str">
        <f>VLOOKUP(B255,Customers!A:J, 10,FALSE)</f>
        <v>Faustino Delacruz</v>
      </c>
      <c r="J255" s="3" t="str">
        <f>VLOOKUP(B255,Customers!A:J,8,FALSE)</f>
        <v>NY</v>
      </c>
      <c r="K255" s="3" t="str">
        <f>VLOOKUP(B255,Customers!A:J,7,FALSE)</f>
        <v>South Richmond Hill</v>
      </c>
      <c r="L255" s="3" t="str">
        <f>VLOOKUP(H255,Staff!A:I,9,FALSE)</f>
        <v>Venita Daniel</v>
      </c>
      <c r="M255" s="3" t="str">
        <f>VLOOKUP(G255,Store!A:H,2,FALSE)</f>
        <v>Baldwin Bikes</v>
      </c>
      <c r="N255" s="3" t="str">
        <f>VLOOKUP(G255,Store!A:H,6,FALSE)</f>
        <v>Baldwin</v>
      </c>
      <c r="O255" s="3" t="s">
        <v>16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>
        <v>255.0</v>
      </c>
      <c r="B256" s="1">
        <v>801.0</v>
      </c>
      <c r="C256" s="1">
        <v>4.0</v>
      </c>
      <c r="D256" s="4">
        <v>42524.0</v>
      </c>
      <c r="E256" s="4">
        <v>42527.0</v>
      </c>
      <c r="F256" s="4">
        <v>42526.0</v>
      </c>
      <c r="G256" s="1">
        <v>2.0</v>
      </c>
      <c r="H256" s="1">
        <v>7.0</v>
      </c>
      <c r="I256" s="3" t="str">
        <f>VLOOKUP(B256,Customers!A:J, 10,FALSE)</f>
        <v>Ophelia Rodgers</v>
      </c>
      <c r="J256" s="3" t="str">
        <f>VLOOKUP(B256,Customers!A:J,8,FALSE)</f>
        <v>NY</v>
      </c>
      <c r="K256" s="3" t="str">
        <f>VLOOKUP(B256,Customers!A:J,7,FALSE)</f>
        <v>Hopewell Junction</v>
      </c>
      <c r="L256" s="3" t="str">
        <f>VLOOKUP(H256,Staff!A:I,9,FALSE)</f>
        <v>Venita Daniel</v>
      </c>
      <c r="M256" s="3" t="str">
        <f>VLOOKUP(G256,Store!A:H,2,FALSE)</f>
        <v>Baldwin Bikes</v>
      </c>
      <c r="N256" s="3" t="str">
        <f>VLOOKUP(G256,Store!A:H,6,FALSE)</f>
        <v>Baldwin</v>
      </c>
      <c r="O256" s="3" t="s">
        <v>16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>
        <v>256.0</v>
      </c>
      <c r="B257" s="1">
        <v>26.0</v>
      </c>
      <c r="C257" s="1">
        <v>4.0</v>
      </c>
      <c r="D257" s="4">
        <v>42525.0</v>
      </c>
      <c r="E257" s="4">
        <v>42526.0</v>
      </c>
      <c r="F257" s="4">
        <v>42528.0</v>
      </c>
      <c r="G257" s="1">
        <v>2.0</v>
      </c>
      <c r="H257" s="1">
        <v>7.0</v>
      </c>
      <c r="I257" s="3" t="str">
        <f>VLOOKUP(B257,Customers!A:J, 10,FALSE)</f>
        <v>Theo Reese</v>
      </c>
      <c r="J257" s="3" t="str">
        <f>VLOOKUP(B257,Customers!A:J,8,FALSE)</f>
        <v>NY</v>
      </c>
      <c r="K257" s="3" t="str">
        <f>VLOOKUP(B257,Customers!A:J,7,FALSE)</f>
        <v>Long Beach</v>
      </c>
      <c r="L257" s="3" t="str">
        <f>VLOOKUP(H257,Staff!A:I,9,FALSE)</f>
        <v>Venita Daniel</v>
      </c>
      <c r="M257" s="3" t="str">
        <f>VLOOKUP(G257,Store!A:H,2,FALSE)</f>
        <v>Baldwin Bikes</v>
      </c>
      <c r="N257" s="3" t="str">
        <f>VLOOKUP(G257,Store!A:H,6,FALSE)</f>
        <v>Baldwin</v>
      </c>
      <c r="O257" s="3" t="s">
        <v>16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>
        <v>257.0</v>
      </c>
      <c r="B258" s="1">
        <v>1314.0</v>
      </c>
      <c r="C258" s="1">
        <v>4.0</v>
      </c>
      <c r="D258" s="4">
        <v>42526.0</v>
      </c>
      <c r="E258" s="4">
        <v>42527.0</v>
      </c>
      <c r="F258" s="4">
        <v>42529.0</v>
      </c>
      <c r="G258" s="1">
        <v>1.0</v>
      </c>
      <c r="H258" s="1">
        <v>3.0</v>
      </c>
      <c r="I258" s="3" t="str">
        <f>VLOOKUP(B258,Customers!A:J, 10,FALSE)</f>
        <v>Joeann Garrison</v>
      </c>
      <c r="J258" s="3" t="str">
        <f>VLOOKUP(B258,Customers!A:J,8,FALSE)</f>
        <v>CA</v>
      </c>
      <c r="K258" s="3" t="str">
        <f>VLOOKUP(B258,Customers!A:J,7,FALSE)</f>
        <v>Ontario</v>
      </c>
      <c r="L258" s="3" t="str">
        <f>VLOOKUP(H258,Staff!A:I,9,FALSE)</f>
        <v>Genna Serrano</v>
      </c>
      <c r="M258" s="3" t="str">
        <f>VLOOKUP(G258,Store!A:H,2,FALSE)</f>
        <v>Santa Cruz Bikes</v>
      </c>
      <c r="N258" s="3" t="str">
        <f>VLOOKUP(G258,Store!A:H,6,FALSE)</f>
        <v>Santa Cruz</v>
      </c>
      <c r="O258" s="3" t="s">
        <v>15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>
        <v>258.0</v>
      </c>
      <c r="B259" s="1">
        <v>107.0</v>
      </c>
      <c r="C259" s="1">
        <v>4.0</v>
      </c>
      <c r="D259" s="4">
        <v>42527.0</v>
      </c>
      <c r="E259" s="4">
        <v>42528.0</v>
      </c>
      <c r="F259" s="4">
        <v>42528.0</v>
      </c>
      <c r="G259" s="1">
        <v>2.0</v>
      </c>
      <c r="H259" s="1">
        <v>7.0</v>
      </c>
      <c r="I259" s="3" t="str">
        <f>VLOOKUP(B259,Customers!A:J, 10,FALSE)</f>
        <v>Cecil Hopper</v>
      </c>
      <c r="J259" s="3" t="str">
        <f>VLOOKUP(B259,Customers!A:J,8,FALSE)</f>
        <v>NY</v>
      </c>
      <c r="K259" s="3" t="str">
        <f>VLOOKUP(B259,Customers!A:J,7,FALSE)</f>
        <v>Central Islip</v>
      </c>
      <c r="L259" s="3" t="str">
        <f>VLOOKUP(H259,Staff!A:I,9,FALSE)</f>
        <v>Venita Daniel</v>
      </c>
      <c r="M259" s="3" t="str">
        <f>VLOOKUP(G259,Store!A:H,2,FALSE)</f>
        <v>Baldwin Bikes</v>
      </c>
      <c r="N259" s="3" t="str">
        <f>VLOOKUP(G259,Store!A:H,6,FALSE)</f>
        <v>Baldwin</v>
      </c>
      <c r="O259" s="3" t="s">
        <v>16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>
        <v>259.0</v>
      </c>
      <c r="B260" s="1">
        <v>413.0</v>
      </c>
      <c r="C260" s="1">
        <v>4.0</v>
      </c>
      <c r="D260" s="4">
        <v>42527.0</v>
      </c>
      <c r="E260" s="4">
        <v>42530.0</v>
      </c>
      <c r="F260" s="4">
        <v>42530.0</v>
      </c>
      <c r="G260" s="1">
        <v>2.0</v>
      </c>
      <c r="H260" s="1">
        <v>7.0</v>
      </c>
      <c r="I260" s="3" t="str">
        <f>VLOOKUP(B260,Customers!A:J, 10,FALSE)</f>
        <v>Ginette Edwards</v>
      </c>
      <c r="J260" s="3" t="str">
        <f>VLOOKUP(B260,Customers!A:J,8,FALSE)</f>
        <v>NY</v>
      </c>
      <c r="K260" s="3" t="str">
        <f>VLOOKUP(B260,Customers!A:J,7,FALSE)</f>
        <v>Baldwin</v>
      </c>
      <c r="L260" s="3" t="str">
        <f>VLOOKUP(H260,Staff!A:I,9,FALSE)</f>
        <v>Venita Daniel</v>
      </c>
      <c r="M260" s="3" t="str">
        <f>VLOOKUP(G260,Store!A:H,2,FALSE)</f>
        <v>Baldwin Bikes</v>
      </c>
      <c r="N260" s="3" t="str">
        <f>VLOOKUP(G260,Store!A:H,6,FALSE)</f>
        <v>Baldwin</v>
      </c>
      <c r="O260" s="3" t="s">
        <v>16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>
        <v>260.0</v>
      </c>
      <c r="B261" s="1">
        <v>632.0</v>
      </c>
      <c r="C261" s="1">
        <v>4.0</v>
      </c>
      <c r="D261" s="4">
        <v>42527.0</v>
      </c>
      <c r="E261" s="4">
        <v>42529.0</v>
      </c>
      <c r="F261" s="4">
        <v>42529.0</v>
      </c>
      <c r="G261" s="1">
        <v>2.0</v>
      </c>
      <c r="H261" s="1">
        <v>6.0</v>
      </c>
      <c r="I261" s="3" t="str">
        <f>VLOOKUP(B261,Customers!A:J, 10,FALSE)</f>
        <v>Yvette Rogers</v>
      </c>
      <c r="J261" s="3" t="str">
        <f>VLOOKUP(B261,Customers!A:J,8,FALSE)</f>
        <v>NY</v>
      </c>
      <c r="K261" s="3" t="str">
        <f>VLOOKUP(B261,Customers!A:J,7,FALSE)</f>
        <v>Franklin Square</v>
      </c>
      <c r="L261" s="3" t="str">
        <f>VLOOKUP(H261,Staff!A:I,9,FALSE)</f>
        <v>Marcelene Boyer</v>
      </c>
      <c r="M261" s="3" t="str">
        <f>VLOOKUP(G261,Store!A:H,2,FALSE)</f>
        <v>Baldwin Bikes</v>
      </c>
      <c r="N261" s="3" t="str">
        <f>VLOOKUP(G261,Store!A:H,6,FALSE)</f>
        <v>Baldwin</v>
      </c>
      <c r="O261" s="3" t="s">
        <v>16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>
        <v>261.0</v>
      </c>
      <c r="B262" s="1">
        <v>1045.0</v>
      </c>
      <c r="C262" s="1">
        <v>4.0</v>
      </c>
      <c r="D262" s="4">
        <v>42529.0</v>
      </c>
      <c r="E262" s="4">
        <v>42531.0</v>
      </c>
      <c r="F262" s="4">
        <v>42530.0</v>
      </c>
      <c r="G262" s="1">
        <v>1.0</v>
      </c>
      <c r="H262" s="1">
        <v>2.0</v>
      </c>
      <c r="I262" s="3" t="str">
        <f>VLOOKUP(B262,Customers!A:J, 10,FALSE)</f>
        <v>Pasquale Hogan</v>
      </c>
      <c r="J262" s="3" t="str">
        <f>VLOOKUP(B262,Customers!A:J,8,FALSE)</f>
        <v>CA</v>
      </c>
      <c r="K262" s="3" t="str">
        <f>VLOOKUP(B262,Customers!A:J,7,FALSE)</f>
        <v>Vista</v>
      </c>
      <c r="L262" s="3" t="str">
        <f>VLOOKUP(H262,Staff!A:I,9,FALSE)</f>
        <v>Mireya Copeland</v>
      </c>
      <c r="M262" s="3" t="str">
        <f>VLOOKUP(G262,Store!A:H,2,FALSE)</f>
        <v>Santa Cruz Bikes</v>
      </c>
      <c r="N262" s="3" t="str">
        <f>VLOOKUP(G262,Store!A:H,6,FALSE)</f>
        <v>Santa Cruz</v>
      </c>
      <c r="O262" s="3" t="s">
        <v>15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>
        <v>262.0</v>
      </c>
      <c r="B263" s="1">
        <v>579.0</v>
      </c>
      <c r="C263" s="1">
        <v>4.0</v>
      </c>
      <c r="D263" s="4">
        <v>42529.0</v>
      </c>
      <c r="E263" s="4">
        <v>42532.0</v>
      </c>
      <c r="F263" s="4">
        <v>42531.0</v>
      </c>
      <c r="G263" s="1">
        <v>3.0</v>
      </c>
      <c r="H263" s="1">
        <v>9.0</v>
      </c>
      <c r="I263" s="3" t="str">
        <f>VLOOKUP(B263,Customers!A:J, 10,FALSE)</f>
        <v>Matilda Larson</v>
      </c>
      <c r="J263" s="3" t="str">
        <f>VLOOKUP(B263,Customers!A:J,8,FALSE)</f>
        <v>TX</v>
      </c>
      <c r="K263" s="3" t="str">
        <f>VLOOKUP(B263,Customers!A:J,7,FALSE)</f>
        <v>Harlingen</v>
      </c>
      <c r="L263" s="3" t="str">
        <f>VLOOKUP(H263,Staff!A:I,9,FALSE)</f>
        <v>Layla Terrell</v>
      </c>
      <c r="M263" s="3" t="str">
        <f>VLOOKUP(G263,Store!A:H,2,FALSE)</f>
        <v>Rowlett Bikes</v>
      </c>
      <c r="N263" s="3" t="str">
        <f>VLOOKUP(G263,Store!A:H,6,FALSE)</f>
        <v>Rowlett</v>
      </c>
      <c r="O263" s="3" t="s">
        <v>17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>
        <v>263.0</v>
      </c>
      <c r="B264" s="1">
        <v>1322.0</v>
      </c>
      <c r="C264" s="1">
        <v>4.0</v>
      </c>
      <c r="D264" s="4">
        <v>42530.0</v>
      </c>
      <c r="E264" s="4">
        <v>42531.0</v>
      </c>
      <c r="F264" s="4">
        <v>42533.0</v>
      </c>
      <c r="G264" s="1">
        <v>2.0</v>
      </c>
      <c r="H264" s="1">
        <v>6.0</v>
      </c>
      <c r="I264" s="3" t="str">
        <f>VLOOKUP(B264,Customers!A:J, 10,FALSE)</f>
        <v>Ai Forbes</v>
      </c>
      <c r="J264" s="3" t="str">
        <f>VLOOKUP(B264,Customers!A:J,8,FALSE)</f>
        <v>NY</v>
      </c>
      <c r="K264" s="3" t="str">
        <f>VLOOKUP(B264,Customers!A:J,7,FALSE)</f>
        <v>Franklin Square</v>
      </c>
      <c r="L264" s="3" t="str">
        <f>VLOOKUP(H264,Staff!A:I,9,FALSE)</f>
        <v>Marcelene Boyer</v>
      </c>
      <c r="M264" s="3" t="str">
        <f>VLOOKUP(G264,Store!A:H,2,FALSE)</f>
        <v>Baldwin Bikes</v>
      </c>
      <c r="N264" s="3" t="str">
        <f>VLOOKUP(G264,Store!A:H,6,FALSE)</f>
        <v>Baldwin</v>
      </c>
      <c r="O264" s="3" t="s">
        <v>16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>
        <v>264.0</v>
      </c>
      <c r="B265" s="1">
        <v>5.0</v>
      </c>
      <c r="C265" s="1">
        <v>3.0</v>
      </c>
      <c r="D265" s="4">
        <v>42531.0</v>
      </c>
      <c r="E265" s="4">
        <v>42531.0</v>
      </c>
      <c r="F265" s="1" t="s">
        <v>18</v>
      </c>
      <c r="G265" s="1">
        <v>1.0</v>
      </c>
      <c r="H265" s="1">
        <v>3.0</v>
      </c>
      <c r="I265" s="3" t="str">
        <f>VLOOKUP(B265,Customers!A:J, 10,FALSE)</f>
        <v>Charolette Rice</v>
      </c>
      <c r="J265" s="3" t="str">
        <f>VLOOKUP(B265,Customers!A:J,8,FALSE)</f>
        <v>CA</v>
      </c>
      <c r="K265" s="3" t="str">
        <f>VLOOKUP(B265,Customers!A:J,7,FALSE)</f>
        <v>Sacramento</v>
      </c>
      <c r="L265" s="3" t="str">
        <f>VLOOKUP(H265,Staff!A:I,9,FALSE)</f>
        <v>Genna Serrano</v>
      </c>
      <c r="M265" s="3" t="str">
        <f>VLOOKUP(G265,Store!A:H,2,FALSE)</f>
        <v>Santa Cruz Bikes</v>
      </c>
      <c r="N265" s="3" t="str">
        <f>VLOOKUP(G265,Store!A:H,6,FALSE)</f>
        <v>Santa Cruz</v>
      </c>
      <c r="O265" s="3" t="s">
        <v>15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>
        <v>265.0</v>
      </c>
      <c r="B266" s="1">
        <v>682.0</v>
      </c>
      <c r="C266" s="1">
        <v>4.0</v>
      </c>
      <c r="D266" s="4">
        <v>42531.0</v>
      </c>
      <c r="E266" s="4">
        <v>42533.0</v>
      </c>
      <c r="F266" s="4">
        <v>42532.0</v>
      </c>
      <c r="G266" s="1">
        <v>2.0</v>
      </c>
      <c r="H266" s="1">
        <v>7.0</v>
      </c>
      <c r="I266" s="3" t="str">
        <f>VLOOKUP(B266,Customers!A:J, 10,FALSE)</f>
        <v>Arnita Thomas</v>
      </c>
      <c r="J266" s="3" t="str">
        <f>VLOOKUP(B266,Customers!A:J,8,FALSE)</f>
        <v>NY</v>
      </c>
      <c r="K266" s="3" t="str">
        <f>VLOOKUP(B266,Customers!A:J,7,FALSE)</f>
        <v>Orchard Park</v>
      </c>
      <c r="L266" s="3" t="str">
        <f>VLOOKUP(H266,Staff!A:I,9,FALSE)</f>
        <v>Venita Daniel</v>
      </c>
      <c r="M266" s="3" t="str">
        <f>VLOOKUP(G266,Store!A:H,2,FALSE)</f>
        <v>Baldwin Bikes</v>
      </c>
      <c r="N266" s="3" t="str">
        <f>VLOOKUP(G266,Store!A:H,6,FALSE)</f>
        <v>Baldwin</v>
      </c>
      <c r="O266" s="3" t="s">
        <v>16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>
        <v>266.0</v>
      </c>
      <c r="B267" s="1">
        <v>933.0</v>
      </c>
      <c r="C267" s="1">
        <v>4.0</v>
      </c>
      <c r="D267" s="4">
        <v>42531.0</v>
      </c>
      <c r="E267" s="4">
        <v>42534.0</v>
      </c>
      <c r="F267" s="4">
        <v>42534.0</v>
      </c>
      <c r="G267" s="1">
        <v>2.0</v>
      </c>
      <c r="H267" s="1">
        <v>7.0</v>
      </c>
      <c r="I267" s="3" t="str">
        <f>VLOOKUP(B267,Customers!A:J, 10,FALSE)</f>
        <v>Lurline Rivers</v>
      </c>
      <c r="J267" s="3" t="str">
        <f>VLOOKUP(B267,Customers!A:J,8,FALSE)</f>
        <v>NY</v>
      </c>
      <c r="K267" s="3" t="str">
        <f>VLOOKUP(B267,Customers!A:J,7,FALSE)</f>
        <v>Howard Beach</v>
      </c>
      <c r="L267" s="3" t="str">
        <f>VLOOKUP(H267,Staff!A:I,9,FALSE)</f>
        <v>Venita Daniel</v>
      </c>
      <c r="M267" s="3" t="str">
        <f>VLOOKUP(G267,Store!A:H,2,FALSE)</f>
        <v>Baldwin Bikes</v>
      </c>
      <c r="N267" s="3" t="str">
        <f>VLOOKUP(G267,Store!A:H,6,FALSE)</f>
        <v>Baldwin</v>
      </c>
      <c r="O267" s="3" t="s">
        <v>16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>
        <v>267.0</v>
      </c>
      <c r="B268" s="1">
        <v>282.0</v>
      </c>
      <c r="C268" s="1">
        <v>4.0</v>
      </c>
      <c r="D268" s="4">
        <v>42532.0</v>
      </c>
      <c r="E268" s="4">
        <v>42535.0</v>
      </c>
      <c r="F268" s="4">
        <v>42535.0</v>
      </c>
      <c r="G268" s="1">
        <v>1.0</v>
      </c>
      <c r="H268" s="1">
        <v>3.0</v>
      </c>
      <c r="I268" s="3" t="str">
        <f>VLOOKUP(B268,Customers!A:J, 10,FALSE)</f>
        <v>Randolph Chase</v>
      </c>
      <c r="J268" s="3" t="str">
        <f>VLOOKUP(B268,Customers!A:J,8,FALSE)</f>
        <v>CA</v>
      </c>
      <c r="K268" s="3" t="str">
        <f>VLOOKUP(B268,Customers!A:J,7,FALSE)</f>
        <v>San Lorenzo</v>
      </c>
      <c r="L268" s="3" t="str">
        <f>VLOOKUP(H268,Staff!A:I,9,FALSE)</f>
        <v>Genna Serrano</v>
      </c>
      <c r="M268" s="3" t="str">
        <f>VLOOKUP(G268,Store!A:H,2,FALSE)</f>
        <v>Santa Cruz Bikes</v>
      </c>
      <c r="N268" s="3" t="str">
        <f>VLOOKUP(G268,Store!A:H,6,FALSE)</f>
        <v>Santa Cruz</v>
      </c>
      <c r="O268" s="3" t="s">
        <v>15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>
        <v>268.0</v>
      </c>
      <c r="B269" s="1">
        <v>540.0</v>
      </c>
      <c r="C269" s="1">
        <v>4.0</v>
      </c>
      <c r="D269" s="4">
        <v>42532.0</v>
      </c>
      <c r="E269" s="4">
        <v>42535.0</v>
      </c>
      <c r="F269" s="4">
        <v>42533.0</v>
      </c>
      <c r="G269" s="1">
        <v>1.0</v>
      </c>
      <c r="H269" s="1">
        <v>3.0</v>
      </c>
      <c r="I269" s="3" t="str">
        <f>VLOOKUP(B269,Customers!A:J, 10,FALSE)</f>
        <v>Shery Randolph</v>
      </c>
      <c r="J269" s="3" t="str">
        <f>VLOOKUP(B269,Customers!A:J,8,FALSE)</f>
        <v>CA</v>
      </c>
      <c r="K269" s="3" t="str">
        <f>VLOOKUP(B269,Customers!A:J,7,FALSE)</f>
        <v>Ontario</v>
      </c>
      <c r="L269" s="3" t="str">
        <f>VLOOKUP(H269,Staff!A:I,9,FALSE)</f>
        <v>Genna Serrano</v>
      </c>
      <c r="M269" s="3" t="str">
        <f>VLOOKUP(G269,Store!A:H,2,FALSE)</f>
        <v>Santa Cruz Bikes</v>
      </c>
      <c r="N269" s="3" t="str">
        <f>VLOOKUP(G269,Store!A:H,6,FALSE)</f>
        <v>Santa Cruz</v>
      </c>
      <c r="O269" s="3" t="s">
        <v>15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>
        <v>269.0</v>
      </c>
      <c r="B270" s="1">
        <v>764.0</v>
      </c>
      <c r="C270" s="1">
        <v>4.0</v>
      </c>
      <c r="D270" s="4">
        <v>42533.0</v>
      </c>
      <c r="E270" s="4">
        <v>42534.0</v>
      </c>
      <c r="F270" s="4">
        <v>42536.0</v>
      </c>
      <c r="G270" s="1">
        <v>2.0</v>
      </c>
      <c r="H270" s="1">
        <v>6.0</v>
      </c>
      <c r="I270" s="3" t="str">
        <f>VLOOKUP(B270,Customers!A:J, 10,FALSE)</f>
        <v>Terrell Mathis</v>
      </c>
      <c r="J270" s="3" t="str">
        <f>VLOOKUP(B270,Customers!A:J,8,FALSE)</f>
        <v>NY</v>
      </c>
      <c r="K270" s="3" t="str">
        <f>VLOOKUP(B270,Customers!A:J,7,FALSE)</f>
        <v>Selden</v>
      </c>
      <c r="L270" s="3" t="str">
        <f>VLOOKUP(H270,Staff!A:I,9,FALSE)</f>
        <v>Marcelene Boyer</v>
      </c>
      <c r="M270" s="3" t="str">
        <f>VLOOKUP(G270,Store!A:H,2,FALSE)</f>
        <v>Baldwin Bikes</v>
      </c>
      <c r="N270" s="3" t="str">
        <f>VLOOKUP(G270,Store!A:H,6,FALSE)</f>
        <v>Baldwin</v>
      </c>
      <c r="O270" s="3" t="s">
        <v>16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>
        <v>270.0</v>
      </c>
      <c r="B271" s="1">
        <v>879.0</v>
      </c>
      <c r="C271" s="1">
        <v>4.0</v>
      </c>
      <c r="D271" s="4">
        <v>42533.0</v>
      </c>
      <c r="E271" s="4">
        <v>42536.0</v>
      </c>
      <c r="F271" s="4">
        <v>42534.0</v>
      </c>
      <c r="G271" s="1">
        <v>2.0</v>
      </c>
      <c r="H271" s="1">
        <v>7.0</v>
      </c>
      <c r="I271" s="3" t="str">
        <f>VLOOKUP(B271,Customers!A:J, 10,FALSE)</f>
        <v>Ethelyn Ray</v>
      </c>
      <c r="J271" s="3" t="str">
        <f>VLOOKUP(B271,Customers!A:J,8,FALSE)</f>
        <v>NY</v>
      </c>
      <c r="K271" s="3" t="str">
        <f>VLOOKUP(B271,Customers!A:J,7,FALSE)</f>
        <v>Garden City</v>
      </c>
      <c r="L271" s="3" t="str">
        <f>VLOOKUP(H271,Staff!A:I,9,FALSE)</f>
        <v>Venita Daniel</v>
      </c>
      <c r="M271" s="3" t="str">
        <f>VLOOKUP(G271,Store!A:H,2,FALSE)</f>
        <v>Baldwin Bikes</v>
      </c>
      <c r="N271" s="3" t="str">
        <f>VLOOKUP(G271,Store!A:H,6,FALSE)</f>
        <v>Baldwin</v>
      </c>
      <c r="O271" s="3" t="s">
        <v>16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>
        <v>271.0</v>
      </c>
      <c r="B272" s="1">
        <v>350.0</v>
      </c>
      <c r="C272" s="1">
        <v>4.0</v>
      </c>
      <c r="D272" s="4">
        <v>42534.0</v>
      </c>
      <c r="E272" s="4">
        <v>42537.0</v>
      </c>
      <c r="F272" s="4">
        <v>42535.0</v>
      </c>
      <c r="G272" s="1">
        <v>2.0</v>
      </c>
      <c r="H272" s="1">
        <v>7.0</v>
      </c>
      <c r="I272" s="3" t="str">
        <f>VLOOKUP(B272,Customers!A:J, 10,FALSE)</f>
        <v>Christoper Mccall</v>
      </c>
      <c r="J272" s="3" t="str">
        <f>VLOOKUP(B272,Customers!A:J,8,FALSE)</f>
        <v>NY</v>
      </c>
      <c r="K272" s="3" t="str">
        <f>VLOOKUP(B272,Customers!A:J,7,FALSE)</f>
        <v>Bay Shore</v>
      </c>
      <c r="L272" s="3" t="str">
        <f>VLOOKUP(H272,Staff!A:I,9,FALSE)</f>
        <v>Venita Daniel</v>
      </c>
      <c r="M272" s="3" t="str">
        <f>VLOOKUP(G272,Store!A:H,2,FALSE)</f>
        <v>Baldwin Bikes</v>
      </c>
      <c r="N272" s="3" t="str">
        <f>VLOOKUP(G272,Store!A:H,6,FALSE)</f>
        <v>Baldwin</v>
      </c>
      <c r="O272" s="3" t="s">
        <v>16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>
        <v>272.0</v>
      </c>
      <c r="B273" s="1">
        <v>497.0</v>
      </c>
      <c r="C273" s="1">
        <v>4.0</v>
      </c>
      <c r="D273" s="4">
        <v>42536.0</v>
      </c>
      <c r="E273" s="4">
        <v>42539.0</v>
      </c>
      <c r="F273" s="4">
        <v>42537.0</v>
      </c>
      <c r="G273" s="1">
        <v>2.0</v>
      </c>
      <c r="H273" s="1">
        <v>7.0</v>
      </c>
      <c r="I273" s="3" t="str">
        <f>VLOOKUP(B273,Customers!A:J, 10,FALSE)</f>
        <v>Ezra Fowler</v>
      </c>
      <c r="J273" s="3" t="str">
        <f>VLOOKUP(B273,Customers!A:J,8,FALSE)</f>
        <v>NY</v>
      </c>
      <c r="K273" s="3" t="str">
        <f>VLOOKUP(B273,Customers!A:J,7,FALSE)</f>
        <v>Nanuet</v>
      </c>
      <c r="L273" s="3" t="str">
        <f>VLOOKUP(H273,Staff!A:I,9,FALSE)</f>
        <v>Venita Daniel</v>
      </c>
      <c r="M273" s="3" t="str">
        <f>VLOOKUP(G273,Store!A:H,2,FALSE)</f>
        <v>Baldwin Bikes</v>
      </c>
      <c r="N273" s="3" t="str">
        <f>VLOOKUP(G273,Store!A:H,6,FALSE)</f>
        <v>Baldwin</v>
      </c>
      <c r="O273" s="3" t="s">
        <v>16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>
        <v>273.0</v>
      </c>
      <c r="B274" s="1">
        <v>1340.0</v>
      </c>
      <c r="C274" s="1">
        <v>4.0</v>
      </c>
      <c r="D274" s="4">
        <v>42537.0</v>
      </c>
      <c r="E274" s="4">
        <v>42540.0</v>
      </c>
      <c r="F274" s="4">
        <v>42538.0</v>
      </c>
      <c r="G274" s="1">
        <v>2.0</v>
      </c>
      <c r="H274" s="1">
        <v>7.0</v>
      </c>
      <c r="I274" s="3" t="str">
        <f>VLOOKUP(B274,Customers!A:J, 10,FALSE)</f>
        <v>Tona Velasquez</v>
      </c>
      <c r="J274" s="3" t="str">
        <f>VLOOKUP(B274,Customers!A:J,8,FALSE)</f>
        <v>NY</v>
      </c>
      <c r="K274" s="3" t="str">
        <f>VLOOKUP(B274,Customers!A:J,7,FALSE)</f>
        <v>Whitestone</v>
      </c>
      <c r="L274" s="3" t="str">
        <f>VLOOKUP(H274,Staff!A:I,9,FALSE)</f>
        <v>Venita Daniel</v>
      </c>
      <c r="M274" s="3" t="str">
        <f>VLOOKUP(G274,Store!A:H,2,FALSE)</f>
        <v>Baldwin Bikes</v>
      </c>
      <c r="N274" s="3" t="str">
        <f>VLOOKUP(G274,Store!A:H,6,FALSE)</f>
        <v>Baldwin</v>
      </c>
      <c r="O274" s="3" t="s">
        <v>16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>
        <v>274.0</v>
      </c>
      <c r="B275" s="1">
        <v>411.0</v>
      </c>
      <c r="C275" s="1">
        <v>4.0</v>
      </c>
      <c r="D275" s="4">
        <v>42538.0</v>
      </c>
      <c r="E275" s="4">
        <v>42541.0</v>
      </c>
      <c r="F275" s="4">
        <v>42539.0</v>
      </c>
      <c r="G275" s="1">
        <v>2.0</v>
      </c>
      <c r="H275" s="1">
        <v>7.0</v>
      </c>
      <c r="I275" s="3" t="str">
        <f>VLOOKUP(B275,Customers!A:J, 10,FALSE)</f>
        <v>Octavia Case</v>
      </c>
      <c r="J275" s="3" t="str">
        <f>VLOOKUP(B275,Customers!A:J,8,FALSE)</f>
        <v>NY</v>
      </c>
      <c r="K275" s="3" t="str">
        <f>VLOOKUP(B275,Customers!A:J,7,FALSE)</f>
        <v>New York</v>
      </c>
      <c r="L275" s="3" t="str">
        <f>VLOOKUP(H275,Staff!A:I,9,FALSE)</f>
        <v>Venita Daniel</v>
      </c>
      <c r="M275" s="3" t="str">
        <f>VLOOKUP(G275,Store!A:H,2,FALSE)</f>
        <v>Baldwin Bikes</v>
      </c>
      <c r="N275" s="3" t="str">
        <f>VLOOKUP(G275,Store!A:H,6,FALSE)</f>
        <v>Baldwin</v>
      </c>
      <c r="O275" s="3" t="s">
        <v>16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>
        <v>275.0</v>
      </c>
      <c r="B276" s="1">
        <v>1341.0</v>
      </c>
      <c r="C276" s="1">
        <v>4.0</v>
      </c>
      <c r="D276" s="4">
        <v>42538.0</v>
      </c>
      <c r="E276" s="4">
        <v>42540.0</v>
      </c>
      <c r="F276" s="4">
        <v>42539.0</v>
      </c>
      <c r="G276" s="1">
        <v>2.0</v>
      </c>
      <c r="H276" s="1">
        <v>7.0</v>
      </c>
      <c r="I276" s="3" t="str">
        <f>VLOOKUP(B276,Customers!A:J, 10,FALSE)</f>
        <v>Rozanne Reyes</v>
      </c>
      <c r="J276" s="3" t="str">
        <f>VLOOKUP(B276,Customers!A:J,8,FALSE)</f>
        <v>NY</v>
      </c>
      <c r="K276" s="3" t="str">
        <f>VLOOKUP(B276,Customers!A:J,7,FALSE)</f>
        <v>Garden City</v>
      </c>
      <c r="L276" s="3" t="str">
        <f>VLOOKUP(H276,Staff!A:I,9,FALSE)</f>
        <v>Venita Daniel</v>
      </c>
      <c r="M276" s="3" t="str">
        <f>VLOOKUP(G276,Store!A:H,2,FALSE)</f>
        <v>Baldwin Bikes</v>
      </c>
      <c r="N276" s="3" t="str">
        <f>VLOOKUP(G276,Store!A:H,6,FALSE)</f>
        <v>Baldwin</v>
      </c>
      <c r="O276" s="3" t="s">
        <v>16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>
        <v>276.0</v>
      </c>
      <c r="B277" s="1">
        <v>1227.0</v>
      </c>
      <c r="C277" s="1">
        <v>4.0</v>
      </c>
      <c r="D277" s="4">
        <v>42539.0</v>
      </c>
      <c r="E277" s="4">
        <v>42540.0</v>
      </c>
      <c r="F277" s="4">
        <v>42540.0</v>
      </c>
      <c r="G277" s="1">
        <v>2.0</v>
      </c>
      <c r="H277" s="1">
        <v>6.0</v>
      </c>
      <c r="I277" s="3" t="str">
        <f>VLOOKUP(B277,Customers!A:J, 10,FALSE)</f>
        <v>Magali Dixon</v>
      </c>
      <c r="J277" s="3" t="str">
        <f>VLOOKUP(B277,Customers!A:J,8,FALSE)</f>
        <v>NY</v>
      </c>
      <c r="K277" s="3" t="str">
        <f>VLOOKUP(B277,Customers!A:J,7,FALSE)</f>
        <v>Troy</v>
      </c>
      <c r="L277" s="3" t="str">
        <f>VLOOKUP(H277,Staff!A:I,9,FALSE)</f>
        <v>Marcelene Boyer</v>
      </c>
      <c r="M277" s="3" t="str">
        <f>VLOOKUP(G277,Store!A:H,2,FALSE)</f>
        <v>Baldwin Bikes</v>
      </c>
      <c r="N277" s="3" t="str">
        <f>VLOOKUP(G277,Store!A:H,6,FALSE)</f>
        <v>Baldwin</v>
      </c>
      <c r="O277" s="3" t="s">
        <v>16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>
        <v>277.0</v>
      </c>
      <c r="B278" s="1">
        <v>546.0</v>
      </c>
      <c r="C278" s="1">
        <v>4.0</v>
      </c>
      <c r="D278" s="4">
        <v>42540.0</v>
      </c>
      <c r="E278" s="4">
        <v>42541.0</v>
      </c>
      <c r="F278" s="4">
        <v>42541.0</v>
      </c>
      <c r="G278" s="1">
        <v>2.0</v>
      </c>
      <c r="H278" s="1">
        <v>7.0</v>
      </c>
      <c r="I278" s="3" t="str">
        <f>VLOOKUP(B278,Customers!A:J, 10,FALSE)</f>
        <v>Thad Castro</v>
      </c>
      <c r="J278" s="3" t="str">
        <f>VLOOKUP(B278,Customers!A:J,8,FALSE)</f>
        <v>NY</v>
      </c>
      <c r="K278" s="3" t="str">
        <f>VLOOKUP(B278,Customers!A:J,7,FALSE)</f>
        <v>Brentwood</v>
      </c>
      <c r="L278" s="3" t="str">
        <f>VLOOKUP(H278,Staff!A:I,9,FALSE)</f>
        <v>Venita Daniel</v>
      </c>
      <c r="M278" s="3" t="str">
        <f>VLOOKUP(G278,Store!A:H,2,FALSE)</f>
        <v>Baldwin Bikes</v>
      </c>
      <c r="N278" s="3" t="str">
        <f>VLOOKUP(G278,Store!A:H,6,FALSE)</f>
        <v>Baldwin</v>
      </c>
      <c r="O278" s="3" t="s">
        <v>16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>
        <v>278.0</v>
      </c>
      <c r="B279" s="1">
        <v>1301.0</v>
      </c>
      <c r="C279" s="1">
        <v>4.0</v>
      </c>
      <c r="D279" s="4">
        <v>42541.0</v>
      </c>
      <c r="E279" s="4">
        <v>42544.0</v>
      </c>
      <c r="F279" s="4">
        <v>42542.0</v>
      </c>
      <c r="G279" s="1">
        <v>1.0</v>
      </c>
      <c r="H279" s="1">
        <v>3.0</v>
      </c>
      <c r="I279" s="3" t="str">
        <f>VLOOKUP(B279,Customers!A:J, 10,FALSE)</f>
        <v>Raven Curtis</v>
      </c>
      <c r="J279" s="3" t="str">
        <f>VLOOKUP(B279,Customers!A:J,8,FALSE)</f>
        <v>CA</v>
      </c>
      <c r="K279" s="3" t="str">
        <f>VLOOKUP(B279,Customers!A:J,7,FALSE)</f>
        <v>Lawndale</v>
      </c>
      <c r="L279" s="3" t="str">
        <f>VLOOKUP(H279,Staff!A:I,9,FALSE)</f>
        <v>Genna Serrano</v>
      </c>
      <c r="M279" s="3" t="str">
        <f>VLOOKUP(G279,Store!A:H,2,FALSE)</f>
        <v>Santa Cruz Bikes</v>
      </c>
      <c r="N279" s="3" t="str">
        <f>VLOOKUP(G279,Store!A:H,6,FALSE)</f>
        <v>Santa Cruz</v>
      </c>
      <c r="O279" s="3" t="s">
        <v>15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>
        <v>279.0</v>
      </c>
      <c r="B280" s="1">
        <v>378.0</v>
      </c>
      <c r="C280" s="1">
        <v>4.0</v>
      </c>
      <c r="D280" s="4">
        <v>42542.0</v>
      </c>
      <c r="E280" s="4">
        <v>42543.0</v>
      </c>
      <c r="F280" s="4">
        <v>42543.0</v>
      </c>
      <c r="G280" s="1">
        <v>2.0</v>
      </c>
      <c r="H280" s="1">
        <v>6.0</v>
      </c>
      <c r="I280" s="3" t="str">
        <f>VLOOKUP(B280,Customers!A:J, 10,FALSE)</f>
        <v>Rosalba O'neal</v>
      </c>
      <c r="J280" s="3" t="str">
        <f>VLOOKUP(B280,Customers!A:J,8,FALSE)</f>
        <v>NY</v>
      </c>
      <c r="K280" s="3" t="str">
        <f>VLOOKUP(B280,Customers!A:J,7,FALSE)</f>
        <v>Mount Vernon</v>
      </c>
      <c r="L280" s="3" t="str">
        <f>VLOOKUP(H280,Staff!A:I,9,FALSE)</f>
        <v>Marcelene Boyer</v>
      </c>
      <c r="M280" s="3" t="str">
        <f>VLOOKUP(G280,Store!A:H,2,FALSE)</f>
        <v>Baldwin Bikes</v>
      </c>
      <c r="N280" s="3" t="str">
        <f>VLOOKUP(G280,Store!A:H,6,FALSE)</f>
        <v>Baldwin</v>
      </c>
      <c r="O280" s="3" t="s">
        <v>16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>
        <v>280.0</v>
      </c>
      <c r="B281" s="1">
        <v>638.0</v>
      </c>
      <c r="C281" s="1">
        <v>4.0</v>
      </c>
      <c r="D281" s="4">
        <v>42542.0</v>
      </c>
      <c r="E281" s="4">
        <v>42543.0</v>
      </c>
      <c r="F281" s="4">
        <v>42544.0</v>
      </c>
      <c r="G281" s="1">
        <v>2.0</v>
      </c>
      <c r="H281" s="1">
        <v>7.0</v>
      </c>
      <c r="I281" s="3" t="str">
        <f>VLOOKUP(B281,Customers!A:J, 10,FALSE)</f>
        <v>Tomeka Higgins</v>
      </c>
      <c r="J281" s="3" t="str">
        <f>VLOOKUP(B281,Customers!A:J,8,FALSE)</f>
        <v>NY</v>
      </c>
      <c r="K281" s="3" t="str">
        <f>VLOOKUP(B281,Customers!A:J,7,FALSE)</f>
        <v>Poughkeepsie</v>
      </c>
      <c r="L281" s="3" t="str">
        <f>VLOOKUP(H281,Staff!A:I,9,FALSE)</f>
        <v>Venita Daniel</v>
      </c>
      <c r="M281" s="3" t="str">
        <f>VLOOKUP(G281,Store!A:H,2,FALSE)</f>
        <v>Baldwin Bikes</v>
      </c>
      <c r="N281" s="3" t="str">
        <f>VLOOKUP(G281,Store!A:H,6,FALSE)</f>
        <v>Baldwin</v>
      </c>
      <c r="O281" s="3" t="s">
        <v>16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>
        <v>281.0</v>
      </c>
      <c r="B282" s="1">
        <v>800.0</v>
      </c>
      <c r="C282" s="1">
        <v>4.0</v>
      </c>
      <c r="D282" s="4">
        <v>42542.0</v>
      </c>
      <c r="E282" s="4">
        <v>42543.0</v>
      </c>
      <c r="F282" s="4">
        <v>42544.0</v>
      </c>
      <c r="G282" s="1">
        <v>2.0</v>
      </c>
      <c r="H282" s="1">
        <v>7.0</v>
      </c>
      <c r="I282" s="3" t="str">
        <f>VLOOKUP(B282,Customers!A:J, 10,FALSE)</f>
        <v>Cris Dunn</v>
      </c>
      <c r="J282" s="3" t="str">
        <f>VLOOKUP(B282,Customers!A:J,8,FALSE)</f>
        <v>NY</v>
      </c>
      <c r="K282" s="3" t="str">
        <f>VLOOKUP(B282,Customers!A:J,7,FALSE)</f>
        <v>Pittsford</v>
      </c>
      <c r="L282" s="3" t="str">
        <f>VLOOKUP(H282,Staff!A:I,9,FALSE)</f>
        <v>Venita Daniel</v>
      </c>
      <c r="M282" s="3" t="str">
        <f>VLOOKUP(G282,Store!A:H,2,FALSE)</f>
        <v>Baldwin Bikes</v>
      </c>
      <c r="N282" s="3" t="str">
        <f>VLOOKUP(G282,Store!A:H,6,FALSE)</f>
        <v>Baldwin</v>
      </c>
      <c r="O282" s="3" t="s">
        <v>16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>
        <v>282.0</v>
      </c>
      <c r="B283" s="1">
        <v>159.0</v>
      </c>
      <c r="C283" s="1">
        <v>4.0</v>
      </c>
      <c r="D283" s="4">
        <v>42543.0</v>
      </c>
      <c r="E283" s="4">
        <v>42546.0</v>
      </c>
      <c r="F283" s="4">
        <v>42546.0</v>
      </c>
      <c r="G283" s="1">
        <v>3.0</v>
      </c>
      <c r="H283" s="1">
        <v>9.0</v>
      </c>
      <c r="I283" s="3" t="str">
        <f>VLOOKUP(B283,Customers!A:J, 10,FALSE)</f>
        <v>Regina Burns</v>
      </c>
      <c r="J283" s="3" t="str">
        <f>VLOOKUP(B283,Customers!A:J,8,FALSE)</f>
        <v>TX</v>
      </c>
      <c r="K283" s="3" t="str">
        <f>VLOOKUP(B283,Customers!A:J,7,FALSE)</f>
        <v>Garland</v>
      </c>
      <c r="L283" s="3" t="str">
        <f>VLOOKUP(H283,Staff!A:I,9,FALSE)</f>
        <v>Layla Terrell</v>
      </c>
      <c r="M283" s="3" t="str">
        <f>VLOOKUP(G283,Store!A:H,2,FALSE)</f>
        <v>Rowlett Bikes</v>
      </c>
      <c r="N283" s="3" t="str">
        <f>VLOOKUP(G283,Store!A:H,6,FALSE)</f>
        <v>Rowlett</v>
      </c>
      <c r="O283" s="3" t="s">
        <v>17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>
        <v>283.0</v>
      </c>
      <c r="B284" s="1">
        <v>181.0</v>
      </c>
      <c r="C284" s="1">
        <v>4.0</v>
      </c>
      <c r="D284" s="4">
        <v>42544.0</v>
      </c>
      <c r="E284" s="4">
        <v>42547.0</v>
      </c>
      <c r="F284" s="4">
        <v>42547.0</v>
      </c>
      <c r="G284" s="1">
        <v>1.0</v>
      </c>
      <c r="H284" s="1">
        <v>2.0</v>
      </c>
      <c r="I284" s="3" t="str">
        <f>VLOOKUP(B284,Customers!A:J, 10,FALSE)</f>
        <v>Olevia Pitts</v>
      </c>
      <c r="J284" s="3" t="str">
        <f>VLOOKUP(B284,Customers!A:J,8,FALSE)</f>
        <v>CA</v>
      </c>
      <c r="K284" s="3" t="str">
        <f>VLOOKUP(B284,Customers!A:J,7,FALSE)</f>
        <v>Redondo Beach</v>
      </c>
      <c r="L284" s="3" t="str">
        <f>VLOOKUP(H284,Staff!A:I,9,FALSE)</f>
        <v>Mireya Copeland</v>
      </c>
      <c r="M284" s="3" t="str">
        <f>VLOOKUP(G284,Store!A:H,2,FALSE)</f>
        <v>Santa Cruz Bikes</v>
      </c>
      <c r="N284" s="3" t="str">
        <f>VLOOKUP(G284,Store!A:H,6,FALSE)</f>
        <v>Santa Cruz</v>
      </c>
      <c r="O284" s="3" t="s">
        <v>15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>
        <v>284.0</v>
      </c>
      <c r="B285" s="1">
        <v>1356.0</v>
      </c>
      <c r="C285" s="1">
        <v>4.0</v>
      </c>
      <c r="D285" s="4">
        <v>42544.0</v>
      </c>
      <c r="E285" s="4">
        <v>42546.0</v>
      </c>
      <c r="F285" s="4">
        <v>42546.0</v>
      </c>
      <c r="G285" s="1">
        <v>2.0</v>
      </c>
      <c r="H285" s="1">
        <v>7.0</v>
      </c>
      <c r="I285" s="3" t="str">
        <f>VLOOKUP(B285,Customers!A:J, 10,FALSE)</f>
        <v>Inger Jennings</v>
      </c>
      <c r="J285" s="3" t="str">
        <f>VLOOKUP(B285,Customers!A:J,8,FALSE)</f>
        <v>NY</v>
      </c>
      <c r="K285" s="3" t="str">
        <f>VLOOKUP(B285,Customers!A:J,7,FALSE)</f>
        <v>Patchogue</v>
      </c>
      <c r="L285" s="3" t="str">
        <f>VLOOKUP(H285,Staff!A:I,9,FALSE)</f>
        <v>Venita Daniel</v>
      </c>
      <c r="M285" s="3" t="str">
        <f>VLOOKUP(G285,Store!A:H,2,FALSE)</f>
        <v>Baldwin Bikes</v>
      </c>
      <c r="N285" s="3" t="str">
        <f>VLOOKUP(G285,Store!A:H,6,FALSE)</f>
        <v>Baldwin</v>
      </c>
      <c r="O285" s="3" t="s">
        <v>16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>
        <v>285.0</v>
      </c>
      <c r="B286" s="1">
        <v>319.0</v>
      </c>
      <c r="C286" s="1">
        <v>4.0</v>
      </c>
      <c r="D286" s="4">
        <v>42546.0</v>
      </c>
      <c r="E286" s="4">
        <v>42547.0</v>
      </c>
      <c r="F286" s="4">
        <v>42548.0</v>
      </c>
      <c r="G286" s="1">
        <v>1.0</v>
      </c>
      <c r="H286" s="1">
        <v>2.0</v>
      </c>
      <c r="I286" s="3" t="str">
        <f>VLOOKUP(B286,Customers!A:J, 10,FALSE)</f>
        <v>Justin Newton</v>
      </c>
      <c r="J286" s="3" t="str">
        <f>VLOOKUP(B286,Customers!A:J,8,FALSE)</f>
        <v>CA</v>
      </c>
      <c r="K286" s="3" t="str">
        <f>VLOOKUP(B286,Customers!A:J,7,FALSE)</f>
        <v>Apple Valley</v>
      </c>
      <c r="L286" s="3" t="str">
        <f>VLOOKUP(H286,Staff!A:I,9,FALSE)</f>
        <v>Mireya Copeland</v>
      </c>
      <c r="M286" s="3" t="str">
        <f>VLOOKUP(G286,Store!A:H,2,FALSE)</f>
        <v>Santa Cruz Bikes</v>
      </c>
      <c r="N286" s="3" t="str">
        <f>VLOOKUP(G286,Store!A:H,6,FALSE)</f>
        <v>Santa Cruz</v>
      </c>
      <c r="O286" s="3" t="s">
        <v>15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>
        <v>286.0</v>
      </c>
      <c r="B287" s="1">
        <v>59.0</v>
      </c>
      <c r="C287" s="1">
        <v>4.0</v>
      </c>
      <c r="D287" s="4">
        <v>42546.0</v>
      </c>
      <c r="E287" s="4">
        <v>42547.0</v>
      </c>
      <c r="F287" s="4">
        <v>42547.0</v>
      </c>
      <c r="G287" s="1">
        <v>2.0</v>
      </c>
      <c r="H287" s="1">
        <v>6.0</v>
      </c>
      <c r="I287" s="3" t="str">
        <f>VLOOKUP(B287,Customers!A:J, 10,FALSE)</f>
        <v>Latasha Stanley</v>
      </c>
      <c r="J287" s="3" t="str">
        <f>VLOOKUP(B287,Customers!A:J,8,FALSE)</f>
        <v>NY</v>
      </c>
      <c r="K287" s="3" t="str">
        <f>VLOOKUP(B287,Customers!A:J,7,FALSE)</f>
        <v>Rockville Centre</v>
      </c>
      <c r="L287" s="3" t="str">
        <f>VLOOKUP(H287,Staff!A:I,9,FALSE)</f>
        <v>Marcelene Boyer</v>
      </c>
      <c r="M287" s="3" t="str">
        <f>VLOOKUP(G287,Store!A:H,2,FALSE)</f>
        <v>Baldwin Bikes</v>
      </c>
      <c r="N287" s="3" t="str">
        <f>VLOOKUP(G287,Store!A:H,6,FALSE)</f>
        <v>Baldwin</v>
      </c>
      <c r="O287" s="3" t="s">
        <v>16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>
        <v>287.0</v>
      </c>
      <c r="B288" s="1">
        <v>133.0</v>
      </c>
      <c r="C288" s="1">
        <v>4.0</v>
      </c>
      <c r="D288" s="4">
        <v>42546.0</v>
      </c>
      <c r="E288" s="4">
        <v>42547.0</v>
      </c>
      <c r="F288" s="4">
        <v>42548.0</v>
      </c>
      <c r="G288" s="1">
        <v>2.0</v>
      </c>
      <c r="H288" s="1">
        <v>6.0</v>
      </c>
      <c r="I288" s="3" t="str">
        <f>VLOOKUP(B288,Customers!A:J, 10,FALSE)</f>
        <v>Delbert Wilkins</v>
      </c>
      <c r="J288" s="3" t="str">
        <f>VLOOKUP(B288,Customers!A:J,8,FALSE)</f>
        <v>NY</v>
      </c>
      <c r="K288" s="3" t="str">
        <f>VLOOKUP(B288,Customers!A:J,7,FALSE)</f>
        <v>Coram</v>
      </c>
      <c r="L288" s="3" t="str">
        <f>VLOOKUP(H288,Staff!A:I,9,FALSE)</f>
        <v>Marcelene Boyer</v>
      </c>
      <c r="M288" s="3" t="str">
        <f>VLOOKUP(G288,Store!A:H,2,FALSE)</f>
        <v>Baldwin Bikes</v>
      </c>
      <c r="N288" s="3" t="str">
        <f>VLOOKUP(G288,Store!A:H,6,FALSE)</f>
        <v>Baldwin</v>
      </c>
      <c r="O288" s="3" t="s">
        <v>16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>
        <v>288.0</v>
      </c>
      <c r="B289" s="1">
        <v>780.0</v>
      </c>
      <c r="C289" s="1">
        <v>4.0</v>
      </c>
      <c r="D289" s="4">
        <v>42546.0</v>
      </c>
      <c r="E289" s="4">
        <v>42549.0</v>
      </c>
      <c r="F289" s="4">
        <v>42549.0</v>
      </c>
      <c r="G289" s="1">
        <v>2.0</v>
      </c>
      <c r="H289" s="1">
        <v>6.0</v>
      </c>
      <c r="I289" s="3" t="str">
        <f>VLOOKUP(B289,Customers!A:J, 10,FALSE)</f>
        <v>Ouida Gregory</v>
      </c>
      <c r="J289" s="3" t="str">
        <f>VLOOKUP(B289,Customers!A:J,8,FALSE)</f>
        <v>NY</v>
      </c>
      <c r="K289" s="3" t="str">
        <f>VLOOKUP(B289,Customers!A:J,7,FALSE)</f>
        <v>Merrick</v>
      </c>
      <c r="L289" s="3" t="str">
        <f>VLOOKUP(H289,Staff!A:I,9,FALSE)</f>
        <v>Marcelene Boyer</v>
      </c>
      <c r="M289" s="3" t="str">
        <f>VLOOKUP(G289,Store!A:H,2,FALSE)</f>
        <v>Baldwin Bikes</v>
      </c>
      <c r="N289" s="3" t="str">
        <f>VLOOKUP(G289,Store!A:H,6,FALSE)</f>
        <v>Baldwin</v>
      </c>
      <c r="O289" s="3" t="s">
        <v>16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>
        <v>289.0</v>
      </c>
      <c r="B290" s="1">
        <v>849.0</v>
      </c>
      <c r="C290" s="1">
        <v>4.0</v>
      </c>
      <c r="D290" s="4">
        <v>42548.0</v>
      </c>
      <c r="E290" s="4">
        <v>42549.0</v>
      </c>
      <c r="F290" s="4">
        <v>42551.0</v>
      </c>
      <c r="G290" s="1">
        <v>2.0</v>
      </c>
      <c r="H290" s="1">
        <v>6.0</v>
      </c>
      <c r="I290" s="3" t="str">
        <f>VLOOKUP(B290,Customers!A:J, 10,FALSE)</f>
        <v>Phyllis Hill</v>
      </c>
      <c r="J290" s="3" t="str">
        <f>VLOOKUP(B290,Customers!A:J,8,FALSE)</f>
        <v>NY</v>
      </c>
      <c r="K290" s="3" t="str">
        <f>VLOOKUP(B290,Customers!A:J,7,FALSE)</f>
        <v>Syosset</v>
      </c>
      <c r="L290" s="3" t="str">
        <f>VLOOKUP(H290,Staff!A:I,9,FALSE)</f>
        <v>Marcelene Boyer</v>
      </c>
      <c r="M290" s="3" t="str">
        <f>VLOOKUP(G290,Store!A:H,2,FALSE)</f>
        <v>Baldwin Bikes</v>
      </c>
      <c r="N290" s="3" t="str">
        <f>VLOOKUP(G290,Store!A:H,6,FALSE)</f>
        <v>Baldwin</v>
      </c>
      <c r="O290" s="3" t="s">
        <v>16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>
        <v>290.0</v>
      </c>
      <c r="B291" s="1">
        <v>202.0</v>
      </c>
      <c r="C291" s="1">
        <v>4.0</v>
      </c>
      <c r="D291" s="4">
        <v>42549.0</v>
      </c>
      <c r="E291" s="4">
        <v>42550.0</v>
      </c>
      <c r="F291" s="4">
        <v>42551.0</v>
      </c>
      <c r="G291" s="1">
        <v>2.0</v>
      </c>
      <c r="H291" s="1">
        <v>6.0</v>
      </c>
      <c r="I291" s="3" t="str">
        <f>VLOOKUP(B291,Customers!A:J, 10,FALSE)</f>
        <v>Marni Bolton</v>
      </c>
      <c r="J291" s="3" t="str">
        <f>VLOOKUP(B291,Customers!A:J,8,FALSE)</f>
        <v>NY</v>
      </c>
      <c r="K291" s="3" t="str">
        <f>VLOOKUP(B291,Customers!A:J,7,FALSE)</f>
        <v>Lancaster</v>
      </c>
      <c r="L291" s="3" t="str">
        <f>VLOOKUP(H291,Staff!A:I,9,FALSE)</f>
        <v>Marcelene Boyer</v>
      </c>
      <c r="M291" s="3" t="str">
        <f>VLOOKUP(G291,Store!A:H,2,FALSE)</f>
        <v>Baldwin Bikes</v>
      </c>
      <c r="N291" s="3" t="str">
        <f>VLOOKUP(G291,Store!A:H,6,FALSE)</f>
        <v>Baldwin</v>
      </c>
      <c r="O291" s="3" t="s">
        <v>16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>
        <v>291.0</v>
      </c>
      <c r="B292" s="1">
        <v>158.0</v>
      </c>
      <c r="C292" s="1">
        <v>4.0</v>
      </c>
      <c r="D292" s="4">
        <v>42550.0</v>
      </c>
      <c r="E292" s="4">
        <v>42551.0</v>
      </c>
      <c r="F292" s="4">
        <v>42552.0</v>
      </c>
      <c r="G292" s="1">
        <v>2.0</v>
      </c>
      <c r="H292" s="1">
        <v>6.0</v>
      </c>
      <c r="I292" s="3" t="str">
        <f>VLOOKUP(B292,Customers!A:J, 10,FALSE)</f>
        <v>Alane Kennedy</v>
      </c>
      <c r="J292" s="3" t="str">
        <f>VLOOKUP(B292,Customers!A:J,8,FALSE)</f>
        <v>NY</v>
      </c>
      <c r="K292" s="3" t="str">
        <f>VLOOKUP(B292,Customers!A:J,7,FALSE)</f>
        <v>Spring Valley</v>
      </c>
      <c r="L292" s="3" t="str">
        <f>VLOOKUP(H292,Staff!A:I,9,FALSE)</f>
        <v>Marcelene Boyer</v>
      </c>
      <c r="M292" s="3" t="str">
        <f>VLOOKUP(G292,Store!A:H,2,FALSE)</f>
        <v>Baldwin Bikes</v>
      </c>
      <c r="N292" s="3" t="str">
        <f>VLOOKUP(G292,Store!A:H,6,FALSE)</f>
        <v>Baldwin</v>
      </c>
      <c r="O292" s="3" t="s">
        <v>16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>
        <v>292.0</v>
      </c>
      <c r="B293" s="1">
        <v>360.0</v>
      </c>
      <c r="C293" s="1">
        <v>4.0</v>
      </c>
      <c r="D293" s="4">
        <v>42550.0</v>
      </c>
      <c r="E293" s="4">
        <v>42551.0</v>
      </c>
      <c r="F293" s="4">
        <v>42553.0</v>
      </c>
      <c r="G293" s="1">
        <v>3.0</v>
      </c>
      <c r="H293" s="1">
        <v>9.0</v>
      </c>
      <c r="I293" s="3" t="str">
        <f>VLOOKUP(B293,Customers!A:J, 10,FALSE)</f>
        <v>Van Peters</v>
      </c>
      <c r="J293" s="3" t="str">
        <f>VLOOKUP(B293,Customers!A:J,8,FALSE)</f>
        <v>TX</v>
      </c>
      <c r="K293" s="3" t="str">
        <f>VLOOKUP(B293,Customers!A:J,7,FALSE)</f>
        <v>Houston</v>
      </c>
      <c r="L293" s="3" t="str">
        <f>VLOOKUP(H293,Staff!A:I,9,FALSE)</f>
        <v>Layla Terrell</v>
      </c>
      <c r="M293" s="3" t="str">
        <f>VLOOKUP(G293,Store!A:H,2,FALSE)</f>
        <v>Rowlett Bikes</v>
      </c>
      <c r="N293" s="3" t="str">
        <f>VLOOKUP(G293,Store!A:H,6,FALSE)</f>
        <v>Rowlett</v>
      </c>
      <c r="O293" s="3" t="s">
        <v>17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>
        <v>293.0</v>
      </c>
      <c r="B294" s="1">
        <v>573.0</v>
      </c>
      <c r="C294" s="1">
        <v>4.0</v>
      </c>
      <c r="D294" s="4">
        <v>42551.0</v>
      </c>
      <c r="E294" s="4">
        <v>42554.0</v>
      </c>
      <c r="F294" s="4">
        <v>42553.0</v>
      </c>
      <c r="G294" s="1">
        <v>2.0</v>
      </c>
      <c r="H294" s="1">
        <v>7.0</v>
      </c>
      <c r="I294" s="3" t="str">
        <f>VLOOKUP(B294,Customers!A:J, 10,FALSE)</f>
        <v>Rubye Mccall</v>
      </c>
      <c r="J294" s="3" t="str">
        <f>VLOOKUP(B294,Customers!A:J,8,FALSE)</f>
        <v>NY</v>
      </c>
      <c r="K294" s="3" t="str">
        <f>VLOOKUP(B294,Customers!A:J,7,FALSE)</f>
        <v>Troy</v>
      </c>
      <c r="L294" s="3" t="str">
        <f>VLOOKUP(H294,Staff!A:I,9,FALSE)</f>
        <v>Venita Daniel</v>
      </c>
      <c r="M294" s="3" t="str">
        <f>VLOOKUP(G294,Store!A:H,2,FALSE)</f>
        <v>Baldwin Bikes</v>
      </c>
      <c r="N294" s="3" t="str">
        <f>VLOOKUP(G294,Store!A:H,6,FALSE)</f>
        <v>Baldwin</v>
      </c>
      <c r="O294" s="3" t="s">
        <v>16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>
        <v>294.0</v>
      </c>
      <c r="B295" s="1">
        <v>732.0</v>
      </c>
      <c r="C295" s="1">
        <v>4.0</v>
      </c>
      <c r="D295" s="4">
        <v>42552.0</v>
      </c>
      <c r="E295" s="4">
        <v>42553.0</v>
      </c>
      <c r="F295" s="4">
        <v>42553.0</v>
      </c>
      <c r="G295" s="1">
        <v>2.0</v>
      </c>
      <c r="H295" s="1">
        <v>7.0</v>
      </c>
      <c r="I295" s="3" t="str">
        <f>VLOOKUP(B295,Customers!A:J, 10,FALSE)</f>
        <v>Lavona Austin</v>
      </c>
      <c r="J295" s="3" t="str">
        <f>VLOOKUP(B295,Customers!A:J,8,FALSE)</f>
        <v>NY</v>
      </c>
      <c r="K295" s="3" t="str">
        <f>VLOOKUP(B295,Customers!A:J,7,FALSE)</f>
        <v>Utica</v>
      </c>
      <c r="L295" s="3" t="str">
        <f>VLOOKUP(H295,Staff!A:I,9,FALSE)</f>
        <v>Venita Daniel</v>
      </c>
      <c r="M295" s="3" t="str">
        <f>VLOOKUP(G295,Store!A:H,2,FALSE)</f>
        <v>Baldwin Bikes</v>
      </c>
      <c r="N295" s="3" t="str">
        <f>VLOOKUP(G295,Store!A:H,6,FALSE)</f>
        <v>Baldwin</v>
      </c>
      <c r="O295" s="3" t="s">
        <v>16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>
        <v>295.0</v>
      </c>
      <c r="B296" s="1">
        <v>1130.0</v>
      </c>
      <c r="C296" s="1">
        <v>4.0</v>
      </c>
      <c r="D296" s="4">
        <v>42552.0</v>
      </c>
      <c r="E296" s="4">
        <v>42555.0</v>
      </c>
      <c r="F296" s="4">
        <v>42555.0</v>
      </c>
      <c r="G296" s="1">
        <v>2.0</v>
      </c>
      <c r="H296" s="1">
        <v>7.0</v>
      </c>
      <c r="I296" s="3" t="str">
        <f>VLOOKUP(B296,Customers!A:J, 10,FALSE)</f>
        <v>Benny Bender</v>
      </c>
      <c r="J296" s="3" t="str">
        <f>VLOOKUP(B296,Customers!A:J,8,FALSE)</f>
        <v>NY</v>
      </c>
      <c r="K296" s="3" t="str">
        <f>VLOOKUP(B296,Customers!A:J,7,FALSE)</f>
        <v>Elmont</v>
      </c>
      <c r="L296" s="3" t="str">
        <f>VLOOKUP(H296,Staff!A:I,9,FALSE)</f>
        <v>Venita Daniel</v>
      </c>
      <c r="M296" s="3" t="str">
        <f>VLOOKUP(G296,Store!A:H,2,FALSE)</f>
        <v>Baldwin Bikes</v>
      </c>
      <c r="N296" s="3" t="str">
        <f>VLOOKUP(G296,Store!A:H,6,FALSE)</f>
        <v>Baldwin</v>
      </c>
      <c r="O296" s="3" t="s">
        <v>16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>
        <v>296.0</v>
      </c>
      <c r="B297" s="1">
        <v>1245.0</v>
      </c>
      <c r="C297" s="1">
        <v>4.0</v>
      </c>
      <c r="D297" s="4">
        <v>42555.0</v>
      </c>
      <c r="E297" s="4">
        <v>42558.0</v>
      </c>
      <c r="F297" s="4">
        <v>42557.0</v>
      </c>
      <c r="G297" s="1">
        <v>2.0</v>
      </c>
      <c r="H297" s="1">
        <v>6.0</v>
      </c>
      <c r="I297" s="3" t="str">
        <f>VLOOKUP(B297,Customers!A:J, 10,FALSE)</f>
        <v>Gabriela Warren</v>
      </c>
      <c r="J297" s="3" t="str">
        <f>VLOOKUP(B297,Customers!A:J,8,FALSE)</f>
        <v>NY</v>
      </c>
      <c r="K297" s="3" t="str">
        <f>VLOOKUP(B297,Customers!A:J,7,FALSE)</f>
        <v>Long Beach</v>
      </c>
      <c r="L297" s="3" t="str">
        <f>VLOOKUP(H297,Staff!A:I,9,FALSE)</f>
        <v>Marcelene Boyer</v>
      </c>
      <c r="M297" s="3" t="str">
        <f>VLOOKUP(G297,Store!A:H,2,FALSE)</f>
        <v>Baldwin Bikes</v>
      </c>
      <c r="N297" s="3" t="str">
        <f>VLOOKUP(G297,Store!A:H,6,FALSE)</f>
        <v>Baldwin</v>
      </c>
      <c r="O297" s="3" t="s">
        <v>16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>
        <v>297.0</v>
      </c>
      <c r="B298" s="1">
        <v>1425.0</v>
      </c>
      <c r="C298" s="1">
        <v>4.0</v>
      </c>
      <c r="D298" s="4">
        <v>42555.0</v>
      </c>
      <c r="E298" s="4">
        <v>42556.0</v>
      </c>
      <c r="F298" s="4">
        <v>42557.0</v>
      </c>
      <c r="G298" s="1">
        <v>2.0</v>
      </c>
      <c r="H298" s="1">
        <v>7.0</v>
      </c>
      <c r="I298" s="3" t="str">
        <f>VLOOKUP(B298,Customers!A:J, 10,FALSE)</f>
        <v>Justina Jenkins</v>
      </c>
      <c r="J298" s="3" t="str">
        <f>VLOOKUP(B298,Customers!A:J,8,FALSE)</f>
        <v>NY</v>
      </c>
      <c r="K298" s="3" t="str">
        <f>VLOOKUP(B298,Customers!A:J,7,FALSE)</f>
        <v>Shirley</v>
      </c>
      <c r="L298" s="3" t="str">
        <f>VLOOKUP(H298,Staff!A:I,9,FALSE)</f>
        <v>Venita Daniel</v>
      </c>
      <c r="M298" s="3" t="str">
        <f>VLOOKUP(G298,Store!A:H,2,FALSE)</f>
        <v>Baldwin Bikes</v>
      </c>
      <c r="N298" s="3" t="str">
        <f>VLOOKUP(G298,Store!A:H,6,FALSE)</f>
        <v>Baldwin</v>
      </c>
      <c r="O298" s="3" t="s">
        <v>16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>
        <v>298.0</v>
      </c>
      <c r="B299" s="1">
        <v>885.0</v>
      </c>
      <c r="C299" s="1">
        <v>4.0</v>
      </c>
      <c r="D299" s="4">
        <v>42555.0</v>
      </c>
      <c r="E299" s="4">
        <v>42558.0</v>
      </c>
      <c r="F299" s="4">
        <v>42558.0</v>
      </c>
      <c r="G299" s="1">
        <v>3.0</v>
      </c>
      <c r="H299" s="1">
        <v>9.0</v>
      </c>
      <c r="I299" s="3" t="str">
        <f>VLOOKUP(B299,Customers!A:J, 10,FALSE)</f>
        <v>Janna Hayden</v>
      </c>
      <c r="J299" s="3" t="str">
        <f>VLOOKUP(B299,Customers!A:J,8,FALSE)</f>
        <v>TX</v>
      </c>
      <c r="K299" s="3" t="str">
        <f>VLOOKUP(B299,Customers!A:J,7,FALSE)</f>
        <v>Longview</v>
      </c>
      <c r="L299" s="3" t="str">
        <f>VLOOKUP(H299,Staff!A:I,9,FALSE)</f>
        <v>Layla Terrell</v>
      </c>
      <c r="M299" s="3" t="str">
        <f>VLOOKUP(G299,Store!A:H,2,FALSE)</f>
        <v>Rowlett Bikes</v>
      </c>
      <c r="N299" s="3" t="str">
        <f>VLOOKUP(G299,Store!A:H,6,FALSE)</f>
        <v>Rowlett</v>
      </c>
      <c r="O299" s="3" t="s">
        <v>17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>
        <v>299.0</v>
      </c>
      <c r="B300" s="1">
        <v>281.0</v>
      </c>
      <c r="C300" s="1">
        <v>4.0</v>
      </c>
      <c r="D300" s="4">
        <v>42556.0</v>
      </c>
      <c r="E300" s="4">
        <v>42557.0</v>
      </c>
      <c r="F300" s="4">
        <v>42558.0</v>
      </c>
      <c r="G300" s="1">
        <v>2.0</v>
      </c>
      <c r="H300" s="1">
        <v>6.0</v>
      </c>
      <c r="I300" s="3" t="str">
        <f>VLOOKUP(B300,Customers!A:J, 10,FALSE)</f>
        <v>Rayna Perry</v>
      </c>
      <c r="J300" s="3" t="str">
        <f>VLOOKUP(B300,Customers!A:J,8,FALSE)</f>
        <v>NY</v>
      </c>
      <c r="K300" s="3" t="str">
        <f>VLOOKUP(B300,Customers!A:J,7,FALSE)</f>
        <v>Ozone Park</v>
      </c>
      <c r="L300" s="3" t="str">
        <f>VLOOKUP(H300,Staff!A:I,9,FALSE)</f>
        <v>Marcelene Boyer</v>
      </c>
      <c r="M300" s="3" t="str">
        <f>VLOOKUP(G300,Store!A:H,2,FALSE)</f>
        <v>Baldwin Bikes</v>
      </c>
      <c r="N300" s="3" t="str">
        <f>VLOOKUP(G300,Store!A:H,6,FALSE)</f>
        <v>Baldwin</v>
      </c>
      <c r="O300" s="3" t="s">
        <v>16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>
        <v>300.0</v>
      </c>
      <c r="B301" s="1">
        <v>1205.0</v>
      </c>
      <c r="C301" s="1">
        <v>4.0</v>
      </c>
      <c r="D301" s="4">
        <v>42556.0</v>
      </c>
      <c r="E301" s="4">
        <v>42559.0</v>
      </c>
      <c r="F301" s="4">
        <v>42559.0</v>
      </c>
      <c r="G301" s="1">
        <v>2.0</v>
      </c>
      <c r="H301" s="1">
        <v>6.0</v>
      </c>
      <c r="I301" s="3" t="str">
        <f>VLOOKUP(B301,Customers!A:J, 10,FALSE)</f>
        <v>Emmaline Huber</v>
      </c>
      <c r="J301" s="3" t="str">
        <f>VLOOKUP(B301,Customers!A:J,8,FALSE)</f>
        <v>NY</v>
      </c>
      <c r="K301" s="3" t="str">
        <f>VLOOKUP(B301,Customers!A:J,7,FALSE)</f>
        <v>Mount Vernon</v>
      </c>
      <c r="L301" s="3" t="str">
        <f>VLOOKUP(H301,Staff!A:I,9,FALSE)</f>
        <v>Marcelene Boyer</v>
      </c>
      <c r="M301" s="3" t="str">
        <f>VLOOKUP(G301,Store!A:H,2,FALSE)</f>
        <v>Baldwin Bikes</v>
      </c>
      <c r="N301" s="3" t="str">
        <f>VLOOKUP(G301,Store!A:H,6,FALSE)</f>
        <v>Baldwin</v>
      </c>
      <c r="O301" s="3" t="s">
        <v>16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>
        <v>301.0</v>
      </c>
      <c r="B302" s="1">
        <v>17.0</v>
      </c>
      <c r="C302" s="1">
        <v>4.0</v>
      </c>
      <c r="D302" s="4">
        <v>42557.0</v>
      </c>
      <c r="E302" s="4">
        <v>42560.0</v>
      </c>
      <c r="F302" s="4">
        <v>42559.0</v>
      </c>
      <c r="G302" s="1">
        <v>2.0</v>
      </c>
      <c r="H302" s="1">
        <v>6.0</v>
      </c>
      <c r="I302" s="3" t="str">
        <f>VLOOKUP(B302,Customers!A:J, 10,FALSE)</f>
        <v>Caren Stephens</v>
      </c>
      <c r="J302" s="3" t="str">
        <f>VLOOKUP(B302,Customers!A:J,8,FALSE)</f>
        <v>NY</v>
      </c>
      <c r="K302" s="3" t="str">
        <f>VLOOKUP(B302,Customers!A:J,7,FALSE)</f>
        <v>Scarsdale</v>
      </c>
      <c r="L302" s="3" t="str">
        <f>VLOOKUP(H302,Staff!A:I,9,FALSE)</f>
        <v>Marcelene Boyer</v>
      </c>
      <c r="M302" s="3" t="str">
        <f>VLOOKUP(G302,Store!A:H,2,FALSE)</f>
        <v>Baldwin Bikes</v>
      </c>
      <c r="N302" s="3" t="str">
        <f>VLOOKUP(G302,Store!A:H,6,FALSE)</f>
        <v>Baldwin</v>
      </c>
      <c r="O302" s="3" t="s">
        <v>16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>
        <v>302.0</v>
      </c>
      <c r="B303" s="1">
        <v>1375.0</v>
      </c>
      <c r="C303" s="1">
        <v>4.0</v>
      </c>
      <c r="D303" s="4">
        <v>42557.0</v>
      </c>
      <c r="E303" s="4">
        <v>42558.0</v>
      </c>
      <c r="F303" s="4">
        <v>42560.0</v>
      </c>
      <c r="G303" s="1">
        <v>2.0</v>
      </c>
      <c r="H303" s="1">
        <v>6.0</v>
      </c>
      <c r="I303" s="3" t="str">
        <f>VLOOKUP(B303,Customers!A:J, 10,FALSE)</f>
        <v>Carlena Salinas</v>
      </c>
      <c r="J303" s="3" t="str">
        <f>VLOOKUP(B303,Customers!A:J,8,FALSE)</f>
        <v>NY</v>
      </c>
      <c r="K303" s="3" t="str">
        <f>VLOOKUP(B303,Customers!A:J,7,FALSE)</f>
        <v>Jamaica</v>
      </c>
      <c r="L303" s="3" t="str">
        <f>VLOOKUP(H303,Staff!A:I,9,FALSE)</f>
        <v>Marcelene Boyer</v>
      </c>
      <c r="M303" s="3" t="str">
        <f>VLOOKUP(G303,Store!A:H,2,FALSE)</f>
        <v>Baldwin Bikes</v>
      </c>
      <c r="N303" s="3" t="str">
        <f>VLOOKUP(G303,Store!A:H,6,FALSE)</f>
        <v>Baldwin</v>
      </c>
      <c r="O303" s="3" t="s">
        <v>16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>
        <v>303.0</v>
      </c>
      <c r="B304" s="1">
        <v>36.0</v>
      </c>
      <c r="C304" s="1">
        <v>4.0</v>
      </c>
      <c r="D304" s="4">
        <v>42558.0</v>
      </c>
      <c r="E304" s="4">
        <v>42559.0</v>
      </c>
      <c r="F304" s="4">
        <v>42560.0</v>
      </c>
      <c r="G304" s="1">
        <v>2.0</v>
      </c>
      <c r="H304" s="1">
        <v>7.0</v>
      </c>
      <c r="I304" s="3" t="str">
        <f>VLOOKUP(B304,Customers!A:J, 10,FALSE)</f>
        <v>Bernita Mcdaniel</v>
      </c>
      <c r="J304" s="3" t="str">
        <f>VLOOKUP(B304,Customers!A:J,8,FALSE)</f>
        <v>NY</v>
      </c>
      <c r="K304" s="3" t="str">
        <f>VLOOKUP(B304,Customers!A:J,7,FALSE)</f>
        <v>Liverpool</v>
      </c>
      <c r="L304" s="3" t="str">
        <f>VLOOKUP(H304,Staff!A:I,9,FALSE)</f>
        <v>Venita Daniel</v>
      </c>
      <c r="M304" s="3" t="str">
        <f>VLOOKUP(G304,Store!A:H,2,FALSE)</f>
        <v>Baldwin Bikes</v>
      </c>
      <c r="N304" s="3" t="str">
        <f>VLOOKUP(G304,Store!A:H,6,FALSE)</f>
        <v>Baldwin</v>
      </c>
      <c r="O304" s="3" t="s">
        <v>16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>
        <v>304.0</v>
      </c>
      <c r="B305" s="1">
        <v>230.0</v>
      </c>
      <c r="C305" s="1">
        <v>4.0</v>
      </c>
      <c r="D305" s="4">
        <v>42558.0</v>
      </c>
      <c r="E305" s="4">
        <v>42559.0</v>
      </c>
      <c r="F305" s="4">
        <v>42559.0</v>
      </c>
      <c r="G305" s="1">
        <v>2.0</v>
      </c>
      <c r="H305" s="1">
        <v>6.0</v>
      </c>
      <c r="I305" s="3" t="str">
        <f>VLOOKUP(B305,Customers!A:J, 10,FALSE)</f>
        <v>Chelsey Hardin</v>
      </c>
      <c r="J305" s="3" t="str">
        <f>VLOOKUP(B305,Customers!A:J,8,FALSE)</f>
        <v>NY</v>
      </c>
      <c r="K305" s="3" t="str">
        <f>VLOOKUP(B305,Customers!A:J,7,FALSE)</f>
        <v>Deer Park</v>
      </c>
      <c r="L305" s="3" t="str">
        <f>VLOOKUP(H305,Staff!A:I,9,FALSE)</f>
        <v>Marcelene Boyer</v>
      </c>
      <c r="M305" s="3" t="str">
        <f>VLOOKUP(G305,Store!A:H,2,FALSE)</f>
        <v>Baldwin Bikes</v>
      </c>
      <c r="N305" s="3" t="str">
        <f>VLOOKUP(G305,Store!A:H,6,FALSE)</f>
        <v>Baldwin</v>
      </c>
      <c r="O305" s="3" t="s">
        <v>16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>
        <v>305.0</v>
      </c>
      <c r="B306" s="1">
        <v>705.0</v>
      </c>
      <c r="C306" s="1">
        <v>4.0</v>
      </c>
      <c r="D306" s="4">
        <v>42558.0</v>
      </c>
      <c r="E306" s="4">
        <v>42559.0</v>
      </c>
      <c r="F306" s="4">
        <v>42559.0</v>
      </c>
      <c r="G306" s="1">
        <v>2.0</v>
      </c>
      <c r="H306" s="1">
        <v>7.0</v>
      </c>
      <c r="I306" s="3" t="str">
        <f>VLOOKUP(B306,Customers!A:J, 10,FALSE)</f>
        <v>Camille Harvey</v>
      </c>
      <c r="J306" s="3" t="str">
        <f>VLOOKUP(B306,Customers!A:J,8,FALSE)</f>
        <v>NY</v>
      </c>
      <c r="K306" s="3" t="str">
        <f>VLOOKUP(B306,Customers!A:J,7,FALSE)</f>
        <v>Huntington</v>
      </c>
      <c r="L306" s="3" t="str">
        <f>VLOOKUP(H306,Staff!A:I,9,FALSE)</f>
        <v>Venita Daniel</v>
      </c>
      <c r="M306" s="3" t="str">
        <f>VLOOKUP(G306,Store!A:H,2,FALSE)</f>
        <v>Baldwin Bikes</v>
      </c>
      <c r="N306" s="3" t="str">
        <f>VLOOKUP(G306,Store!A:H,6,FALSE)</f>
        <v>Baldwin</v>
      </c>
      <c r="O306" s="3" t="s">
        <v>16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>
        <v>306.0</v>
      </c>
      <c r="B307" s="1">
        <v>424.0</v>
      </c>
      <c r="C307" s="1">
        <v>4.0</v>
      </c>
      <c r="D307" s="4">
        <v>42560.0</v>
      </c>
      <c r="E307" s="4">
        <v>42561.0</v>
      </c>
      <c r="F307" s="4">
        <v>42563.0</v>
      </c>
      <c r="G307" s="1">
        <v>2.0</v>
      </c>
      <c r="H307" s="1">
        <v>7.0</v>
      </c>
      <c r="I307" s="3" t="str">
        <f>VLOOKUP(B307,Customers!A:J, 10,FALSE)</f>
        <v>Charleen Hurst</v>
      </c>
      <c r="J307" s="3" t="str">
        <f>VLOOKUP(B307,Customers!A:J,8,FALSE)</f>
        <v>NY</v>
      </c>
      <c r="K307" s="3" t="str">
        <f>VLOOKUP(B307,Customers!A:J,7,FALSE)</f>
        <v>Utica</v>
      </c>
      <c r="L307" s="3" t="str">
        <f>VLOOKUP(H307,Staff!A:I,9,FALSE)</f>
        <v>Venita Daniel</v>
      </c>
      <c r="M307" s="3" t="str">
        <f>VLOOKUP(G307,Store!A:H,2,FALSE)</f>
        <v>Baldwin Bikes</v>
      </c>
      <c r="N307" s="3" t="str">
        <f>VLOOKUP(G307,Store!A:H,6,FALSE)</f>
        <v>Baldwin</v>
      </c>
      <c r="O307" s="3" t="s">
        <v>16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>
        <v>307.0</v>
      </c>
      <c r="B308" s="1">
        <v>695.0</v>
      </c>
      <c r="C308" s="1">
        <v>4.0</v>
      </c>
      <c r="D308" s="4">
        <v>42560.0</v>
      </c>
      <c r="E308" s="4">
        <v>42562.0</v>
      </c>
      <c r="F308" s="4">
        <v>42562.0</v>
      </c>
      <c r="G308" s="1">
        <v>2.0</v>
      </c>
      <c r="H308" s="1">
        <v>6.0</v>
      </c>
      <c r="I308" s="3" t="str">
        <f>VLOOKUP(B308,Customers!A:J, 10,FALSE)</f>
        <v>Christoper Gould</v>
      </c>
      <c r="J308" s="3" t="str">
        <f>VLOOKUP(B308,Customers!A:J,8,FALSE)</f>
        <v>NY</v>
      </c>
      <c r="K308" s="3" t="str">
        <f>VLOOKUP(B308,Customers!A:J,7,FALSE)</f>
        <v>Shirley</v>
      </c>
      <c r="L308" s="3" t="str">
        <f>VLOOKUP(H308,Staff!A:I,9,FALSE)</f>
        <v>Marcelene Boyer</v>
      </c>
      <c r="M308" s="3" t="str">
        <f>VLOOKUP(G308,Store!A:H,2,FALSE)</f>
        <v>Baldwin Bikes</v>
      </c>
      <c r="N308" s="3" t="str">
        <f>VLOOKUP(G308,Store!A:H,6,FALSE)</f>
        <v>Baldwin</v>
      </c>
      <c r="O308" s="3" t="s">
        <v>16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>
        <v>308.0</v>
      </c>
      <c r="B309" s="1">
        <v>156.0</v>
      </c>
      <c r="C309" s="1">
        <v>4.0</v>
      </c>
      <c r="D309" s="4">
        <v>42562.0</v>
      </c>
      <c r="E309" s="4">
        <v>42563.0</v>
      </c>
      <c r="F309" s="4">
        <v>42565.0</v>
      </c>
      <c r="G309" s="1">
        <v>2.0</v>
      </c>
      <c r="H309" s="1">
        <v>6.0</v>
      </c>
      <c r="I309" s="3" t="str">
        <f>VLOOKUP(B309,Customers!A:J, 10,FALSE)</f>
        <v>Charlyn Cantrell</v>
      </c>
      <c r="J309" s="3" t="str">
        <f>VLOOKUP(B309,Customers!A:J,8,FALSE)</f>
        <v>NY</v>
      </c>
      <c r="K309" s="3" t="str">
        <f>VLOOKUP(B309,Customers!A:J,7,FALSE)</f>
        <v>West Islip</v>
      </c>
      <c r="L309" s="3" t="str">
        <f>VLOOKUP(H309,Staff!A:I,9,FALSE)</f>
        <v>Marcelene Boyer</v>
      </c>
      <c r="M309" s="3" t="str">
        <f>VLOOKUP(G309,Store!A:H,2,FALSE)</f>
        <v>Baldwin Bikes</v>
      </c>
      <c r="N309" s="3" t="str">
        <f>VLOOKUP(G309,Store!A:H,6,FALSE)</f>
        <v>Baldwin</v>
      </c>
      <c r="O309" s="3" t="s">
        <v>16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>
        <v>309.0</v>
      </c>
      <c r="B310" s="1">
        <v>211.0</v>
      </c>
      <c r="C310" s="1">
        <v>4.0</v>
      </c>
      <c r="D310" s="4">
        <v>42562.0</v>
      </c>
      <c r="E310" s="4">
        <v>42564.0</v>
      </c>
      <c r="F310" s="4">
        <v>42564.0</v>
      </c>
      <c r="G310" s="1">
        <v>2.0</v>
      </c>
      <c r="H310" s="1">
        <v>6.0</v>
      </c>
      <c r="I310" s="3" t="str">
        <f>VLOOKUP(B310,Customers!A:J, 10,FALSE)</f>
        <v>Gilma Dejesus</v>
      </c>
      <c r="J310" s="3" t="str">
        <f>VLOOKUP(B310,Customers!A:J,8,FALSE)</f>
        <v>NY</v>
      </c>
      <c r="K310" s="3" t="str">
        <f>VLOOKUP(B310,Customers!A:J,7,FALSE)</f>
        <v>Scarsdale</v>
      </c>
      <c r="L310" s="3" t="str">
        <f>VLOOKUP(H310,Staff!A:I,9,FALSE)</f>
        <v>Marcelene Boyer</v>
      </c>
      <c r="M310" s="3" t="str">
        <f>VLOOKUP(G310,Store!A:H,2,FALSE)</f>
        <v>Baldwin Bikes</v>
      </c>
      <c r="N310" s="3" t="str">
        <f>VLOOKUP(G310,Store!A:H,6,FALSE)</f>
        <v>Baldwin</v>
      </c>
      <c r="O310" s="3" t="s">
        <v>16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>
        <v>310.0</v>
      </c>
      <c r="B311" s="1">
        <v>627.0</v>
      </c>
      <c r="C311" s="1">
        <v>4.0</v>
      </c>
      <c r="D311" s="4">
        <v>42563.0</v>
      </c>
      <c r="E311" s="4">
        <v>42564.0</v>
      </c>
      <c r="F311" s="4">
        <v>42564.0</v>
      </c>
      <c r="G311" s="1">
        <v>1.0</v>
      </c>
      <c r="H311" s="1">
        <v>2.0</v>
      </c>
      <c r="I311" s="3" t="str">
        <f>VLOOKUP(B311,Customers!A:J, 10,FALSE)</f>
        <v>Deloris Larson</v>
      </c>
      <c r="J311" s="3" t="str">
        <f>VLOOKUP(B311,Customers!A:J,8,FALSE)</f>
        <v>CA</v>
      </c>
      <c r="K311" s="3" t="str">
        <f>VLOOKUP(B311,Customers!A:J,7,FALSE)</f>
        <v>Duarte</v>
      </c>
      <c r="L311" s="3" t="str">
        <f>VLOOKUP(H311,Staff!A:I,9,FALSE)</f>
        <v>Mireya Copeland</v>
      </c>
      <c r="M311" s="3" t="str">
        <f>VLOOKUP(G311,Store!A:H,2,FALSE)</f>
        <v>Santa Cruz Bikes</v>
      </c>
      <c r="N311" s="3" t="str">
        <f>VLOOKUP(G311,Store!A:H,6,FALSE)</f>
        <v>Santa Cruz</v>
      </c>
      <c r="O311" s="3" t="s">
        <v>15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>
        <v>311.0</v>
      </c>
      <c r="B312" s="1">
        <v>1400.0</v>
      </c>
      <c r="C312" s="1">
        <v>4.0</v>
      </c>
      <c r="D312" s="4">
        <v>42563.0</v>
      </c>
      <c r="E312" s="4">
        <v>42565.0</v>
      </c>
      <c r="F312" s="4">
        <v>42564.0</v>
      </c>
      <c r="G312" s="1">
        <v>2.0</v>
      </c>
      <c r="H312" s="1">
        <v>6.0</v>
      </c>
      <c r="I312" s="3" t="str">
        <f>VLOOKUP(B312,Customers!A:J, 10,FALSE)</f>
        <v>Shayla Hart</v>
      </c>
      <c r="J312" s="3" t="str">
        <f>VLOOKUP(B312,Customers!A:J,8,FALSE)</f>
        <v>NY</v>
      </c>
      <c r="K312" s="3" t="str">
        <f>VLOOKUP(B312,Customers!A:J,7,FALSE)</f>
        <v>Woodhaven</v>
      </c>
      <c r="L312" s="3" t="str">
        <f>VLOOKUP(H312,Staff!A:I,9,FALSE)</f>
        <v>Marcelene Boyer</v>
      </c>
      <c r="M312" s="3" t="str">
        <f>VLOOKUP(G312,Store!A:H,2,FALSE)</f>
        <v>Baldwin Bikes</v>
      </c>
      <c r="N312" s="3" t="str">
        <f>VLOOKUP(G312,Store!A:H,6,FALSE)</f>
        <v>Baldwin</v>
      </c>
      <c r="O312" s="3" t="s">
        <v>16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>
        <v>312.0</v>
      </c>
      <c r="B313" s="1">
        <v>299.0</v>
      </c>
      <c r="C313" s="1">
        <v>4.0</v>
      </c>
      <c r="D313" s="4">
        <v>42564.0</v>
      </c>
      <c r="E313" s="4">
        <v>42566.0</v>
      </c>
      <c r="F313" s="4">
        <v>42567.0</v>
      </c>
      <c r="G313" s="1">
        <v>2.0</v>
      </c>
      <c r="H313" s="1">
        <v>6.0</v>
      </c>
      <c r="I313" s="3" t="str">
        <f>VLOOKUP(B313,Customers!A:J, 10,FALSE)</f>
        <v>Jame Riggs</v>
      </c>
      <c r="J313" s="3" t="str">
        <f>VLOOKUP(B313,Customers!A:J,8,FALSE)</f>
        <v>NY</v>
      </c>
      <c r="K313" s="3" t="str">
        <f>VLOOKUP(B313,Customers!A:J,7,FALSE)</f>
        <v>Bay Shore</v>
      </c>
      <c r="L313" s="3" t="str">
        <f>VLOOKUP(H313,Staff!A:I,9,FALSE)</f>
        <v>Marcelene Boyer</v>
      </c>
      <c r="M313" s="3" t="str">
        <f>VLOOKUP(G313,Store!A:H,2,FALSE)</f>
        <v>Baldwin Bikes</v>
      </c>
      <c r="N313" s="3" t="str">
        <f>VLOOKUP(G313,Store!A:H,6,FALSE)</f>
        <v>Baldwin</v>
      </c>
      <c r="O313" s="3" t="s">
        <v>16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>
        <v>313.0</v>
      </c>
      <c r="B314" s="1">
        <v>565.0</v>
      </c>
      <c r="C314" s="1">
        <v>4.0</v>
      </c>
      <c r="D314" s="4">
        <v>42565.0</v>
      </c>
      <c r="E314" s="4">
        <v>42566.0</v>
      </c>
      <c r="F314" s="4">
        <v>42566.0</v>
      </c>
      <c r="G314" s="1">
        <v>3.0</v>
      </c>
      <c r="H314" s="1">
        <v>9.0</v>
      </c>
      <c r="I314" s="3" t="str">
        <f>VLOOKUP(B314,Customers!A:J, 10,FALSE)</f>
        <v>Dagny Owen</v>
      </c>
      <c r="J314" s="3" t="str">
        <f>VLOOKUP(B314,Customers!A:J,8,FALSE)</f>
        <v>TX</v>
      </c>
      <c r="K314" s="3" t="str">
        <f>VLOOKUP(B314,Customers!A:J,7,FALSE)</f>
        <v>San Angelo</v>
      </c>
      <c r="L314" s="3" t="str">
        <f>VLOOKUP(H314,Staff!A:I,9,FALSE)</f>
        <v>Layla Terrell</v>
      </c>
      <c r="M314" s="3" t="str">
        <f>VLOOKUP(G314,Store!A:H,2,FALSE)</f>
        <v>Rowlett Bikes</v>
      </c>
      <c r="N314" s="3" t="str">
        <f>VLOOKUP(G314,Store!A:H,6,FALSE)</f>
        <v>Rowlett</v>
      </c>
      <c r="O314" s="3" t="s">
        <v>17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>
        <v>314.0</v>
      </c>
      <c r="B315" s="1">
        <v>1019.0</v>
      </c>
      <c r="C315" s="1">
        <v>4.0</v>
      </c>
      <c r="D315" s="4">
        <v>42566.0</v>
      </c>
      <c r="E315" s="4">
        <v>42568.0</v>
      </c>
      <c r="F315" s="4">
        <v>42568.0</v>
      </c>
      <c r="G315" s="1">
        <v>2.0</v>
      </c>
      <c r="H315" s="1">
        <v>7.0</v>
      </c>
      <c r="I315" s="3" t="str">
        <f>VLOOKUP(B315,Customers!A:J, 10,FALSE)</f>
        <v>Janie Herrera</v>
      </c>
      <c r="J315" s="3" t="str">
        <f>VLOOKUP(B315,Customers!A:J,8,FALSE)</f>
        <v>NY</v>
      </c>
      <c r="K315" s="3" t="str">
        <f>VLOOKUP(B315,Customers!A:J,7,FALSE)</f>
        <v>Elmhurst</v>
      </c>
      <c r="L315" s="3" t="str">
        <f>VLOOKUP(H315,Staff!A:I,9,FALSE)</f>
        <v>Venita Daniel</v>
      </c>
      <c r="M315" s="3" t="str">
        <f>VLOOKUP(G315,Store!A:H,2,FALSE)</f>
        <v>Baldwin Bikes</v>
      </c>
      <c r="N315" s="3" t="str">
        <f>VLOOKUP(G315,Store!A:H,6,FALSE)</f>
        <v>Baldwin</v>
      </c>
      <c r="O315" s="3" t="s">
        <v>16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>
        <v>315.0</v>
      </c>
      <c r="B316" s="1">
        <v>1263.0</v>
      </c>
      <c r="C316" s="1">
        <v>4.0</v>
      </c>
      <c r="D316" s="4">
        <v>42567.0</v>
      </c>
      <c r="E316" s="4">
        <v>42570.0</v>
      </c>
      <c r="F316" s="4">
        <v>42568.0</v>
      </c>
      <c r="G316" s="1">
        <v>2.0</v>
      </c>
      <c r="H316" s="1">
        <v>6.0</v>
      </c>
      <c r="I316" s="3" t="str">
        <f>VLOOKUP(B316,Customers!A:J, 10,FALSE)</f>
        <v>Rufina Chandler</v>
      </c>
      <c r="J316" s="3" t="str">
        <f>VLOOKUP(B316,Customers!A:J,8,FALSE)</f>
        <v>NY</v>
      </c>
      <c r="K316" s="3" t="str">
        <f>VLOOKUP(B316,Customers!A:J,7,FALSE)</f>
        <v>New Hyde Park</v>
      </c>
      <c r="L316" s="3" t="str">
        <f>VLOOKUP(H316,Staff!A:I,9,FALSE)</f>
        <v>Marcelene Boyer</v>
      </c>
      <c r="M316" s="3" t="str">
        <f>VLOOKUP(G316,Store!A:H,2,FALSE)</f>
        <v>Baldwin Bikes</v>
      </c>
      <c r="N316" s="3" t="str">
        <f>VLOOKUP(G316,Store!A:H,6,FALSE)</f>
        <v>Baldwin</v>
      </c>
      <c r="O316" s="3" t="s">
        <v>16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>
        <v>316.0</v>
      </c>
      <c r="B317" s="1">
        <v>670.0</v>
      </c>
      <c r="C317" s="1">
        <v>4.0</v>
      </c>
      <c r="D317" s="4">
        <v>42568.0</v>
      </c>
      <c r="E317" s="4">
        <v>42571.0</v>
      </c>
      <c r="F317" s="4">
        <v>42570.0</v>
      </c>
      <c r="G317" s="1">
        <v>2.0</v>
      </c>
      <c r="H317" s="1">
        <v>7.0</v>
      </c>
      <c r="I317" s="3" t="str">
        <f>VLOOKUP(B317,Customers!A:J, 10,FALSE)</f>
        <v>Shawnda Glover</v>
      </c>
      <c r="J317" s="3" t="str">
        <f>VLOOKUP(B317,Customers!A:J,8,FALSE)</f>
        <v>NY</v>
      </c>
      <c r="K317" s="3" t="str">
        <f>VLOOKUP(B317,Customers!A:J,7,FALSE)</f>
        <v>Liverpool</v>
      </c>
      <c r="L317" s="3" t="str">
        <f>VLOOKUP(H317,Staff!A:I,9,FALSE)</f>
        <v>Venita Daniel</v>
      </c>
      <c r="M317" s="3" t="str">
        <f>VLOOKUP(G317,Store!A:H,2,FALSE)</f>
        <v>Baldwin Bikes</v>
      </c>
      <c r="N317" s="3" t="str">
        <f>VLOOKUP(G317,Store!A:H,6,FALSE)</f>
        <v>Baldwin</v>
      </c>
      <c r="O317" s="3" t="s">
        <v>16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>
        <v>317.0</v>
      </c>
      <c r="B318" s="1">
        <v>795.0</v>
      </c>
      <c r="C318" s="1">
        <v>4.0</v>
      </c>
      <c r="D318" s="4">
        <v>42568.0</v>
      </c>
      <c r="E318" s="4">
        <v>42571.0</v>
      </c>
      <c r="F318" s="4">
        <v>42570.0</v>
      </c>
      <c r="G318" s="1">
        <v>2.0</v>
      </c>
      <c r="H318" s="1">
        <v>7.0</v>
      </c>
      <c r="I318" s="3" t="str">
        <f>VLOOKUP(B318,Customers!A:J, 10,FALSE)</f>
        <v>Mariam Miranda</v>
      </c>
      <c r="J318" s="3" t="str">
        <f>VLOOKUP(B318,Customers!A:J,8,FALSE)</f>
        <v>NY</v>
      </c>
      <c r="K318" s="3" t="str">
        <f>VLOOKUP(B318,Customers!A:J,7,FALSE)</f>
        <v>Franklin Square</v>
      </c>
      <c r="L318" s="3" t="str">
        <f>VLOOKUP(H318,Staff!A:I,9,FALSE)</f>
        <v>Venita Daniel</v>
      </c>
      <c r="M318" s="3" t="str">
        <f>VLOOKUP(G318,Store!A:H,2,FALSE)</f>
        <v>Baldwin Bikes</v>
      </c>
      <c r="N318" s="3" t="str">
        <f>VLOOKUP(G318,Store!A:H,6,FALSE)</f>
        <v>Baldwin</v>
      </c>
      <c r="O318" s="3" t="s">
        <v>16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>
        <v>318.0</v>
      </c>
      <c r="B319" s="1">
        <v>1141.0</v>
      </c>
      <c r="C319" s="1">
        <v>4.0</v>
      </c>
      <c r="D319" s="4">
        <v>42568.0</v>
      </c>
      <c r="E319" s="4">
        <v>42570.0</v>
      </c>
      <c r="F319" s="4">
        <v>42571.0</v>
      </c>
      <c r="G319" s="1">
        <v>2.0</v>
      </c>
      <c r="H319" s="1">
        <v>7.0</v>
      </c>
      <c r="I319" s="3" t="str">
        <f>VLOOKUP(B319,Customers!A:J, 10,FALSE)</f>
        <v>Mallie Osborn</v>
      </c>
      <c r="J319" s="3" t="str">
        <f>VLOOKUP(B319,Customers!A:J,8,FALSE)</f>
        <v>NY</v>
      </c>
      <c r="K319" s="3" t="str">
        <f>VLOOKUP(B319,Customers!A:J,7,FALSE)</f>
        <v>Newburgh</v>
      </c>
      <c r="L319" s="3" t="str">
        <f>VLOOKUP(H319,Staff!A:I,9,FALSE)</f>
        <v>Venita Daniel</v>
      </c>
      <c r="M319" s="3" t="str">
        <f>VLOOKUP(G319,Store!A:H,2,FALSE)</f>
        <v>Baldwin Bikes</v>
      </c>
      <c r="N319" s="3" t="str">
        <f>VLOOKUP(G319,Store!A:H,6,FALSE)</f>
        <v>Baldwin</v>
      </c>
      <c r="O319" s="3" t="s">
        <v>16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>
        <v>319.0</v>
      </c>
      <c r="B320" s="1">
        <v>941.0</v>
      </c>
      <c r="C320" s="1">
        <v>4.0</v>
      </c>
      <c r="D320" s="4">
        <v>42569.0</v>
      </c>
      <c r="E320" s="4">
        <v>42572.0</v>
      </c>
      <c r="F320" s="4">
        <v>42572.0</v>
      </c>
      <c r="G320" s="1">
        <v>2.0</v>
      </c>
      <c r="H320" s="1">
        <v>6.0</v>
      </c>
      <c r="I320" s="3" t="str">
        <f>VLOOKUP(B320,Customers!A:J, 10,FALSE)</f>
        <v>Danyell Dickerson</v>
      </c>
      <c r="J320" s="3" t="str">
        <f>VLOOKUP(B320,Customers!A:J,8,FALSE)</f>
        <v>NY</v>
      </c>
      <c r="K320" s="3" t="str">
        <f>VLOOKUP(B320,Customers!A:J,7,FALSE)</f>
        <v>Central Islip</v>
      </c>
      <c r="L320" s="3" t="str">
        <f>VLOOKUP(H320,Staff!A:I,9,FALSE)</f>
        <v>Marcelene Boyer</v>
      </c>
      <c r="M320" s="3" t="str">
        <f>VLOOKUP(G320,Store!A:H,2,FALSE)</f>
        <v>Baldwin Bikes</v>
      </c>
      <c r="N320" s="3" t="str">
        <f>VLOOKUP(G320,Store!A:H,6,FALSE)</f>
        <v>Baldwin</v>
      </c>
      <c r="O320" s="3" t="s">
        <v>16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>
        <v>320.0</v>
      </c>
      <c r="B321" s="1">
        <v>1428.0</v>
      </c>
      <c r="C321" s="1">
        <v>4.0</v>
      </c>
      <c r="D321" s="4">
        <v>42570.0</v>
      </c>
      <c r="E321" s="4">
        <v>42571.0</v>
      </c>
      <c r="F321" s="4">
        <v>42572.0</v>
      </c>
      <c r="G321" s="1">
        <v>1.0</v>
      </c>
      <c r="H321" s="1">
        <v>2.0</v>
      </c>
      <c r="I321" s="3" t="str">
        <f>VLOOKUP(B321,Customers!A:J, 10,FALSE)</f>
        <v>Carola Johns</v>
      </c>
      <c r="J321" s="3" t="str">
        <f>VLOOKUP(B321,Customers!A:J,8,FALSE)</f>
        <v>CA</v>
      </c>
      <c r="K321" s="3" t="str">
        <f>VLOOKUP(B321,Customers!A:J,7,FALSE)</f>
        <v>Santa Cruz</v>
      </c>
      <c r="L321" s="3" t="str">
        <f>VLOOKUP(H321,Staff!A:I,9,FALSE)</f>
        <v>Mireya Copeland</v>
      </c>
      <c r="M321" s="3" t="str">
        <f>VLOOKUP(G321,Store!A:H,2,FALSE)</f>
        <v>Santa Cruz Bikes</v>
      </c>
      <c r="N321" s="3" t="str">
        <f>VLOOKUP(G321,Store!A:H,6,FALSE)</f>
        <v>Santa Cruz</v>
      </c>
      <c r="O321" s="3" t="s">
        <v>15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>
        <v>321.0</v>
      </c>
      <c r="B322" s="1">
        <v>568.0</v>
      </c>
      <c r="C322" s="1">
        <v>4.0</v>
      </c>
      <c r="D322" s="4">
        <v>42570.0</v>
      </c>
      <c r="E322" s="4">
        <v>42573.0</v>
      </c>
      <c r="F322" s="4">
        <v>42572.0</v>
      </c>
      <c r="G322" s="1">
        <v>2.0</v>
      </c>
      <c r="H322" s="1">
        <v>6.0</v>
      </c>
      <c r="I322" s="3" t="str">
        <f>VLOOKUP(B322,Customers!A:J, 10,FALSE)</f>
        <v>Arcelia Vinson</v>
      </c>
      <c r="J322" s="3" t="str">
        <f>VLOOKUP(B322,Customers!A:J,8,FALSE)</f>
        <v>NY</v>
      </c>
      <c r="K322" s="3" t="str">
        <f>VLOOKUP(B322,Customers!A:J,7,FALSE)</f>
        <v>West Islip</v>
      </c>
      <c r="L322" s="3" t="str">
        <f>VLOOKUP(H322,Staff!A:I,9,FALSE)</f>
        <v>Marcelene Boyer</v>
      </c>
      <c r="M322" s="3" t="str">
        <f>VLOOKUP(G322,Store!A:H,2,FALSE)</f>
        <v>Baldwin Bikes</v>
      </c>
      <c r="N322" s="3" t="str">
        <f>VLOOKUP(G322,Store!A:H,6,FALSE)</f>
        <v>Baldwin</v>
      </c>
      <c r="O322" s="3" t="s">
        <v>16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>
        <v>322.0</v>
      </c>
      <c r="B323" s="1">
        <v>924.0</v>
      </c>
      <c r="C323" s="1">
        <v>4.0</v>
      </c>
      <c r="D323" s="4">
        <v>42570.0</v>
      </c>
      <c r="E323" s="4">
        <v>42573.0</v>
      </c>
      <c r="F323" s="4">
        <v>42571.0</v>
      </c>
      <c r="G323" s="1">
        <v>2.0</v>
      </c>
      <c r="H323" s="1">
        <v>6.0</v>
      </c>
      <c r="I323" s="3" t="str">
        <f>VLOOKUP(B323,Customers!A:J, 10,FALSE)</f>
        <v>Lea Irwin</v>
      </c>
      <c r="J323" s="3" t="str">
        <f>VLOOKUP(B323,Customers!A:J,8,FALSE)</f>
        <v>NY</v>
      </c>
      <c r="K323" s="3" t="str">
        <f>VLOOKUP(B323,Customers!A:J,7,FALSE)</f>
        <v>New Windsor</v>
      </c>
      <c r="L323" s="3" t="str">
        <f>VLOOKUP(H323,Staff!A:I,9,FALSE)</f>
        <v>Marcelene Boyer</v>
      </c>
      <c r="M323" s="3" t="str">
        <f>VLOOKUP(G323,Store!A:H,2,FALSE)</f>
        <v>Baldwin Bikes</v>
      </c>
      <c r="N323" s="3" t="str">
        <f>VLOOKUP(G323,Store!A:H,6,FALSE)</f>
        <v>Baldwin</v>
      </c>
      <c r="O323" s="3" t="s">
        <v>16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>
        <v>323.0</v>
      </c>
      <c r="B324" s="1">
        <v>1243.0</v>
      </c>
      <c r="C324" s="1">
        <v>4.0</v>
      </c>
      <c r="D324" s="4">
        <v>42570.0</v>
      </c>
      <c r="E324" s="4">
        <v>42573.0</v>
      </c>
      <c r="F324" s="4">
        <v>42572.0</v>
      </c>
      <c r="G324" s="1">
        <v>2.0</v>
      </c>
      <c r="H324" s="1">
        <v>6.0</v>
      </c>
      <c r="I324" s="3" t="str">
        <f>VLOOKUP(B324,Customers!A:J, 10,FALSE)</f>
        <v>Heide Reed</v>
      </c>
      <c r="J324" s="3" t="str">
        <f>VLOOKUP(B324,Customers!A:J,8,FALSE)</f>
        <v>NY</v>
      </c>
      <c r="K324" s="3" t="str">
        <f>VLOOKUP(B324,Customers!A:J,7,FALSE)</f>
        <v>Floral Park</v>
      </c>
      <c r="L324" s="3" t="str">
        <f>VLOOKUP(H324,Staff!A:I,9,FALSE)</f>
        <v>Marcelene Boyer</v>
      </c>
      <c r="M324" s="3" t="str">
        <f>VLOOKUP(G324,Store!A:H,2,FALSE)</f>
        <v>Baldwin Bikes</v>
      </c>
      <c r="N324" s="3" t="str">
        <f>VLOOKUP(G324,Store!A:H,6,FALSE)</f>
        <v>Baldwin</v>
      </c>
      <c r="O324" s="3" t="s">
        <v>16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>
        <v>324.0</v>
      </c>
      <c r="B325" s="1">
        <v>480.0</v>
      </c>
      <c r="C325" s="1">
        <v>4.0</v>
      </c>
      <c r="D325" s="4">
        <v>42571.0</v>
      </c>
      <c r="E325" s="4">
        <v>42573.0</v>
      </c>
      <c r="F325" s="4">
        <v>42574.0</v>
      </c>
      <c r="G325" s="1">
        <v>2.0</v>
      </c>
      <c r="H325" s="1">
        <v>6.0</v>
      </c>
      <c r="I325" s="3" t="str">
        <f>VLOOKUP(B325,Customers!A:J, 10,FALSE)</f>
        <v>Garland Weaver</v>
      </c>
      <c r="J325" s="3" t="str">
        <f>VLOOKUP(B325,Customers!A:J,8,FALSE)</f>
        <v>NY</v>
      </c>
      <c r="K325" s="3" t="str">
        <f>VLOOKUP(B325,Customers!A:J,7,FALSE)</f>
        <v>Amsterdam</v>
      </c>
      <c r="L325" s="3" t="str">
        <f>VLOOKUP(H325,Staff!A:I,9,FALSE)</f>
        <v>Marcelene Boyer</v>
      </c>
      <c r="M325" s="3" t="str">
        <f>VLOOKUP(G325,Store!A:H,2,FALSE)</f>
        <v>Baldwin Bikes</v>
      </c>
      <c r="N325" s="3" t="str">
        <f>VLOOKUP(G325,Store!A:H,6,FALSE)</f>
        <v>Baldwin</v>
      </c>
      <c r="O325" s="3" t="s">
        <v>16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>
        <v>325.0</v>
      </c>
      <c r="B326" s="1">
        <v>848.0</v>
      </c>
      <c r="C326" s="1">
        <v>4.0</v>
      </c>
      <c r="D326" s="4">
        <v>42571.0</v>
      </c>
      <c r="E326" s="4">
        <v>42572.0</v>
      </c>
      <c r="F326" s="4">
        <v>42572.0</v>
      </c>
      <c r="G326" s="1">
        <v>2.0</v>
      </c>
      <c r="H326" s="1">
        <v>6.0</v>
      </c>
      <c r="I326" s="3" t="str">
        <f>VLOOKUP(B326,Customers!A:J, 10,FALSE)</f>
        <v>Ernestina Skinner</v>
      </c>
      <c r="J326" s="3" t="str">
        <f>VLOOKUP(B326,Customers!A:J,8,FALSE)</f>
        <v>NY</v>
      </c>
      <c r="K326" s="3" t="str">
        <f>VLOOKUP(B326,Customers!A:J,7,FALSE)</f>
        <v>Elmhurst</v>
      </c>
      <c r="L326" s="3" t="str">
        <f>VLOOKUP(H326,Staff!A:I,9,FALSE)</f>
        <v>Marcelene Boyer</v>
      </c>
      <c r="M326" s="3" t="str">
        <f>VLOOKUP(G326,Store!A:H,2,FALSE)</f>
        <v>Baldwin Bikes</v>
      </c>
      <c r="N326" s="3" t="str">
        <f>VLOOKUP(G326,Store!A:H,6,FALSE)</f>
        <v>Baldwin</v>
      </c>
      <c r="O326" s="3" t="s">
        <v>16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>
        <v>326.0</v>
      </c>
      <c r="B327" s="1">
        <v>1337.0</v>
      </c>
      <c r="C327" s="1">
        <v>4.0</v>
      </c>
      <c r="D327" s="4">
        <v>42571.0</v>
      </c>
      <c r="E327" s="4">
        <v>42572.0</v>
      </c>
      <c r="F327" s="4">
        <v>42573.0</v>
      </c>
      <c r="G327" s="1">
        <v>3.0</v>
      </c>
      <c r="H327" s="1">
        <v>9.0</v>
      </c>
      <c r="I327" s="3" t="str">
        <f>VLOOKUP(B327,Customers!A:J, 10,FALSE)</f>
        <v>Bernetta Summers</v>
      </c>
      <c r="J327" s="3" t="str">
        <f>VLOOKUP(B327,Customers!A:J,8,FALSE)</f>
        <v>TX</v>
      </c>
      <c r="K327" s="3" t="str">
        <f>VLOOKUP(B327,Customers!A:J,7,FALSE)</f>
        <v>Longview</v>
      </c>
      <c r="L327" s="3" t="str">
        <f>VLOOKUP(H327,Staff!A:I,9,FALSE)</f>
        <v>Layla Terrell</v>
      </c>
      <c r="M327" s="3" t="str">
        <f>VLOOKUP(G327,Store!A:H,2,FALSE)</f>
        <v>Rowlett Bikes</v>
      </c>
      <c r="N327" s="3" t="str">
        <f>VLOOKUP(G327,Store!A:H,6,FALSE)</f>
        <v>Rowlett</v>
      </c>
      <c r="O327" s="3" t="s">
        <v>17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>
        <v>327.0</v>
      </c>
      <c r="B328" s="1">
        <v>83.0</v>
      </c>
      <c r="C328" s="1">
        <v>4.0</v>
      </c>
      <c r="D328" s="4">
        <v>42572.0</v>
      </c>
      <c r="E328" s="4">
        <v>42575.0</v>
      </c>
      <c r="F328" s="4">
        <v>42573.0</v>
      </c>
      <c r="G328" s="1">
        <v>2.0</v>
      </c>
      <c r="H328" s="1">
        <v>6.0</v>
      </c>
      <c r="I328" s="3" t="str">
        <f>VLOOKUP(B328,Customers!A:J, 10,FALSE)</f>
        <v>Tiesha Daniel</v>
      </c>
      <c r="J328" s="3" t="str">
        <f>VLOOKUP(B328,Customers!A:J,8,FALSE)</f>
        <v>NY</v>
      </c>
      <c r="K328" s="3" t="str">
        <f>VLOOKUP(B328,Customers!A:J,7,FALSE)</f>
        <v>Scarsdale</v>
      </c>
      <c r="L328" s="3" t="str">
        <f>VLOOKUP(H328,Staff!A:I,9,FALSE)</f>
        <v>Marcelene Boyer</v>
      </c>
      <c r="M328" s="3" t="str">
        <f>VLOOKUP(G328,Store!A:H,2,FALSE)</f>
        <v>Baldwin Bikes</v>
      </c>
      <c r="N328" s="3" t="str">
        <f>VLOOKUP(G328,Store!A:H,6,FALSE)</f>
        <v>Baldwin</v>
      </c>
      <c r="O328" s="3" t="s">
        <v>16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>
        <v>328.0</v>
      </c>
      <c r="B329" s="1">
        <v>528.0</v>
      </c>
      <c r="C329" s="1">
        <v>4.0</v>
      </c>
      <c r="D329" s="4">
        <v>42574.0</v>
      </c>
      <c r="E329" s="4">
        <v>42577.0</v>
      </c>
      <c r="F329" s="4">
        <v>42576.0</v>
      </c>
      <c r="G329" s="1">
        <v>2.0</v>
      </c>
      <c r="H329" s="1">
        <v>6.0</v>
      </c>
      <c r="I329" s="3" t="str">
        <f>VLOOKUP(B329,Customers!A:J, 10,FALSE)</f>
        <v>Angele Schroeder</v>
      </c>
      <c r="J329" s="3" t="str">
        <f>VLOOKUP(B329,Customers!A:J,8,FALSE)</f>
        <v>NY</v>
      </c>
      <c r="K329" s="3" t="str">
        <f>VLOOKUP(B329,Customers!A:J,7,FALSE)</f>
        <v>New City</v>
      </c>
      <c r="L329" s="3" t="str">
        <f>VLOOKUP(H329,Staff!A:I,9,FALSE)</f>
        <v>Marcelene Boyer</v>
      </c>
      <c r="M329" s="3" t="str">
        <f>VLOOKUP(G329,Store!A:H,2,FALSE)</f>
        <v>Baldwin Bikes</v>
      </c>
      <c r="N329" s="3" t="str">
        <f>VLOOKUP(G329,Store!A:H,6,FALSE)</f>
        <v>Baldwin</v>
      </c>
      <c r="O329" s="3" t="s">
        <v>16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>
        <v>329.0</v>
      </c>
      <c r="B330" s="1">
        <v>274.0</v>
      </c>
      <c r="C330" s="1">
        <v>4.0</v>
      </c>
      <c r="D330" s="4">
        <v>42575.0</v>
      </c>
      <c r="E330" s="4">
        <v>42578.0</v>
      </c>
      <c r="F330" s="4">
        <v>42577.0</v>
      </c>
      <c r="G330" s="1">
        <v>2.0</v>
      </c>
      <c r="H330" s="1">
        <v>6.0</v>
      </c>
      <c r="I330" s="3" t="str">
        <f>VLOOKUP(B330,Customers!A:J, 10,FALSE)</f>
        <v>Josh Shaw</v>
      </c>
      <c r="J330" s="3" t="str">
        <f>VLOOKUP(B330,Customers!A:J,8,FALSE)</f>
        <v>NY</v>
      </c>
      <c r="K330" s="3" t="str">
        <f>VLOOKUP(B330,Customers!A:J,7,FALSE)</f>
        <v>Hopewell Junction</v>
      </c>
      <c r="L330" s="3" t="str">
        <f>VLOOKUP(H330,Staff!A:I,9,FALSE)</f>
        <v>Marcelene Boyer</v>
      </c>
      <c r="M330" s="3" t="str">
        <f>VLOOKUP(G330,Store!A:H,2,FALSE)</f>
        <v>Baldwin Bikes</v>
      </c>
      <c r="N330" s="3" t="str">
        <f>VLOOKUP(G330,Store!A:H,6,FALSE)</f>
        <v>Baldwin</v>
      </c>
      <c r="O330" s="3" t="s">
        <v>16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>
        <v>330.0</v>
      </c>
      <c r="B331" s="1">
        <v>622.0</v>
      </c>
      <c r="C331" s="1">
        <v>4.0</v>
      </c>
      <c r="D331" s="4">
        <v>42575.0</v>
      </c>
      <c r="E331" s="4">
        <v>42578.0</v>
      </c>
      <c r="F331" s="4">
        <v>42578.0</v>
      </c>
      <c r="G331" s="1">
        <v>2.0</v>
      </c>
      <c r="H331" s="1">
        <v>6.0</v>
      </c>
      <c r="I331" s="3" t="str">
        <f>VLOOKUP(B331,Customers!A:J, 10,FALSE)</f>
        <v>Gabriel Pitts</v>
      </c>
      <c r="J331" s="3" t="str">
        <f>VLOOKUP(B331,Customers!A:J,8,FALSE)</f>
        <v>NY</v>
      </c>
      <c r="K331" s="3" t="str">
        <f>VLOOKUP(B331,Customers!A:J,7,FALSE)</f>
        <v>Clifton Park</v>
      </c>
      <c r="L331" s="3" t="str">
        <f>VLOOKUP(H331,Staff!A:I,9,FALSE)</f>
        <v>Marcelene Boyer</v>
      </c>
      <c r="M331" s="3" t="str">
        <f>VLOOKUP(G331,Store!A:H,2,FALSE)</f>
        <v>Baldwin Bikes</v>
      </c>
      <c r="N331" s="3" t="str">
        <f>VLOOKUP(G331,Store!A:H,6,FALSE)</f>
        <v>Baldwin</v>
      </c>
      <c r="O331" s="3" t="s">
        <v>16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>
        <v>331.0</v>
      </c>
      <c r="B332" s="1">
        <v>642.0</v>
      </c>
      <c r="C332" s="1">
        <v>4.0</v>
      </c>
      <c r="D332" s="4">
        <v>42575.0</v>
      </c>
      <c r="E332" s="4">
        <v>42577.0</v>
      </c>
      <c r="F332" s="4">
        <v>42576.0</v>
      </c>
      <c r="G332" s="1">
        <v>2.0</v>
      </c>
      <c r="H332" s="1">
        <v>6.0</v>
      </c>
      <c r="I332" s="3" t="str">
        <f>VLOOKUP(B332,Customers!A:J, 10,FALSE)</f>
        <v>Yang Roth</v>
      </c>
      <c r="J332" s="3" t="str">
        <f>VLOOKUP(B332,Customers!A:J,8,FALSE)</f>
        <v>NY</v>
      </c>
      <c r="K332" s="3" t="str">
        <f>VLOOKUP(B332,Customers!A:J,7,FALSE)</f>
        <v>Webster</v>
      </c>
      <c r="L332" s="3" t="str">
        <f>VLOOKUP(H332,Staff!A:I,9,FALSE)</f>
        <v>Marcelene Boyer</v>
      </c>
      <c r="M332" s="3" t="str">
        <f>VLOOKUP(G332,Store!A:H,2,FALSE)</f>
        <v>Baldwin Bikes</v>
      </c>
      <c r="N332" s="3" t="str">
        <f>VLOOKUP(G332,Store!A:H,6,FALSE)</f>
        <v>Baldwin</v>
      </c>
      <c r="O332" s="3" t="s">
        <v>16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>
        <v>332.0</v>
      </c>
      <c r="B333" s="1">
        <v>659.0</v>
      </c>
      <c r="C333" s="1">
        <v>4.0</v>
      </c>
      <c r="D333" s="4">
        <v>42575.0</v>
      </c>
      <c r="E333" s="4">
        <v>42577.0</v>
      </c>
      <c r="F333" s="4">
        <v>42577.0</v>
      </c>
      <c r="G333" s="1">
        <v>2.0</v>
      </c>
      <c r="H333" s="1">
        <v>7.0</v>
      </c>
      <c r="I333" s="3" t="str">
        <f>VLOOKUP(B333,Customers!A:J, 10,FALSE)</f>
        <v>Antonetta Rocha</v>
      </c>
      <c r="J333" s="3" t="str">
        <f>VLOOKUP(B333,Customers!A:J,8,FALSE)</f>
        <v>NY</v>
      </c>
      <c r="K333" s="3" t="str">
        <f>VLOOKUP(B333,Customers!A:J,7,FALSE)</f>
        <v>Port Chester</v>
      </c>
      <c r="L333" s="3" t="str">
        <f>VLOOKUP(H333,Staff!A:I,9,FALSE)</f>
        <v>Venita Daniel</v>
      </c>
      <c r="M333" s="3" t="str">
        <f>VLOOKUP(G333,Store!A:H,2,FALSE)</f>
        <v>Baldwin Bikes</v>
      </c>
      <c r="N333" s="3" t="str">
        <f>VLOOKUP(G333,Store!A:H,6,FALSE)</f>
        <v>Baldwin</v>
      </c>
      <c r="O333" s="3" t="s">
        <v>16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>
        <v>333.0</v>
      </c>
      <c r="B334" s="1">
        <v>779.0</v>
      </c>
      <c r="C334" s="1">
        <v>4.0</v>
      </c>
      <c r="D334" s="4">
        <v>42576.0</v>
      </c>
      <c r="E334" s="4">
        <v>42578.0</v>
      </c>
      <c r="F334" s="4">
        <v>42577.0</v>
      </c>
      <c r="G334" s="1">
        <v>2.0</v>
      </c>
      <c r="H334" s="1">
        <v>6.0</v>
      </c>
      <c r="I334" s="3" t="str">
        <f>VLOOKUP(B334,Customers!A:J, 10,FALSE)</f>
        <v>Major Merrill</v>
      </c>
      <c r="J334" s="3" t="str">
        <f>VLOOKUP(B334,Customers!A:J,8,FALSE)</f>
        <v>NY</v>
      </c>
      <c r="K334" s="3" t="str">
        <f>VLOOKUP(B334,Customers!A:J,7,FALSE)</f>
        <v>Astoria</v>
      </c>
      <c r="L334" s="3" t="str">
        <f>VLOOKUP(H334,Staff!A:I,9,FALSE)</f>
        <v>Marcelene Boyer</v>
      </c>
      <c r="M334" s="3" t="str">
        <f>VLOOKUP(G334,Store!A:H,2,FALSE)</f>
        <v>Baldwin Bikes</v>
      </c>
      <c r="N334" s="3" t="str">
        <f>VLOOKUP(G334,Store!A:H,6,FALSE)</f>
        <v>Baldwin</v>
      </c>
      <c r="O334" s="3" t="s">
        <v>16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>
        <v>334.0</v>
      </c>
      <c r="B335" s="1">
        <v>1112.0</v>
      </c>
      <c r="C335" s="1">
        <v>4.0</v>
      </c>
      <c r="D335" s="4">
        <v>42576.0</v>
      </c>
      <c r="E335" s="4">
        <v>42579.0</v>
      </c>
      <c r="F335" s="4">
        <v>42578.0</v>
      </c>
      <c r="G335" s="1">
        <v>2.0</v>
      </c>
      <c r="H335" s="1">
        <v>7.0</v>
      </c>
      <c r="I335" s="3" t="str">
        <f>VLOOKUP(B335,Customers!A:J, 10,FALSE)</f>
        <v>Hollis Rasmussen</v>
      </c>
      <c r="J335" s="3" t="str">
        <f>VLOOKUP(B335,Customers!A:J,8,FALSE)</f>
        <v>NY</v>
      </c>
      <c r="K335" s="3" t="str">
        <f>VLOOKUP(B335,Customers!A:J,7,FALSE)</f>
        <v>Massapequa</v>
      </c>
      <c r="L335" s="3" t="str">
        <f>VLOOKUP(H335,Staff!A:I,9,FALSE)</f>
        <v>Venita Daniel</v>
      </c>
      <c r="M335" s="3" t="str">
        <f>VLOOKUP(G335,Store!A:H,2,FALSE)</f>
        <v>Baldwin Bikes</v>
      </c>
      <c r="N335" s="3" t="str">
        <f>VLOOKUP(G335,Store!A:H,6,FALSE)</f>
        <v>Baldwin</v>
      </c>
      <c r="O335" s="3" t="s">
        <v>16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>
        <v>335.0</v>
      </c>
      <c r="B336" s="1">
        <v>1193.0</v>
      </c>
      <c r="C336" s="1">
        <v>4.0</v>
      </c>
      <c r="D336" s="4">
        <v>42576.0</v>
      </c>
      <c r="E336" s="4">
        <v>42578.0</v>
      </c>
      <c r="F336" s="4">
        <v>42577.0</v>
      </c>
      <c r="G336" s="1">
        <v>2.0</v>
      </c>
      <c r="H336" s="1">
        <v>6.0</v>
      </c>
      <c r="I336" s="3" t="str">
        <f>VLOOKUP(B336,Customers!A:J, 10,FALSE)</f>
        <v>Phebe Soto</v>
      </c>
      <c r="J336" s="3" t="str">
        <f>VLOOKUP(B336,Customers!A:J,8,FALSE)</f>
        <v>NY</v>
      </c>
      <c r="K336" s="3" t="str">
        <f>VLOOKUP(B336,Customers!A:J,7,FALSE)</f>
        <v>South Ozone Park</v>
      </c>
      <c r="L336" s="3" t="str">
        <f>VLOOKUP(H336,Staff!A:I,9,FALSE)</f>
        <v>Marcelene Boyer</v>
      </c>
      <c r="M336" s="3" t="str">
        <f>VLOOKUP(G336,Store!A:H,2,FALSE)</f>
        <v>Baldwin Bikes</v>
      </c>
      <c r="N336" s="3" t="str">
        <f>VLOOKUP(G336,Store!A:H,6,FALSE)</f>
        <v>Baldwin</v>
      </c>
      <c r="O336" s="3" t="s">
        <v>16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>
        <v>336.0</v>
      </c>
      <c r="B337" s="1">
        <v>1030.0</v>
      </c>
      <c r="C337" s="1">
        <v>4.0</v>
      </c>
      <c r="D337" s="4">
        <v>42577.0</v>
      </c>
      <c r="E337" s="4">
        <v>42580.0</v>
      </c>
      <c r="F337" s="4">
        <v>42578.0</v>
      </c>
      <c r="G337" s="1">
        <v>2.0</v>
      </c>
      <c r="H337" s="1">
        <v>7.0</v>
      </c>
      <c r="I337" s="3" t="str">
        <f>VLOOKUP(B337,Customers!A:J, 10,FALSE)</f>
        <v>Saran Moses</v>
      </c>
      <c r="J337" s="3" t="str">
        <f>VLOOKUP(B337,Customers!A:J,8,FALSE)</f>
        <v>NY</v>
      </c>
      <c r="K337" s="3" t="str">
        <f>VLOOKUP(B337,Customers!A:J,7,FALSE)</f>
        <v>Brooklyn</v>
      </c>
      <c r="L337" s="3" t="str">
        <f>VLOOKUP(H337,Staff!A:I,9,FALSE)</f>
        <v>Venita Daniel</v>
      </c>
      <c r="M337" s="3" t="str">
        <f>VLOOKUP(G337,Store!A:H,2,FALSE)</f>
        <v>Baldwin Bikes</v>
      </c>
      <c r="N337" s="3" t="str">
        <f>VLOOKUP(G337,Store!A:H,6,FALSE)</f>
        <v>Baldwin</v>
      </c>
      <c r="O337" s="3" t="s">
        <v>16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>
        <v>337.0</v>
      </c>
      <c r="B338" s="1">
        <v>1252.0</v>
      </c>
      <c r="C338" s="1">
        <v>4.0</v>
      </c>
      <c r="D338" s="4">
        <v>42577.0</v>
      </c>
      <c r="E338" s="4">
        <v>42578.0</v>
      </c>
      <c r="F338" s="4">
        <v>42579.0</v>
      </c>
      <c r="G338" s="1">
        <v>2.0</v>
      </c>
      <c r="H338" s="1">
        <v>7.0</v>
      </c>
      <c r="I338" s="3" t="str">
        <f>VLOOKUP(B338,Customers!A:J, 10,FALSE)</f>
        <v>Adriene Rollins</v>
      </c>
      <c r="J338" s="3" t="str">
        <f>VLOOKUP(B338,Customers!A:J,8,FALSE)</f>
        <v>NY</v>
      </c>
      <c r="K338" s="3" t="str">
        <f>VLOOKUP(B338,Customers!A:J,7,FALSE)</f>
        <v>Plainview</v>
      </c>
      <c r="L338" s="3" t="str">
        <f>VLOOKUP(H338,Staff!A:I,9,FALSE)</f>
        <v>Venita Daniel</v>
      </c>
      <c r="M338" s="3" t="str">
        <f>VLOOKUP(G338,Store!A:H,2,FALSE)</f>
        <v>Baldwin Bikes</v>
      </c>
      <c r="N338" s="3" t="str">
        <f>VLOOKUP(G338,Store!A:H,6,FALSE)</f>
        <v>Baldwin</v>
      </c>
      <c r="O338" s="3" t="s">
        <v>16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>
        <v>338.0</v>
      </c>
      <c r="B339" s="1">
        <v>1333.0</v>
      </c>
      <c r="C339" s="1">
        <v>4.0</v>
      </c>
      <c r="D339" s="4">
        <v>42579.0</v>
      </c>
      <c r="E339" s="4">
        <v>42580.0</v>
      </c>
      <c r="F339" s="4">
        <v>42581.0</v>
      </c>
      <c r="G339" s="1">
        <v>1.0</v>
      </c>
      <c r="H339" s="1">
        <v>3.0</v>
      </c>
      <c r="I339" s="3" t="str">
        <f>VLOOKUP(B339,Customers!A:J, 10,FALSE)</f>
        <v>Omega Huff</v>
      </c>
      <c r="J339" s="3" t="str">
        <f>VLOOKUP(B339,Customers!A:J,8,FALSE)</f>
        <v>CA</v>
      </c>
      <c r="K339" s="3" t="str">
        <f>VLOOKUP(B339,Customers!A:J,7,FALSE)</f>
        <v>Santa Monica</v>
      </c>
      <c r="L339" s="3" t="str">
        <f>VLOOKUP(H339,Staff!A:I,9,FALSE)</f>
        <v>Genna Serrano</v>
      </c>
      <c r="M339" s="3" t="str">
        <f>VLOOKUP(G339,Store!A:H,2,FALSE)</f>
        <v>Santa Cruz Bikes</v>
      </c>
      <c r="N339" s="3" t="str">
        <f>VLOOKUP(G339,Store!A:H,6,FALSE)</f>
        <v>Santa Cruz</v>
      </c>
      <c r="O339" s="3" t="s">
        <v>15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>
        <v>339.0</v>
      </c>
      <c r="B340" s="1">
        <v>1110.0</v>
      </c>
      <c r="C340" s="1">
        <v>4.0</v>
      </c>
      <c r="D340" s="4">
        <v>42579.0</v>
      </c>
      <c r="E340" s="4">
        <v>42582.0</v>
      </c>
      <c r="F340" s="4">
        <v>42580.0</v>
      </c>
      <c r="G340" s="1">
        <v>2.0</v>
      </c>
      <c r="H340" s="1">
        <v>7.0</v>
      </c>
      <c r="I340" s="3" t="str">
        <f>VLOOKUP(B340,Customers!A:J, 10,FALSE)</f>
        <v>Shirely Cantrell</v>
      </c>
      <c r="J340" s="3" t="str">
        <f>VLOOKUP(B340,Customers!A:J,8,FALSE)</f>
        <v>NY</v>
      </c>
      <c r="K340" s="3" t="str">
        <f>VLOOKUP(B340,Customers!A:J,7,FALSE)</f>
        <v>West Hempstead</v>
      </c>
      <c r="L340" s="3" t="str">
        <f>VLOOKUP(H340,Staff!A:I,9,FALSE)</f>
        <v>Venita Daniel</v>
      </c>
      <c r="M340" s="3" t="str">
        <f>VLOOKUP(G340,Store!A:H,2,FALSE)</f>
        <v>Baldwin Bikes</v>
      </c>
      <c r="N340" s="3" t="str">
        <f>VLOOKUP(G340,Store!A:H,6,FALSE)</f>
        <v>Baldwin</v>
      </c>
      <c r="O340" s="3" t="s">
        <v>16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>
        <v>340.0</v>
      </c>
      <c r="B341" s="1">
        <v>963.0</v>
      </c>
      <c r="C341" s="1">
        <v>4.0</v>
      </c>
      <c r="D341" s="4">
        <v>42580.0</v>
      </c>
      <c r="E341" s="4">
        <v>42581.0</v>
      </c>
      <c r="F341" s="4">
        <v>42582.0</v>
      </c>
      <c r="G341" s="1">
        <v>2.0</v>
      </c>
      <c r="H341" s="1">
        <v>7.0</v>
      </c>
      <c r="I341" s="3" t="str">
        <f>VLOOKUP(B341,Customers!A:J, 10,FALSE)</f>
        <v>Anisha Lang</v>
      </c>
      <c r="J341" s="3" t="str">
        <f>VLOOKUP(B341,Customers!A:J,8,FALSE)</f>
        <v>NY</v>
      </c>
      <c r="K341" s="3" t="str">
        <f>VLOOKUP(B341,Customers!A:J,7,FALSE)</f>
        <v>Rome</v>
      </c>
      <c r="L341" s="3" t="str">
        <f>VLOOKUP(H341,Staff!A:I,9,FALSE)</f>
        <v>Venita Daniel</v>
      </c>
      <c r="M341" s="3" t="str">
        <f>VLOOKUP(G341,Store!A:H,2,FALSE)</f>
        <v>Baldwin Bikes</v>
      </c>
      <c r="N341" s="3" t="str">
        <f>VLOOKUP(G341,Store!A:H,6,FALSE)</f>
        <v>Baldwin</v>
      </c>
      <c r="O341" s="3" t="s">
        <v>16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>
        <v>341.0</v>
      </c>
      <c r="B342" s="1">
        <v>1357.0</v>
      </c>
      <c r="C342" s="1">
        <v>4.0</v>
      </c>
      <c r="D342" s="4">
        <v>42582.0</v>
      </c>
      <c r="E342" s="4">
        <v>42585.0</v>
      </c>
      <c r="F342" s="4">
        <v>42583.0</v>
      </c>
      <c r="G342" s="1">
        <v>1.0</v>
      </c>
      <c r="H342" s="1">
        <v>3.0</v>
      </c>
      <c r="I342" s="3" t="str">
        <f>VLOOKUP(B342,Customers!A:J, 10,FALSE)</f>
        <v>Karren Lamb</v>
      </c>
      <c r="J342" s="3" t="str">
        <f>VLOOKUP(B342,Customers!A:J,8,FALSE)</f>
        <v>CA</v>
      </c>
      <c r="K342" s="3" t="str">
        <f>VLOOKUP(B342,Customers!A:J,7,FALSE)</f>
        <v>Fresno</v>
      </c>
      <c r="L342" s="3" t="str">
        <f>VLOOKUP(H342,Staff!A:I,9,FALSE)</f>
        <v>Genna Serrano</v>
      </c>
      <c r="M342" s="3" t="str">
        <f>VLOOKUP(G342,Store!A:H,2,FALSE)</f>
        <v>Santa Cruz Bikes</v>
      </c>
      <c r="N342" s="3" t="str">
        <f>VLOOKUP(G342,Store!A:H,6,FALSE)</f>
        <v>Santa Cruz</v>
      </c>
      <c r="O342" s="3" t="s">
        <v>15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>
        <v>342.0</v>
      </c>
      <c r="B343" s="1">
        <v>806.0</v>
      </c>
      <c r="C343" s="1">
        <v>4.0</v>
      </c>
      <c r="D343" s="4">
        <v>42582.0</v>
      </c>
      <c r="E343" s="4">
        <v>42583.0</v>
      </c>
      <c r="F343" s="4">
        <v>42585.0</v>
      </c>
      <c r="G343" s="1">
        <v>2.0</v>
      </c>
      <c r="H343" s="1">
        <v>7.0</v>
      </c>
      <c r="I343" s="3" t="str">
        <f>VLOOKUP(B343,Customers!A:J, 10,FALSE)</f>
        <v>Reyes Merritt</v>
      </c>
      <c r="J343" s="3" t="str">
        <f>VLOOKUP(B343,Customers!A:J,8,FALSE)</f>
        <v>NY</v>
      </c>
      <c r="K343" s="3" t="str">
        <f>VLOOKUP(B343,Customers!A:J,7,FALSE)</f>
        <v>Staten Island</v>
      </c>
      <c r="L343" s="3" t="str">
        <f>VLOOKUP(H343,Staff!A:I,9,FALSE)</f>
        <v>Venita Daniel</v>
      </c>
      <c r="M343" s="3" t="str">
        <f>VLOOKUP(G343,Store!A:H,2,FALSE)</f>
        <v>Baldwin Bikes</v>
      </c>
      <c r="N343" s="3" t="str">
        <f>VLOOKUP(G343,Store!A:H,6,FALSE)</f>
        <v>Baldwin</v>
      </c>
      <c r="O343" s="3" t="s">
        <v>16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>
        <v>343.0</v>
      </c>
      <c r="B344" s="1">
        <v>961.0</v>
      </c>
      <c r="C344" s="1">
        <v>4.0</v>
      </c>
      <c r="D344" s="4">
        <v>42582.0</v>
      </c>
      <c r="E344" s="4">
        <v>42584.0</v>
      </c>
      <c r="F344" s="4">
        <v>42583.0</v>
      </c>
      <c r="G344" s="1">
        <v>2.0</v>
      </c>
      <c r="H344" s="1">
        <v>7.0</v>
      </c>
      <c r="I344" s="3" t="str">
        <f>VLOOKUP(B344,Customers!A:J, 10,FALSE)</f>
        <v>Iva Wilcox</v>
      </c>
      <c r="J344" s="3" t="str">
        <f>VLOOKUP(B344,Customers!A:J,8,FALSE)</f>
        <v>NY</v>
      </c>
      <c r="K344" s="3" t="str">
        <f>VLOOKUP(B344,Customers!A:J,7,FALSE)</f>
        <v>Kingston</v>
      </c>
      <c r="L344" s="3" t="str">
        <f>VLOOKUP(H344,Staff!A:I,9,FALSE)</f>
        <v>Venita Daniel</v>
      </c>
      <c r="M344" s="3" t="str">
        <f>VLOOKUP(G344,Store!A:H,2,FALSE)</f>
        <v>Baldwin Bikes</v>
      </c>
      <c r="N344" s="3" t="str">
        <f>VLOOKUP(G344,Store!A:H,6,FALSE)</f>
        <v>Baldwin</v>
      </c>
      <c r="O344" s="3" t="s">
        <v>16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>
        <v>344.0</v>
      </c>
      <c r="B345" s="1">
        <v>750.0</v>
      </c>
      <c r="C345" s="1">
        <v>4.0</v>
      </c>
      <c r="D345" s="4">
        <v>42583.0</v>
      </c>
      <c r="E345" s="4">
        <v>42585.0</v>
      </c>
      <c r="F345" s="4">
        <v>42584.0</v>
      </c>
      <c r="G345" s="1">
        <v>2.0</v>
      </c>
      <c r="H345" s="1">
        <v>6.0</v>
      </c>
      <c r="I345" s="3" t="str">
        <f>VLOOKUP(B345,Customers!A:J, 10,FALSE)</f>
        <v>Romaine Salazar</v>
      </c>
      <c r="J345" s="3" t="str">
        <f>VLOOKUP(B345,Customers!A:J,8,FALSE)</f>
        <v>NY</v>
      </c>
      <c r="K345" s="3" t="str">
        <f>VLOOKUP(B345,Customers!A:J,7,FALSE)</f>
        <v>Monsey</v>
      </c>
      <c r="L345" s="3" t="str">
        <f>VLOOKUP(H345,Staff!A:I,9,FALSE)</f>
        <v>Marcelene Boyer</v>
      </c>
      <c r="M345" s="3" t="str">
        <f>VLOOKUP(G345,Store!A:H,2,FALSE)</f>
        <v>Baldwin Bikes</v>
      </c>
      <c r="N345" s="3" t="str">
        <f>VLOOKUP(G345,Store!A:H,6,FALSE)</f>
        <v>Baldwin</v>
      </c>
      <c r="O345" s="3" t="s">
        <v>16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>
        <v>345.0</v>
      </c>
      <c r="B346" s="1">
        <v>1299.0</v>
      </c>
      <c r="C346" s="1">
        <v>4.0</v>
      </c>
      <c r="D346" s="4">
        <v>42583.0</v>
      </c>
      <c r="E346" s="4">
        <v>42586.0</v>
      </c>
      <c r="F346" s="4">
        <v>42585.0</v>
      </c>
      <c r="G346" s="1">
        <v>2.0</v>
      </c>
      <c r="H346" s="1">
        <v>6.0</v>
      </c>
      <c r="I346" s="3" t="str">
        <f>VLOOKUP(B346,Customers!A:J, 10,FALSE)</f>
        <v>Shauna Edwards</v>
      </c>
      <c r="J346" s="3" t="str">
        <f>VLOOKUP(B346,Customers!A:J,8,FALSE)</f>
        <v>NY</v>
      </c>
      <c r="K346" s="3" t="str">
        <f>VLOOKUP(B346,Customers!A:J,7,FALSE)</f>
        <v>Yorktown Heights</v>
      </c>
      <c r="L346" s="3" t="str">
        <f>VLOOKUP(H346,Staff!A:I,9,FALSE)</f>
        <v>Marcelene Boyer</v>
      </c>
      <c r="M346" s="3" t="str">
        <f>VLOOKUP(G346,Store!A:H,2,FALSE)</f>
        <v>Baldwin Bikes</v>
      </c>
      <c r="N346" s="3" t="str">
        <f>VLOOKUP(G346,Store!A:H,6,FALSE)</f>
        <v>Baldwin</v>
      </c>
      <c r="O346" s="3" t="s">
        <v>16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>
        <v>346.0</v>
      </c>
      <c r="B347" s="1">
        <v>584.0</v>
      </c>
      <c r="C347" s="1">
        <v>4.0</v>
      </c>
      <c r="D347" s="4">
        <v>42583.0</v>
      </c>
      <c r="E347" s="4">
        <v>42585.0</v>
      </c>
      <c r="F347" s="4">
        <v>42584.0</v>
      </c>
      <c r="G347" s="1">
        <v>3.0</v>
      </c>
      <c r="H347" s="1">
        <v>9.0</v>
      </c>
      <c r="I347" s="3" t="str">
        <f>VLOOKUP(B347,Customers!A:J, 10,FALSE)</f>
        <v>Lynne Anderson</v>
      </c>
      <c r="J347" s="3" t="str">
        <f>VLOOKUP(B347,Customers!A:J,8,FALSE)</f>
        <v>TX</v>
      </c>
      <c r="K347" s="3" t="str">
        <f>VLOOKUP(B347,Customers!A:J,7,FALSE)</f>
        <v>El Paso</v>
      </c>
      <c r="L347" s="3" t="str">
        <f>VLOOKUP(H347,Staff!A:I,9,FALSE)</f>
        <v>Layla Terrell</v>
      </c>
      <c r="M347" s="3" t="str">
        <f>VLOOKUP(G347,Store!A:H,2,FALSE)</f>
        <v>Rowlett Bikes</v>
      </c>
      <c r="N347" s="3" t="str">
        <f>VLOOKUP(G347,Store!A:H,6,FALSE)</f>
        <v>Rowlett</v>
      </c>
      <c r="O347" s="3" t="s">
        <v>17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>
        <v>347.0</v>
      </c>
      <c r="B348" s="1">
        <v>1004.0</v>
      </c>
      <c r="C348" s="1">
        <v>4.0</v>
      </c>
      <c r="D348" s="4">
        <v>42584.0</v>
      </c>
      <c r="E348" s="4">
        <v>42585.0</v>
      </c>
      <c r="F348" s="4">
        <v>42587.0</v>
      </c>
      <c r="G348" s="1">
        <v>2.0</v>
      </c>
      <c r="H348" s="1">
        <v>6.0</v>
      </c>
      <c r="I348" s="3" t="str">
        <f>VLOOKUP(B348,Customers!A:J, 10,FALSE)</f>
        <v>Jerald Blackwell</v>
      </c>
      <c r="J348" s="3" t="str">
        <f>VLOOKUP(B348,Customers!A:J,8,FALSE)</f>
        <v>NY</v>
      </c>
      <c r="K348" s="3" t="str">
        <f>VLOOKUP(B348,Customers!A:J,7,FALSE)</f>
        <v>East Elmhurst</v>
      </c>
      <c r="L348" s="3" t="str">
        <f>VLOOKUP(H348,Staff!A:I,9,FALSE)</f>
        <v>Marcelene Boyer</v>
      </c>
      <c r="M348" s="3" t="str">
        <f>VLOOKUP(G348,Store!A:H,2,FALSE)</f>
        <v>Baldwin Bikes</v>
      </c>
      <c r="N348" s="3" t="str">
        <f>VLOOKUP(G348,Store!A:H,6,FALSE)</f>
        <v>Baldwin</v>
      </c>
      <c r="O348" s="3" t="s">
        <v>16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>
        <v>348.0</v>
      </c>
      <c r="B349" s="1">
        <v>907.0</v>
      </c>
      <c r="C349" s="1">
        <v>4.0</v>
      </c>
      <c r="D349" s="4">
        <v>42584.0</v>
      </c>
      <c r="E349" s="4">
        <v>42587.0</v>
      </c>
      <c r="F349" s="4">
        <v>42586.0</v>
      </c>
      <c r="G349" s="1">
        <v>3.0</v>
      </c>
      <c r="H349" s="1">
        <v>9.0</v>
      </c>
      <c r="I349" s="3" t="str">
        <f>VLOOKUP(B349,Customers!A:J, 10,FALSE)</f>
        <v>Daina Sampson</v>
      </c>
      <c r="J349" s="3" t="str">
        <f>VLOOKUP(B349,Customers!A:J,8,FALSE)</f>
        <v>TX</v>
      </c>
      <c r="K349" s="3" t="str">
        <f>VLOOKUP(B349,Customers!A:J,7,FALSE)</f>
        <v>Longview</v>
      </c>
      <c r="L349" s="3" t="str">
        <f>VLOOKUP(H349,Staff!A:I,9,FALSE)</f>
        <v>Layla Terrell</v>
      </c>
      <c r="M349" s="3" t="str">
        <f>VLOOKUP(G349,Store!A:H,2,FALSE)</f>
        <v>Rowlett Bikes</v>
      </c>
      <c r="N349" s="3" t="str">
        <f>VLOOKUP(G349,Store!A:H,6,FALSE)</f>
        <v>Rowlett</v>
      </c>
      <c r="O349" s="3" t="s">
        <v>17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>
        <v>349.0</v>
      </c>
      <c r="B350" s="1">
        <v>30.0</v>
      </c>
      <c r="C350" s="1">
        <v>3.0</v>
      </c>
      <c r="D350" s="4">
        <v>42585.0</v>
      </c>
      <c r="E350" s="4">
        <v>42585.0</v>
      </c>
      <c r="F350" s="1" t="s">
        <v>18</v>
      </c>
      <c r="G350" s="1">
        <v>1.0</v>
      </c>
      <c r="H350" s="1">
        <v>3.0</v>
      </c>
      <c r="I350" s="3" t="str">
        <f>VLOOKUP(B350,Customers!A:J, 10,FALSE)</f>
        <v>Jamaal Albert</v>
      </c>
      <c r="J350" s="3" t="str">
        <f>VLOOKUP(B350,Customers!A:J,8,FALSE)</f>
        <v>CA</v>
      </c>
      <c r="K350" s="3" t="str">
        <f>VLOOKUP(B350,Customers!A:J,7,FALSE)</f>
        <v>Torrance</v>
      </c>
      <c r="L350" s="3" t="str">
        <f>VLOOKUP(H350,Staff!A:I,9,FALSE)</f>
        <v>Genna Serrano</v>
      </c>
      <c r="M350" s="3" t="str">
        <f>VLOOKUP(G350,Store!A:H,2,FALSE)</f>
        <v>Santa Cruz Bikes</v>
      </c>
      <c r="N350" s="3" t="str">
        <f>VLOOKUP(G350,Store!A:H,6,FALSE)</f>
        <v>Santa Cruz</v>
      </c>
      <c r="O350" s="3" t="s">
        <v>15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>
        <v>350.0</v>
      </c>
      <c r="B351" s="1">
        <v>31.0</v>
      </c>
      <c r="C351" s="1">
        <v>3.0</v>
      </c>
      <c r="D351" s="4">
        <v>42585.0</v>
      </c>
      <c r="E351" s="4">
        <v>42585.0</v>
      </c>
      <c r="F351" s="1" t="s">
        <v>18</v>
      </c>
      <c r="G351" s="1">
        <v>1.0</v>
      </c>
      <c r="H351" s="1">
        <v>3.0</v>
      </c>
      <c r="I351" s="3" t="str">
        <f>VLOOKUP(B351,Customers!A:J, 10,FALSE)</f>
        <v>Williemae Holloway</v>
      </c>
      <c r="J351" s="3" t="str">
        <f>VLOOKUP(B351,Customers!A:J,8,FALSE)</f>
        <v>CA</v>
      </c>
      <c r="K351" s="3" t="str">
        <f>VLOOKUP(B351,Customers!A:J,7,FALSE)</f>
        <v>Oakland</v>
      </c>
      <c r="L351" s="3" t="str">
        <f>VLOOKUP(H351,Staff!A:I,9,FALSE)</f>
        <v>Genna Serrano</v>
      </c>
      <c r="M351" s="3" t="str">
        <f>VLOOKUP(G351,Store!A:H,2,FALSE)</f>
        <v>Santa Cruz Bikes</v>
      </c>
      <c r="N351" s="3" t="str">
        <f>VLOOKUP(G351,Store!A:H,6,FALSE)</f>
        <v>Santa Cruz</v>
      </c>
      <c r="O351" s="3" t="s">
        <v>15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>
        <v>351.0</v>
      </c>
      <c r="B352" s="1">
        <v>1307.0</v>
      </c>
      <c r="C352" s="1">
        <v>4.0</v>
      </c>
      <c r="D352" s="4">
        <v>42585.0</v>
      </c>
      <c r="E352" s="4">
        <v>42588.0</v>
      </c>
      <c r="F352" s="4">
        <v>42586.0</v>
      </c>
      <c r="G352" s="1">
        <v>1.0</v>
      </c>
      <c r="H352" s="1">
        <v>2.0</v>
      </c>
      <c r="I352" s="3" t="str">
        <f>VLOOKUP(B352,Customers!A:J, 10,FALSE)</f>
        <v>Cinda Rocha</v>
      </c>
      <c r="J352" s="3" t="str">
        <f>VLOOKUP(B352,Customers!A:J,8,FALSE)</f>
        <v>CA</v>
      </c>
      <c r="K352" s="3" t="str">
        <f>VLOOKUP(B352,Customers!A:J,7,FALSE)</f>
        <v>Los Banos</v>
      </c>
      <c r="L352" s="3" t="str">
        <f>VLOOKUP(H352,Staff!A:I,9,FALSE)</f>
        <v>Mireya Copeland</v>
      </c>
      <c r="M352" s="3" t="str">
        <f>VLOOKUP(G352,Store!A:H,2,FALSE)</f>
        <v>Santa Cruz Bikes</v>
      </c>
      <c r="N352" s="3" t="str">
        <f>VLOOKUP(G352,Store!A:H,6,FALSE)</f>
        <v>Santa Cruz</v>
      </c>
      <c r="O352" s="3" t="s">
        <v>15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>
        <v>352.0</v>
      </c>
      <c r="B353" s="1">
        <v>16.0</v>
      </c>
      <c r="C353" s="1">
        <v>4.0</v>
      </c>
      <c r="D353" s="4">
        <v>42585.0</v>
      </c>
      <c r="E353" s="4">
        <v>42586.0</v>
      </c>
      <c r="F353" s="4">
        <v>42588.0</v>
      </c>
      <c r="G353" s="1">
        <v>2.0</v>
      </c>
      <c r="H353" s="1">
        <v>7.0</v>
      </c>
      <c r="I353" s="3" t="str">
        <f>VLOOKUP(B353,Customers!A:J, 10,FALSE)</f>
        <v>Emmitt Sanchez</v>
      </c>
      <c r="J353" s="3" t="str">
        <f>VLOOKUP(B353,Customers!A:J,8,FALSE)</f>
        <v>NY</v>
      </c>
      <c r="K353" s="3" t="str">
        <f>VLOOKUP(B353,Customers!A:J,7,FALSE)</f>
        <v>New York</v>
      </c>
      <c r="L353" s="3" t="str">
        <f>VLOOKUP(H353,Staff!A:I,9,FALSE)</f>
        <v>Venita Daniel</v>
      </c>
      <c r="M353" s="3" t="str">
        <f>VLOOKUP(G353,Store!A:H,2,FALSE)</f>
        <v>Baldwin Bikes</v>
      </c>
      <c r="N353" s="3" t="str">
        <f>VLOOKUP(G353,Store!A:H,6,FALSE)</f>
        <v>Baldwin</v>
      </c>
      <c r="O353" s="3" t="s">
        <v>16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>
        <v>353.0</v>
      </c>
      <c r="B354" s="1">
        <v>1387.0</v>
      </c>
      <c r="C354" s="1">
        <v>4.0</v>
      </c>
      <c r="D354" s="4">
        <v>42585.0</v>
      </c>
      <c r="E354" s="4">
        <v>42588.0</v>
      </c>
      <c r="F354" s="4">
        <v>42588.0</v>
      </c>
      <c r="G354" s="1">
        <v>2.0</v>
      </c>
      <c r="H354" s="1">
        <v>7.0</v>
      </c>
      <c r="I354" s="3" t="str">
        <f>VLOOKUP(B354,Customers!A:J, 10,FALSE)</f>
        <v>Phylicia Stout</v>
      </c>
      <c r="J354" s="3" t="str">
        <f>VLOOKUP(B354,Customers!A:J,8,FALSE)</f>
        <v>NY</v>
      </c>
      <c r="K354" s="3" t="str">
        <f>VLOOKUP(B354,Customers!A:J,7,FALSE)</f>
        <v>Canandaigua</v>
      </c>
      <c r="L354" s="3" t="str">
        <f>VLOOKUP(H354,Staff!A:I,9,FALSE)</f>
        <v>Venita Daniel</v>
      </c>
      <c r="M354" s="3" t="str">
        <f>VLOOKUP(G354,Store!A:H,2,FALSE)</f>
        <v>Baldwin Bikes</v>
      </c>
      <c r="N354" s="3" t="str">
        <f>VLOOKUP(G354,Store!A:H,6,FALSE)</f>
        <v>Baldwin</v>
      </c>
      <c r="O354" s="3" t="s">
        <v>16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>
        <v>354.0</v>
      </c>
      <c r="B355" s="1">
        <v>551.0</v>
      </c>
      <c r="C355" s="1">
        <v>4.0</v>
      </c>
      <c r="D355" s="4">
        <v>42585.0</v>
      </c>
      <c r="E355" s="4">
        <v>42587.0</v>
      </c>
      <c r="F355" s="4">
        <v>42588.0</v>
      </c>
      <c r="G355" s="1">
        <v>3.0</v>
      </c>
      <c r="H355" s="1">
        <v>8.0</v>
      </c>
      <c r="I355" s="3" t="str">
        <f>VLOOKUP(B355,Customers!A:J, 10,FALSE)</f>
        <v>Jenine Crane</v>
      </c>
      <c r="J355" s="3" t="str">
        <f>VLOOKUP(B355,Customers!A:J,8,FALSE)</f>
        <v>TX</v>
      </c>
      <c r="K355" s="3" t="str">
        <f>VLOOKUP(B355,Customers!A:J,7,FALSE)</f>
        <v>Fort Worth</v>
      </c>
      <c r="L355" s="3" t="str">
        <f>VLOOKUP(H355,Staff!A:I,9,FALSE)</f>
        <v>Kali Vargas</v>
      </c>
      <c r="M355" s="3" t="str">
        <f>VLOOKUP(G355,Store!A:H,2,FALSE)</f>
        <v>Rowlett Bikes</v>
      </c>
      <c r="N355" s="3" t="str">
        <f>VLOOKUP(G355,Store!A:H,6,FALSE)</f>
        <v>Rowlett</v>
      </c>
      <c r="O355" s="3" t="s">
        <v>17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>
        <v>355.0</v>
      </c>
      <c r="B356" s="1">
        <v>1011.0</v>
      </c>
      <c r="C356" s="1">
        <v>4.0</v>
      </c>
      <c r="D356" s="4">
        <v>42585.0</v>
      </c>
      <c r="E356" s="4">
        <v>42587.0</v>
      </c>
      <c r="F356" s="4">
        <v>42587.0</v>
      </c>
      <c r="G356" s="1">
        <v>3.0</v>
      </c>
      <c r="H356" s="1">
        <v>8.0</v>
      </c>
      <c r="I356" s="3" t="str">
        <f>VLOOKUP(B356,Customers!A:J, 10,FALSE)</f>
        <v>Sebrina Gross</v>
      </c>
      <c r="J356" s="3" t="str">
        <f>VLOOKUP(B356,Customers!A:J,8,FALSE)</f>
        <v>TX</v>
      </c>
      <c r="K356" s="3" t="str">
        <f>VLOOKUP(B356,Customers!A:J,7,FALSE)</f>
        <v>Garland</v>
      </c>
      <c r="L356" s="3" t="str">
        <f>VLOOKUP(H356,Staff!A:I,9,FALSE)</f>
        <v>Kali Vargas</v>
      </c>
      <c r="M356" s="3" t="str">
        <f>VLOOKUP(G356,Store!A:H,2,FALSE)</f>
        <v>Rowlett Bikes</v>
      </c>
      <c r="N356" s="3" t="str">
        <f>VLOOKUP(G356,Store!A:H,6,FALSE)</f>
        <v>Rowlett</v>
      </c>
      <c r="O356" s="3" t="s">
        <v>17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>
        <v>356.0</v>
      </c>
      <c r="B357" s="1">
        <v>1189.0</v>
      </c>
      <c r="C357" s="1">
        <v>4.0</v>
      </c>
      <c r="D357" s="4">
        <v>42586.0</v>
      </c>
      <c r="E357" s="4">
        <v>42589.0</v>
      </c>
      <c r="F357" s="4">
        <v>42588.0</v>
      </c>
      <c r="G357" s="1">
        <v>2.0</v>
      </c>
      <c r="H357" s="1">
        <v>6.0</v>
      </c>
      <c r="I357" s="3" t="str">
        <f>VLOOKUP(B357,Customers!A:J, 10,FALSE)</f>
        <v>Sheila Goodman</v>
      </c>
      <c r="J357" s="3" t="str">
        <f>VLOOKUP(B357,Customers!A:J,8,FALSE)</f>
        <v>NY</v>
      </c>
      <c r="K357" s="3" t="str">
        <f>VLOOKUP(B357,Customers!A:J,7,FALSE)</f>
        <v>Uniondale</v>
      </c>
      <c r="L357" s="3" t="str">
        <f>VLOOKUP(H357,Staff!A:I,9,FALSE)</f>
        <v>Marcelene Boyer</v>
      </c>
      <c r="M357" s="3" t="str">
        <f>VLOOKUP(G357,Store!A:H,2,FALSE)</f>
        <v>Baldwin Bikes</v>
      </c>
      <c r="N357" s="3" t="str">
        <f>VLOOKUP(G357,Store!A:H,6,FALSE)</f>
        <v>Baldwin</v>
      </c>
      <c r="O357" s="3" t="s">
        <v>16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>
        <v>357.0</v>
      </c>
      <c r="B358" s="1">
        <v>14.0</v>
      </c>
      <c r="C358" s="1">
        <v>3.0</v>
      </c>
      <c r="D358" s="4">
        <v>42587.0</v>
      </c>
      <c r="E358" s="4">
        <v>42587.0</v>
      </c>
      <c r="F358" s="1" t="s">
        <v>18</v>
      </c>
      <c r="G358" s="1">
        <v>3.0</v>
      </c>
      <c r="H358" s="1">
        <v>8.0</v>
      </c>
      <c r="I358" s="3" t="str">
        <f>VLOOKUP(B358,Customers!A:J, 10,FALSE)</f>
        <v>Garry Espinoza</v>
      </c>
      <c r="J358" s="3" t="str">
        <f>VLOOKUP(B358,Customers!A:J,8,FALSE)</f>
        <v>TX</v>
      </c>
      <c r="K358" s="3" t="str">
        <f>VLOOKUP(B358,Customers!A:J,7,FALSE)</f>
        <v>Forney</v>
      </c>
      <c r="L358" s="3" t="str">
        <f>VLOOKUP(H358,Staff!A:I,9,FALSE)</f>
        <v>Kali Vargas</v>
      </c>
      <c r="M358" s="3" t="str">
        <f>VLOOKUP(G358,Store!A:H,2,FALSE)</f>
        <v>Rowlett Bikes</v>
      </c>
      <c r="N358" s="3" t="str">
        <f>VLOOKUP(G358,Store!A:H,6,FALSE)</f>
        <v>Rowlett</v>
      </c>
      <c r="O358" s="3" t="s">
        <v>17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>
        <v>358.0</v>
      </c>
      <c r="B359" s="1">
        <v>1042.0</v>
      </c>
      <c r="C359" s="1">
        <v>4.0</v>
      </c>
      <c r="D359" s="4">
        <v>42587.0</v>
      </c>
      <c r="E359" s="4">
        <v>42589.0</v>
      </c>
      <c r="F359" s="4">
        <v>42589.0</v>
      </c>
      <c r="G359" s="1">
        <v>2.0</v>
      </c>
      <c r="H359" s="1">
        <v>7.0</v>
      </c>
      <c r="I359" s="3" t="str">
        <f>VLOOKUP(B359,Customers!A:J, 10,FALSE)</f>
        <v>Larissa Hays</v>
      </c>
      <c r="J359" s="3" t="str">
        <f>VLOOKUP(B359,Customers!A:J,8,FALSE)</f>
        <v>NY</v>
      </c>
      <c r="K359" s="3" t="str">
        <f>VLOOKUP(B359,Customers!A:J,7,FALSE)</f>
        <v>Elmont</v>
      </c>
      <c r="L359" s="3" t="str">
        <f>VLOOKUP(H359,Staff!A:I,9,FALSE)</f>
        <v>Venita Daniel</v>
      </c>
      <c r="M359" s="3" t="str">
        <f>VLOOKUP(G359,Store!A:H,2,FALSE)</f>
        <v>Baldwin Bikes</v>
      </c>
      <c r="N359" s="3" t="str">
        <f>VLOOKUP(G359,Store!A:H,6,FALSE)</f>
        <v>Baldwin</v>
      </c>
      <c r="O359" s="3" t="s">
        <v>16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>
        <v>359.0</v>
      </c>
      <c r="B360" s="1">
        <v>441.0</v>
      </c>
      <c r="C360" s="1">
        <v>4.0</v>
      </c>
      <c r="D360" s="4">
        <v>42589.0</v>
      </c>
      <c r="E360" s="4">
        <v>42592.0</v>
      </c>
      <c r="F360" s="4">
        <v>42592.0</v>
      </c>
      <c r="G360" s="1">
        <v>2.0</v>
      </c>
      <c r="H360" s="1">
        <v>7.0</v>
      </c>
      <c r="I360" s="3" t="str">
        <f>VLOOKUP(B360,Customers!A:J, 10,FALSE)</f>
        <v>Dorthea Walker</v>
      </c>
      <c r="J360" s="3" t="str">
        <f>VLOOKUP(B360,Customers!A:J,8,FALSE)</f>
        <v>NY</v>
      </c>
      <c r="K360" s="3" t="str">
        <f>VLOOKUP(B360,Customers!A:J,7,FALSE)</f>
        <v>Port Washington</v>
      </c>
      <c r="L360" s="3" t="str">
        <f>VLOOKUP(H360,Staff!A:I,9,FALSE)</f>
        <v>Venita Daniel</v>
      </c>
      <c r="M360" s="3" t="str">
        <f>VLOOKUP(G360,Store!A:H,2,FALSE)</f>
        <v>Baldwin Bikes</v>
      </c>
      <c r="N360" s="3" t="str">
        <f>VLOOKUP(G360,Store!A:H,6,FALSE)</f>
        <v>Baldwin</v>
      </c>
      <c r="O360" s="3" t="s">
        <v>16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>
        <v>360.0</v>
      </c>
      <c r="B361" s="1">
        <v>1300.0</v>
      </c>
      <c r="C361" s="1">
        <v>4.0</v>
      </c>
      <c r="D361" s="4">
        <v>42589.0</v>
      </c>
      <c r="E361" s="4">
        <v>42591.0</v>
      </c>
      <c r="F361" s="4">
        <v>42592.0</v>
      </c>
      <c r="G361" s="1">
        <v>2.0</v>
      </c>
      <c r="H361" s="1">
        <v>6.0</v>
      </c>
      <c r="I361" s="3" t="str">
        <f>VLOOKUP(B361,Customers!A:J, 10,FALSE)</f>
        <v>Clorinda Donovan</v>
      </c>
      <c r="J361" s="3" t="str">
        <f>VLOOKUP(B361,Customers!A:J,8,FALSE)</f>
        <v>NY</v>
      </c>
      <c r="K361" s="3" t="str">
        <f>VLOOKUP(B361,Customers!A:J,7,FALSE)</f>
        <v>Jamestown</v>
      </c>
      <c r="L361" s="3" t="str">
        <f>VLOOKUP(H361,Staff!A:I,9,FALSE)</f>
        <v>Marcelene Boyer</v>
      </c>
      <c r="M361" s="3" t="str">
        <f>VLOOKUP(G361,Store!A:H,2,FALSE)</f>
        <v>Baldwin Bikes</v>
      </c>
      <c r="N361" s="3" t="str">
        <f>VLOOKUP(G361,Store!A:H,6,FALSE)</f>
        <v>Baldwin</v>
      </c>
      <c r="O361" s="3" t="s">
        <v>16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>
        <v>361.0</v>
      </c>
      <c r="B362" s="1">
        <v>994.0</v>
      </c>
      <c r="C362" s="1">
        <v>4.0</v>
      </c>
      <c r="D362" s="4">
        <v>42590.0</v>
      </c>
      <c r="E362" s="4">
        <v>42591.0</v>
      </c>
      <c r="F362" s="4">
        <v>42593.0</v>
      </c>
      <c r="G362" s="1">
        <v>2.0</v>
      </c>
      <c r="H362" s="1">
        <v>6.0</v>
      </c>
      <c r="I362" s="3" t="str">
        <f>VLOOKUP(B362,Customers!A:J, 10,FALSE)</f>
        <v>Demarcus Reese</v>
      </c>
      <c r="J362" s="3" t="str">
        <f>VLOOKUP(B362,Customers!A:J,8,FALSE)</f>
        <v>NY</v>
      </c>
      <c r="K362" s="3" t="str">
        <f>VLOOKUP(B362,Customers!A:J,7,FALSE)</f>
        <v>Yorktown Heights</v>
      </c>
      <c r="L362" s="3" t="str">
        <f>VLOOKUP(H362,Staff!A:I,9,FALSE)</f>
        <v>Marcelene Boyer</v>
      </c>
      <c r="M362" s="3" t="str">
        <f>VLOOKUP(G362,Store!A:H,2,FALSE)</f>
        <v>Baldwin Bikes</v>
      </c>
      <c r="N362" s="3" t="str">
        <f>VLOOKUP(G362,Store!A:H,6,FALSE)</f>
        <v>Baldwin</v>
      </c>
      <c r="O362" s="3" t="s">
        <v>16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>
        <v>362.0</v>
      </c>
      <c r="B363" s="1">
        <v>187.0</v>
      </c>
      <c r="C363" s="1">
        <v>4.0</v>
      </c>
      <c r="D363" s="4">
        <v>42591.0</v>
      </c>
      <c r="E363" s="4">
        <v>42593.0</v>
      </c>
      <c r="F363" s="4">
        <v>42593.0</v>
      </c>
      <c r="G363" s="1">
        <v>1.0</v>
      </c>
      <c r="H363" s="1">
        <v>2.0</v>
      </c>
      <c r="I363" s="3" t="str">
        <f>VLOOKUP(B363,Customers!A:J, 10,FALSE)</f>
        <v>Hedwig Paul</v>
      </c>
      <c r="J363" s="3" t="str">
        <f>VLOOKUP(B363,Customers!A:J,8,FALSE)</f>
        <v>CA</v>
      </c>
      <c r="K363" s="3" t="str">
        <f>VLOOKUP(B363,Customers!A:J,7,FALSE)</f>
        <v>Apple Valley</v>
      </c>
      <c r="L363" s="3" t="str">
        <f>VLOOKUP(H363,Staff!A:I,9,FALSE)</f>
        <v>Mireya Copeland</v>
      </c>
      <c r="M363" s="3" t="str">
        <f>VLOOKUP(G363,Store!A:H,2,FALSE)</f>
        <v>Santa Cruz Bikes</v>
      </c>
      <c r="N363" s="3" t="str">
        <f>VLOOKUP(G363,Store!A:H,6,FALSE)</f>
        <v>Santa Cruz</v>
      </c>
      <c r="O363" s="3" t="s">
        <v>15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>
        <v>363.0</v>
      </c>
      <c r="B364" s="1">
        <v>834.0</v>
      </c>
      <c r="C364" s="1">
        <v>4.0</v>
      </c>
      <c r="D364" s="4">
        <v>42593.0</v>
      </c>
      <c r="E364" s="4">
        <v>42594.0</v>
      </c>
      <c r="F364" s="4">
        <v>42595.0</v>
      </c>
      <c r="G364" s="1">
        <v>3.0</v>
      </c>
      <c r="H364" s="1">
        <v>8.0</v>
      </c>
      <c r="I364" s="3" t="str">
        <f>VLOOKUP(B364,Customers!A:J, 10,FALSE)</f>
        <v>Brain Skinner</v>
      </c>
      <c r="J364" s="3" t="str">
        <f>VLOOKUP(B364,Customers!A:J,8,FALSE)</f>
        <v>TX</v>
      </c>
      <c r="K364" s="3" t="str">
        <f>VLOOKUP(B364,Customers!A:J,7,FALSE)</f>
        <v>Euless</v>
      </c>
      <c r="L364" s="3" t="str">
        <f>VLOOKUP(H364,Staff!A:I,9,FALSE)</f>
        <v>Kali Vargas</v>
      </c>
      <c r="M364" s="3" t="str">
        <f>VLOOKUP(G364,Store!A:H,2,FALSE)</f>
        <v>Rowlett Bikes</v>
      </c>
      <c r="N364" s="3" t="str">
        <f>VLOOKUP(G364,Store!A:H,6,FALSE)</f>
        <v>Rowlett</v>
      </c>
      <c r="O364" s="3" t="s">
        <v>17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>
        <v>364.0</v>
      </c>
      <c r="B365" s="1">
        <v>373.0</v>
      </c>
      <c r="C365" s="1">
        <v>4.0</v>
      </c>
      <c r="D365" s="4">
        <v>42594.0</v>
      </c>
      <c r="E365" s="4">
        <v>42596.0</v>
      </c>
      <c r="F365" s="4">
        <v>42595.0</v>
      </c>
      <c r="G365" s="1">
        <v>2.0</v>
      </c>
      <c r="H365" s="1">
        <v>6.0</v>
      </c>
      <c r="I365" s="3" t="str">
        <f>VLOOKUP(B365,Customers!A:J, 10,FALSE)</f>
        <v>Mariette Trevino</v>
      </c>
      <c r="J365" s="3" t="str">
        <f>VLOOKUP(B365,Customers!A:J,8,FALSE)</f>
        <v>NY</v>
      </c>
      <c r="K365" s="3" t="str">
        <f>VLOOKUP(B365,Customers!A:J,7,FALSE)</f>
        <v>Utica</v>
      </c>
      <c r="L365" s="3" t="str">
        <f>VLOOKUP(H365,Staff!A:I,9,FALSE)</f>
        <v>Marcelene Boyer</v>
      </c>
      <c r="M365" s="3" t="str">
        <f>VLOOKUP(G365,Store!A:H,2,FALSE)</f>
        <v>Baldwin Bikes</v>
      </c>
      <c r="N365" s="3" t="str">
        <f>VLOOKUP(G365,Store!A:H,6,FALSE)</f>
        <v>Baldwin</v>
      </c>
      <c r="O365" s="3" t="s">
        <v>16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>
        <v>365.0</v>
      </c>
      <c r="B366" s="1">
        <v>981.0</v>
      </c>
      <c r="C366" s="1">
        <v>4.0</v>
      </c>
      <c r="D366" s="4">
        <v>42595.0</v>
      </c>
      <c r="E366" s="4">
        <v>42596.0</v>
      </c>
      <c r="F366" s="4">
        <v>42597.0</v>
      </c>
      <c r="G366" s="1">
        <v>2.0</v>
      </c>
      <c r="H366" s="1">
        <v>6.0</v>
      </c>
      <c r="I366" s="3" t="str">
        <f>VLOOKUP(B366,Customers!A:J, 10,FALSE)</f>
        <v>Christel Cardenas</v>
      </c>
      <c r="J366" s="3" t="str">
        <f>VLOOKUP(B366,Customers!A:J,8,FALSE)</f>
        <v>NY</v>
      </c>
      <c r="K366" s="3" t="str">
        <f>VLOOKUP(B366,Customers!A:J,7,FALSE)</f>
        <v>Long Beach</v>
      </c>
      <c r="L366" s="3" t="str">
        <f>VLOOKUP(H366,Staff!A:I,9,FALSE)</f>
        <v>Marcelene Boyer</v>
      </c>
      <c r="M366" s="3" t="str">
        <f>VLOOKUP(G366,Store!A:H,2,FALSE)</f>
        <v>Baldwin Bikes</v>
      </c>
      <c r="N366" s="3" t="str">
        <f>VLOOKUP(G366,Store!A:H,6,FALSE)</f>
        <v>Baldwin</v>
      </c>
      <c r="O366" s="3" t="s">
        <v>16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>
        <v>366.0</v>
      </c>
      <c r="B367" s="1">
        <v>1054.0</v>
      </c>
      <c r="C367" s="1">
        <v>4.0</v>
      </c>
      <c r="D367" s="4">
        <v>42595.0</v>
      </c>
      <c r="E367" s="4">
        <v>42596.0</v>
      </c>
      <c r="F367" s="4">
        <v>42596.0</v>
      </c>
      <c r="G367" s="1">
        <v>3.0</v>
      </c>
      <c r="H367" s="1">
        <v>9.0</v>
      </c>
      <c r="I367" s="3" t="str">
        <f>VLOOKUP(B367,Customers!A:J, 10,FALSE)</f>
        <v>Arielle Levine</v>
      </c>
      <c r="J367" s="3" t="str">
        <f>VLOOKUP(B367,Customers!A:J,8,FALSE)</f>
        <v>TX</v>
      </c>
      <c r="K367" s="3" t="str">
        <f>VLOOKUP(B367,Customers!A:J,7,FALSE)</f>
        <v>Garland</v>
      </c>
      <c r="L367" s="3" t="str">
        <f>VLOOKUP(H367,Staff!A:I,9,FALSE)</f>
        <v>Layla Terrell</v>
      </c>
      <c r="M367" s="3" t="str">
        <f>VLOOKUP(G367,Store!A:H,2,FALSE)</f>
        <v>Rowlett Bikes</v>
      </c>
      <c r="N367" s="3" t="str">
        <f>VLOOKUP(G367,Store!A:H,6,FALSE)</f>
        <v>Rowlett</v>
      </c>
      <c r="O367" s="3" t="s">
        <v>17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>
        <v>367.0</v>
      </c>
      <c r="B368" s="1">
        <v>527.0</v>
      </c>
      <c r="C368" s="1">
        <v>4.0</v>
      </c>
      <c r="D368" s="4">
        <v>42596.0</v>
      </c>
      <c r="E368" s="4">
        <v>42597.0</v>
      </c>
      <c r="F368" s="4">
        <v>42597.0</v>
      </c>
      <c r="G368" s="1">
        <v>2.0</v>
      </c>
      <c r="H368" s="1">
        <v>7.0</v>
      </c>
      <c r="I368" s="3" t="str">
        <f>VLOOKUP(B368,Customers!A:J, 10,FALSE)</f>
        <v>Afton Juarez</v>
      </c>
      <c r="J368" s="3" t="str">
        <f>VLOOKUP(B368,Customers!A:J,8,FALSE)</f>
        <v>NY</v>
      </c>
      <c r="K368" s="3" t="str">
        <f>VLOOKUP(B368,Customers!A:J,7,FALSE)</f>
        <v>Coram</v>
      </c>
      <c r="L368" s="3" t="str">
        <f>VLOOKUP(H368,Staff!A:I,9,FALSE)</f>
        <v>Venita Daniel</v>
      </c>
      <c r="M368" s="3" t="str">
        <f>VLOOKUP(G368,Store!A:H,2,FALSE)</f>
        <v>Baldwin Bikes</v>
      </c>
      <c r="N368" s="3" t="str">
        <f>VLOOKUP(G368,Store!A:H,6,FALSE)</f>
        <v>Baldwin</v>
      </c>
      <c r="O368" s="3" t="s">
        <v>16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>
        <v>368.0</v>
      </c>
      <c r="B369" s="1">
        <v>995.0</v>
      </c>
      <c r="C369" s="1">
        <v>4.0</v>
      </c>
      <c r="D369" s="4">
        <v>42596.0</v>
      </c>
      <c r="E369" s="4">
        <v>42597.0</v>
      </c>
      <c r="F369" s="4">
        <v>42599.0</v>
      </c>
      <c r="G369" s="1">
        <v>2.0</v>
      </c>
      <c r="H369" s="1">
        <v>7.0</v>
      </c>
      <c r="I369" s="3" t="str">
        <f>VLOOKUP(B369,Customers!A:J, 10,FALSE)</f>
        <v>Amina Salazar</v>
      </c>
      <c r="J369" s="3" t="str">
        <f>VLOOKUP(B369,Customers!A:J,8,FALSE)</f>
        <v>NY</v>
      </c>
      <c r="K369" s="3" t="str">
        <f>VLOOKUP(B369,Customers!A:J,7,FALSE)</f>
        <v>Canandaigua</v>
      </c>
      <c r="L369" s="3" t="str">
        <f>VLOOKUP(H369,Staff!A:I,9,FALSE)</f>
        <v>Venita Daniel</v>
      </c>
      <c r="M369" s="3" t="str">
        <f>VLOOKUP(G369,Store!A:H,2,FALSE)</f>
        <v>Baldwin Bikes</v>
      </c>
      <c r="N369" s="3" t="str">
        <f>VLOOKUP(G369,Store!A:H,6,FALSE)</f>
        <v>Baldwin</v>
      </c>
      <c r="O369" s="3" t="s">
        <v>16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>
        <v>369.0</v>
      </c>
      <c r="B370" s="1">
        <v>1285.0</v>
      </c>
      <c r="C370" s="1">
        <v>4.0</v>
      </c>
      <c r="D370" s="4">
        <v>42597.0</v>
      </c>
      <c r="E370" s="4">
        <v>42600.0</v>
      </c>
      <c r="F370" s="4">
        <v>42600.0</v>
      </c>
      <c r="G370" s="1">
        <v>1.0</v>
      </c>
      <c r="H370" s="1">
        <v>3.0</v>
      </c>
      <c r="I370" s="3" t="str">
        <f>VLOOKUP(B370,Customers!A:J, 10,FALSE)</f>
        <v>Garth Huff</v>
      </c>
      <c r="J370" s="3" t="str">
        <f>VLOOKUP(B370,Customers!A:J,8,FALSE)</f>
        <v>CA</v>
      </c>
      <c r="K370" s="3" t="str">
        <f>VLOOKUP(B370,Customers!A:J,7,FALSE)</f>
        <v>Glendora</v>
      </c>
      <c r="L370" s="3" t="str">
        <f>VLOOKUP(H370,Staff!A:I,9,FALSE)</f>
        <v>Genna Serrano</v>
      </c>
      <c r="M370" s="3" t="str">
        <f>VLOOKUP(G370,Store!A:H,2,FALSE)</f>
        <v>Santa Cruz Bikes</v>
      </c>
      <c r="N370" s="3" t="str">
        <f>VLOOKUP(G370,Store!A:H,6,FALSE)</f>
        <v>Santa Cruz</v>
      </c>
      <c r="O370" s="3" t="s">
        <v>15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>
        <v>370.0</v>
      </c>
      <c r="B371" s="1">
        <v>758.0</v>
      </c>
      <c r="C371" s="1">
        <v>4.0</v>
      </c>
      <c r="D371" s="4">
        <v>42597.0</v>
      </c>
      <c r="E371" s="4">
        <v>42600.0</v>
      </c>
      <c r="F371" s="4">
        <v>42600.0</v>
      </c>
      <c r="G371" s="1">
        <v>2.0</v>
      </c>
      <c r="H371" s="1">
        <v>7.0</v>
      </c>
      <c r="I371" s="3" t="str">
        <f>VLOOKUP(B371,Customers!A:J, 10,FALSE)</f>
        <v>Raymonde Garcia</v>
      </c>
      <c r="J371" s="3" t="str">
        <f>VLOOKUP(B371,Customers!A:J,8,FALSE)</f>
        <v>NY</v>
      </c>
      <c r="K371" s="3" t="str">
        <f>VLOOKUP(B371,Customers!A:J,7,FALSE)</f>
        <v>Queensbury</v>
      </c>
      <c r="L371" s="3" t="str">
        <f>VLOOKUP(H371,Staff!A:I,9,FALSE)</f>
        <v>Venita Daniel</v>
      </c>
      <c r="M371" s="3" t="str">
        <f>VLOOKUP(G371,Store!A:H,2,FALSE)</f>
        <v>Baldwin Bikes</v>
      </c>
      <c r="N371" s="3" t="str">
        <f>VLOOKUP(G371,Store!A:H,6,FALSE)</f>
        <v>Baldwin</v>
      </c>
      <c r="O371" s="3" t="s">
        <v>16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>
        <v>371.0</v>
      </c>
      <c r="B372" s="1">
        <v>891.0</v>
      </c>
      <c r="C372" s="1">
        <v>4.0</v>
      </c>
      <c r="D372" s="4">
        <v>42597.0</v>
      </c>
      <c r="E372" s="4">
        <v>42598.0</v>
      </c>
      <c r="F372" s="4">
        <v>42600.0</v>
      </c>
      <c r="G372" s="1">
        <v>2.0</v>
      </c>
      <c r="H372" s="1">
        <v>7.0</v>
      </c>
      <c r="I372" s="3" t="str">
        <f>VLOOKUP(B372,Customers!A:J, 10,FALSE)</f>
        <v>Ashlie Parrish</v>
      </c>
      <c r="J372" s="3" t="str">
        <f>VLOOKUP(B372,Customers!A:J,8,FALSE)</f>
        <v>NY</v>
      </c>
      <c r="K372" s="3" t="str">
        <f>VLOOKUP(B372,Customers!A:J,7,FALSE)</f>
        <v>Monsey</v>
      </c>
      <c r="L372" s="3" t="str">
        <f>VLOOKUP(H372,Staff!A:I,9,FALSE)</f>
        <v>Venita Daniel</v>
      </c>
      <c r="M372" s="3" t="str">
        <f>VLOOKUP(G372,Store!A:H,2,FALSE)</f>
        <v>Baldwin Bikes</v>
      </c>
      <c r="N372" s="3" t="str">
        <f>VLOOKUP(G372,Store!A:H,6,FALSE)</f>
        <v>Baldwin</v>
      </c>
      <c r="O372" s="3" t="s">
        <v>16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>
        <v>372.0</v>
      </c>
      <c r="B373" s="1">
        <v>132.0</v>
      </c>
      <c r="C373" s="1">
        <v>4.0</v>
      </c>
      <c r="D373" s="4">
        <v>42598.0</v>
      </c>
      <c r="E373" s="4">
        <v>42600.0</v>
      </c>
      <c r="F373" s="4">
        <v>42600.0</v>
      </c>
      <c r="G373" s="1">
        <v>2.0</v>
      </c>
      <c r="H373" s="1">
        <v>6.0</v>
      </c>
      <c r="I373" s="3" t="str">
        <f>VLOOKUP(B373,Customers!A:J, 10,FALSE)</f>
        <v>Boyd Irwin</v>
      </c>
      <c r="J373" s="3" t="str">
        <f>VLOOKUP(B373,Customers!A:J,8,FALSE)</f>
        <v>NY</v>
      </c>
      <c r="K373" s="3" t="str">
        <f>VLOOKUP(B373,Customers!A:J,7,FALSE)</f>
        <v>Hamburg</v>
      </c>
      <c r="L373" s="3" t="str">
        <f>VLOOKUP(H373,Staff!A:I,9,FALSE)</f>
        <v>Marcelene Boyer</v>
      </c>
      <c r="M373" s="3" t="str">
        <f>VLOOKUP(G373,Store!A:H,2,FALSE)</f>
        <v>Baldwin Bikes</v>
      </c>
      <c r="N373" s="3" t="str">
        <f>VLOOKUP(G373,Store!A:H,6,FALSE)</f>
        <v>Baldwin</v>
      </c>
      <c r="O373" s="3" t="s">
        <v>16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>
        <v>373.0</v>
      </c>
      <c r="B374" s="1">
        <v>337.0</v>
      </c>
      <c r="C374" s="1">
        <v>4.0</v>
      </c>
      <c r="D374" s="4">
        <v>42598.0</v>
      </c>
      <c r="E374" s="4">
        <v>42601.0</v>
      </c>
      <c r="F374" s="4">
        <v>42599.0</v>
      </c>
      <c r="G374" s="1">
        <v>2.0</v>
      </c>
      <c r="H374" s="1">
        <v>7.0</v>
      </c>
      <c r="I374" s="3" t="str">
        <f>VLOOKUP(B374,Customers!A:J, 10,FALSE)</f>
        <v>Majorie Wyatt</v>
      </c>
      <c r="J374" s="3" t="str">
        <f>VLOOKUP(B374,Customers!A:J,8,FALSE)</f>
        <v>NY</v>
      </c>
      <c r="K374" s="3" t="str">
        <f>VLOOKUP(B374,Customers!A:J,7,FALSE)</f>
        <v>South Ozone Park</v>
      </c>
      <c r="L374" s="3" t="str">
        <f>VLOOKUP(H374,Staff!A:I,9,FALSE)</f>
        <v>Venita Daniel</v>
      </c>
      <c r="M374" s="3" t="str">
        <f>VLOOKUP(G374,Store!A:H,2,FALSE)</f>
        <v>Baldwin Bikes</v>
      </c>
      <c r="N374" s="3" t="str">
        <f>VLOOKUP(G374,Store!A:H,6,FALSE)</f>
        <v>Baldwin</v>
      </c>
      <c r="O374" s="3" t="s">
        <v>16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>
        <v>374.0</v>
      </c>
      <c r="B375" s="1">
        <v>1313.0</v>
      </c>
      <c r="C375" s="1">
        <v>4.0</v>
      </c>
      <c r="D375" s="4">
        <v>42599.0</v>
      </c>
      <c r="E375" s="4">
        <v>42601.0</v>
      </c>
      <c r="F375" s="4">
        <v>42600.0</v>
      </c>
      <c r="G375" s="1">
        <v>1.0</v>
      </c>
      <c r="H375" s="1">
        <v>2.0</v>
      </c>
      <c r="I375" s="3" t="str">
        <f>VLOOKUP(B375,Customers!A:J, 10,FALSE)</f>
        <v>Dante Grimes</v>
      </c>
      <c r="J375" s="3" t="str">
        <f>VLOOKUP(B375,Customers!A:J,8,FALSE)</f>
        <v>CA</v>
      </c>
      <c r="K375" s="3" t="str">
        <f>VLOOKUP(B375,Customers!A:J,7,FALSE)</f>
        <v>Duarte</v>
      </c>
      <c r="L375" s="3" t="str">
        <f>VLOOKUP(H375,Staff!A:I,9,FALSE)</f>
        <v>Mireya Copeland</v>
      </c>
      <c r="M375" s="3" t="str">
        <f>VLOOKUP(G375,Store!A:H,2,FALSE)</f>
        <v>Santa Cruz Bikes</v>
      </c>
      <c r="N375" s="3" t="str">
        <f>VLOOKUP(G375,Store!A:H,6,FALSE)</f>
        <v>Santa Cruz</v>
      </c>
      <c r="O375" s="3" t="s">
        <v>15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>
        <v>375.0</v>
      </c>
      <c r="B376" s="1">
        <v>536.0</v>
      </c>
      <c r="C376" s="1">
        <v>4.0</v>
      </c>
      <c r="D376" s="4">
        <v>42599.0</v>
      </c>
      <c r="E376" s="4">
        <v>42602.0</v>
      </c>
      <c r="F376" s="4">
        <v>42602.0</v>
      </c>
      <c r="G376" s="1">
        <v>2.0</v>
      </c>
      <c r="H376" s="1">
        <v>7.0</v>
      </c>
      <c r="I376" s="3" t="str">
        <f>VLOOKUP(B376,Customers!A:J, 10,FALSE)</f>
        <v>Christiane Bradford</v>
      </c>
      <c r="J376" s="3" t="str">
        <f>VLOOKUP(B376,Customers!A:J,8,FALSE)</f>
        <v>NY</v>
      </c>
      <c r="K376" s="3" t="str">
        <f>VLOOKUP(B376,Customers!A:J,7,FALSE)</f>
        <v>Orchard Park</v>
      </c>
      <c r="L376" s="3" t="str">
        <f>VLOOKUP(H376,Staff!A:I,9,FALSE)</f>
        <v>Venita Daniel</v>
      </c>
      <c r="M376" s="3" t="str">
        <f>VLOOKUP(G376,Store!A:H,2,FALSE)</f>
        <v>Baldwin Bikes</v>
      </c>
      <c r="N376" s="3" t="str">
        <f>VLOOKUP(G376,Store!A:H,6,FALSE)</f>
        <v>Baldwin</v>
      </c>
      <c r="O376" s="3" t="s">
        <v>16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>
        <v>376.0</v>
      </c>
      <c r="B377" s="1">
        <v>825.0</v>
      </c>
      <c r="C377" s="1">
        <v>4.0</v>
      </c>
      <c r="D377" s="4">
        <v>42599.0</v>
      </c>
      <c r="E377" s="4">
        <v>42601.0</v>
      </c>
      <c r="F377" s="4">
        <v>42600.0</v>
      </c>
      <c r="G377" s="1">
        <v>2.0</v>
      </c>
      <c r="H377" s="1">
        <v>6.0</v>
      </c>
      <c r="I377" s="3" t="str">
        <f>VLOOKUP(B377,Customers!A:J, 10,FALSE)</f>
        <v>Kristel Byrd</v>
      </c>
      <c r="J377" s="3" t="str">
        <f>VLOOKUP(B377,Customers!A:J,8,FALSE)</f>
        <v>NY</v>
      </c>
      <c r="K377" s="3" t="str">
        <f>VLOOKUP(B377,Customers!A:J,7,FALSE)</f>
        <v>Hicksville</v>
      </c>
      <c r="L377" s="3" t="str">
        <f>VLOOKUP(H377,Staff!A:I,9,FALSE)</f>
        <v>Marcelene Boyer</v>
      </c>
      <c r="M377" s="3" t="str">
        <f>VLOOKUP(G377,Store!A:H,2,FALSE)</f>
        <v>Baldwin Bikes</v>
      </c>
      <c r="N377" s="3" t="str">
        <f>VLOOKUP(G377,Store!A:H,6,FALSE)</f>
        <v>Baldwin</v>
      </c>
      <c r="O377" s="3" t="s">
        <v>16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>
        <v>377.0</v>
      </c>
      <c r="B378" s="1">
        <v>1355.0</v>
      </c>
      <c r="C378" s="1">
        <v>4.0</v>
      </c>
      <c r="D378" s="4">
        <v>42599.0</v>
      </c>
      <c r="E378" s="4">
        <v>42601.0</v>
      </c>
      <c r="F378" s="4">
        <v>42602.0</v>
      </c>
      <c r="G378" s="1">
        <v>2.0</v>
      </c>
      <c r="H378" s="1">
        <v>6.0</v>
      </c>
      <c r="I378" s="3" t="str">
        <f>VLOOKUP(B378,Customers!A:J, 10,FALSE)</f>
        <v>Thad Gilliam</v>
      </c>
      <c r="J378" s="3" t="str">
        <f>VLOOKUP(B378,Customers!A:J,8,FALSE)</f>
        <v>NY</v>
      </c>
      <c r="K378" s="3" t="str">
        <f>VLOOKUP(B378,Customers!A:J,7,FALSE)</f>
        <v>Levittown</v>
      </c>
      <c r="L378" s="3" t="str">
        <f>VLOOKUP(H378,Staff!A:I,9,FALSE)</f>
        <v>Marcelene Boyer</v>
      </c>
      <c r="M378" s="3" t="str">
        <f>VLOOKUP(G378,Store!A:H,2,FALSE)</f>
        <v>Baldwin Bikes</v>
      </c>
      <c r="N378" s="3" t="str">
        <f>VLOOKUP(G378,Store!A:H,6,FALSE)</f>
        <v>Baldwin</v>
      </c>
      <c r="O378" s="3" t="s">
        <v>16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>
        <v>378.0</v>
      </c>
      <c r="B379" s="1">
        <v>475.0</v>
      </c>
      <c r="C379" s="1">
        <v>4.0</v>
      </c>
      <c r="D379" s="4">
        <v>42599.0</v>
      </c>
      <c r="E379" s="4">
        <v>42602.0</v>
      </c>
      <c r="F379" s="4">
        <v>42602.0</v>
      </c>
      <c r="G379" s="1">
        <v>3.0</v>
      </c>
      <c r="H379" s="1">
        <v>9.0</v>
      </c>
      <c r="I379" s="3" t="str">
        <f>VLOOKUP(B379,Customers!A:J, 10,FALSE)</f>
        <v>Alec Peck</v>
      </c>
      <c r="J379" s="3" t="str">
        <f>VLOOKUP(B379,Customers!A:J,8,FALSE)</f>
        <v>TX</v>
      </c>
      <c r="K379" s="3" t="str">
        <f>VLOOKUP(B379,Customers!A:J,7,FALSE)</f>
        <v>Victoria</v>
      </c>
      <c r="L379" s="3" t="str">
        <f>VLOOKUP(H379,Staff!A:I,9,FALSE)</f>
        <v>Layla Terrell</v>
      </c>
      <c r="M379" s="3" t="str">
        <f>VLOOKUP(G379,Store!A:H,2,FALSE)</f>
        <v>Rowlett Bikes</v>
      </c>
      <c r="N379" s="3" t="str">
        <f>VLOOKUP(G379,Store!A:H,6,FALSE)</f>
        <v>Rowlett</v>
      </c>
      <c r="O379" s="3" t="s">
        <v>17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>
        <v>379.0</v>
      </c>
      <c r="B380" s="1">
        <v>954.0</v>
      </c>
      <c r="C380" s="1">
        <v>4.0</v>
      </c>
      <c r="D380" s="4">
        <v>42600.0</v>
      </c>
      <c r="E380" s="4">
        <v>42603.0</v>
      </c>
      <c r="F380" s="4">
        <v>42603.0</v>
      </c>
      <c r="G380" s="1">
        <v>2.0</v>
      </c>
      <c r="H380" s="1">
        <v>7.0</v>
      </c>
      <c r="I380" s="3" t="str">
        <f>VLOOKUP(B380,Customers!A:J, 10,FALSE)</f>
        <v>Hassan Nash</v>
      </c>
      <c r="J380" s="3" t="str">
        <f>VLOOKUP(B380,Customers!A:J,8,FALSE)</f>
        <v>NY</v>
      </c>
      <c r="K380" s="3" t="str">
        <f>VLOOKUP(B380,Customers!A:J,7,FALSE)</f>
        <v>Hicksville</v>
      </c>
      <c r="L380" s="3" t="str">
        <f>VLOOKUP(H380,Staff!A:I,9,FALSE)</f>
        <v>Venita Daniel</v>
      </c>
      <c r="M380" s="3" t="str">
        <f>VLOOKUP(G380,Store!A:H,2,FALSE)</f>
        <v>Baldwin Bikes</v>
      </c>
      <c r="N380" s="3" t="str">
        <f>VLOOKUP(G380,Store!A:H,6,FALSE)</f>
        <v>Baldwin</v>
      </c>
      <c r="O380" s="3" t="s">
        <v>16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>
        <v>380.0</v>
      </c>
      <c r="B381" s="1">
        <v>1156.0</v>
      </c>
      <c r="C381" s="1">
        <v>4.0</v>
      </c>
      <c r="D381" s="4">
        <v>42601.0</v>
      </c>
      <c r="E381" s="4">
        <v>42602.0</v>
      </c>
      <c r="F381" s="4">
        <v>42603.0</v>
      </c>
      <c r="G381" s="1">
        <v>2.0</v>
      </c>
      <c r="H381" s="1">
        <v>7.0</v>
      </c>
      <c r="I381" s="3" t="str">
        <f>VLOOKUP(B381,Customers!A:J, 10,FALSE)</f>
        <v>Han Wade</v>
      </c>
      <c r="J381" s="3" t="str">
        <f>VLOOKUP(B381,Customers!A:J,8,FALSE)</f>
        <v>NY</v>
      </c>
      <c r="K381" s="3" t="str">
        <f>VLOOKUP(B381,Customers!A:J,7,FALSE)</f>
        <v>Howard Beach</v>
      </c>
      <c r="L381" s="3" t="str">
        <f>VLOOKUP(H381,Staff!A:I,9,FALSE)</f>
        <v>Venita Daniel</v>
      </c>
      <c r="M381" s="3" t="str">
        <f>VLOOKUP(G381,Store!A:H,2,FALSE)</f>
        <v>Baldwin Bikes</v>
      </c>
      <c r="N381" s="3" t="str">
        <f>VLOOKUP(G381,Store!A:H,6,FALSE)</f>
        <v>Baldwin</v>
      </c>
      <c r="O381" s="3" t="s">
        <v>16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>
        <v>381.0</v>
      </c>
      <c r="B382" s="1">
        <v>1297.0</v>
      </c>
      <c r="C382" s="1">
        <v>4.0</v>
      </c>
      <c r="D382" s="4">
        <v>42601.0</v>
      </c>
      <c r="E382" s="4">
        <v>42603.0</v>
      </c>
      <c r="F382" s="4">
        <v>42603.0</v>
      </c>
      <c r="G382" s="1">
        <v>2.0</v>
      </c>
      <c r="H382" s="1">
        <v>7.0</v>
      </c>
      <c r="I382" s="3" t="str">
        <f>VLOOKUP(B382,Customers!A:J, 10,FALSE)</f>
        <v>Vanessa West</v>
      </c>
      <c r="J382" s="3" t="str">
        <f>VLOOKUP(B382,Customers!A:J,8,FALSE)</f>
        <v>NY</v>
      </c>
      <c r="K382" s="3" t="str">
        <f>VLOOKUP(B382,Customers!A:J,7,FALSE)</f>
        <v>New Rochelle</v>
      </c>
      <c r="L382" s="3" t="str">
        <f>VLOOKUP(H382,Staff!A:I,9,FALSE)</f>
        <v>Venita Daniel</v>
      </c>
      <c r="M382" s="3" t="str">
        <f>VLOOKUP(G382,Store!A:H,2,FALSE)</f>
        <v>Baldwin Bikes</v>
      </c>
      <c r="N382" s="3" t="str">
        <f>VLOOKUP(G382,Store!A:H,6,FALSE)</f>
        <v>Baldwin</v>
      </c>
      <c r="O382" s="3" t="s">
        <v>16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>
        <v>382.0</v>
      </c>
      <c r="B383" s="1">
        <v>199.0</v>
      </c>
      <c r="C383" s="1">
        <v>4.0</v>
      </c>
      <c r="D383" s="4">
        <v>42602.0</v>
      </c>
      <c r="E383" s="4">
        <v>42605.0</v>
      </c>
      <c r="F383" s="4">
        <v>42605.0</v>
      </c>
      <c r="G383" s="1">
        <v>2.0</v>
      </c>
      <c r="H383" s="1">
        <v>6.0</v>
      </c>
      <c r="I383" s="3" t="str">
        <f>VLOOKUP(B383,Customers!A:J, 10,FALSE)</f>
        <v>Clelia Workman</v>
      </c>
      <c r="J383" s="3" t="str">
        <f>VLOOKUP(B383,Customers!A:J,8,FALSE)</f>
        <v>NY</v>
      </c>
      <c r="K383" s="3" t="str">
        <f>VLOOKUP(B383,Customers!A:J,7,FALSE)</f>
        <v>New Windsor</v>
      </c>
      <c r="L383" s="3" t="str">
        <f>VLOOKUP(H383,Staff!A:I,9,FALSE)</f>
        <v>Marcelene Boyer</v>
      </c>
      <c r="M383" s="3" t="str">
        <f>VLOOKUP(G383,Store!A:H,2,FALSE)</f>
        <v>Baldwin Bikes</v>
      </c>
      <c r="N383" s="3" t="str">
        <f>VLOOKUP(G383,Store!A:H,6,FALSE)</f>
        <v>Baldwin</v>
      </c>
      <c r="O383" s="3" t="s">
        <v>16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>
        <v>383.0</v>
      </c>
      <c r="B384" s="1">
        <v>331.0</v>
      </c>
      <c r="C384" s="1">
        <v>4.0</v>
      </c>
      <c r="D384" s="4">
        <v>42602.0</v>
      </c>
      <c r="E384" s="4">
        <v>42605.0</v>
      </c>
      <c r="F384" s="4">
        <v>42604.0</v>
      </c>
      <c r="G384" s="1">
        <v>2.0</v>
      </c>
      <c r="H384" s="1">
        <v>7.0</v>
      </c>
      <c r="I384" s="3" t="str">
        <f>VLOOKUP(B384,Customers!A:J, 10,FALSE)</f>
        <v>Aleta Mack</v>
      </c>
      <c r="J384" s="3" t="str">
        <f>VLOOKUP(B384,Customers!A:J,8,FALSE)</f>
        <v>NY</v>
      </c>
      <c r="K384" s="3" t="str">
        <f>VLOOKUP(B384,Customers!A:J,7,FALSE)</f>
        <v>Bay Shore</v>
      </c>
      <c r="L384" s="3" t="str">
        <f>VLOOKUP(H384,Staff!A:I,9,FALSE)</f>
        <v>Venita Daniel</v>
      </c>
      <c r="M384" s="3" t="str">
        <f>VLOOKUP(G384,Store!A:H,2,FALSE)</f>
        <v>Baldwin Bikes</v>
      </c>
      <c r="N384" s="3" t="str">
        <f>VLOOKUP(G384,Store!A:H,6,FALSE)</f>
        <v>Baldwin</v>
      </c>
      <c r="O384" s="3" t="s">
        <v>16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>
        <v>384.0</v>
      </c>
      <c r="B385" s="1">
        <v>410.0</v>
      </c>
      <c r="C385" s="1">
        <v>4.0</v>
      </c>
      <c r="D385" s="4">
        <v>42602.0</v>
      </c>
      <c r="E385" s="4">
        <v>42604.0</v>
      </c>
      <c r="F385" s="4">
        <v>42605.0</v>
      </c>
      <c r="G385" s="1">
        <v>2.0</v>
      </c>
      <c r="H385" s="1">
        <v>7.0</v>
      </c>
      <c r="I385" s="3" t="str">
        <f>VLOOKUP(B385,Customers!A:J, 10,FALSE)</f>
        <v>Conception Slater</v>
      </c>
      <c r="J385" s="3" t="str">
        <f>VLOOKUP(B385,Customers!A:J,8,FALSE)</f>
        <v>NY</v>
      </c>
      <c r="K385" s="3" t="str">
        <f>VLOOKUP(B385,Customers!A:J,7,FALSE)</f>
        <v>Bellmore</v>
      </c>
      <c r="L385" s="3" t="str">
        <f>VLOOKUP(H385,Staff!A:I,9,FALSE)</f>
        <v>Venita Daniel</v>
      </c>
      <c r="M385" s="3" t="str">
        <f>VLOOKUP(G385,Store!A:H,2,FALSE)</f>
        <v>Baldwin Bikes</v>
      </c>
      <c r="N385" s="3" t="str">
        <f>VLOOKUP(G385,Store!A:H,6,FALSE)</f>
        <v>Baldwin</v>
      </c>
      <c r="O385" s="3" t="s">
        <v>16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>
        <v>385.0</v>
      </c>
      <c r="B386" s="1">
        <v>1274.0</v>
      </c>
      <c r="C386" s="1">
        <v>4.0</v>
      </c>
      <c r="D386" s="4">
        <v>42602.0</v>
      </c>
      <c r="E386" s="4">
        <v>42605.0</v>
      </c>
      <c r="F386" s="4">
        <v>42604.0</v>
      </c>
      <c r="G386" s="1">
        <v>2.0</v>
      </c>
      <c r="H386" s="1">
        <v>7.0</v>
      </c>
      <c r="I386" s="3" t="str">
        <f>VLOOKUP(B386,Customers!A:J, 10,FALSE)</f>
        <v>Odette Moses</v>
      </c>
      <c r="J386" s="3" t="str">
        <f>VLOOKUP(B386,Customers!A:J,8,FALSE)</f>
        <v>NY</v>
      </c>
      <c r="K386" s="3" t="str">
        <f>VLOOKUP(B386,Customers!A:J,7,FALSE)</f>
        <v>Newburgh</v>
      </c>
      <c r="L386" s="3" t="str">
        <f>VLOOKUP(H386,Staff!A:I,9,FALSE)</f>
        <v>Venita Daniel</v>
      </c>
      <c r="M386" s="3" t="str">
        <f>VLOOKUP(G386,Store!A:H,2,FALSE)</f>
        <v>Baldwin Bikes</v>
      </c>
      <c r="N386" s="3" t="str">
        <f>VLOOKUP(G386,Store!A:H,6,FALSE)</f>
        <v>Baldwin</v>
      </c>
      <c r="O386" s="3" t="s">
        <v>16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>
        <v>386.0</v>
      </c>
      <c r="B387" s="1">
        <v>1362.0</v>
      </c>
      <c r="C387" s="1">
        <v>4.0</v>
      </c>
      <c r="D387" s="4">
        <v>42602.0</v>
      </c>
      <c r="E387" s="4">
        <v>42605.0</v>
      </c>
      <c r="F387" s="4">
        <v>42605.0</v>
      </c>
      <c r="G387" s="1">
        <v>2.0</v>
      </c>
      <c r="H387" s="1">
        <v>6.0</v>
      </c>
      <c r="I387" s="3" t="str">
        <f>VLOOKUP(B387,Customers!A:J, 10,FALSE)</f>
        <v>Christiana Gross</v>
      </c>
      <c r="J387" s="3" t="str">
        <f>VLOOKUP(B387,Customers!A:J,8,FALSE)</f>
        <v>NY</v>
      </c>
      <c r="K387" s="3" t="str">
        <f>VLOOKUP(B387,Customers!A:J,7,FALSE)</f>
        <v>Orchard Park</v>
      </c>
      <c r="L387" s="3" t="str">
        <f>VLOOKUP(H387,Staff!A:I,9,FALSE)</f>
        <v>Marcelene Boyer</v>
      </c>
      <c r="M387" s="3" t="str">
        <f>VLOOKUP(G387,Store!A:H,2,FALSE)</f>
        <v>Baldwin Bikes</v>
      </c>
      <c r="N387" s="3" t="str">
        <f>VLOOKUP(G387,Store!A:H,6,FALSE)</f>
        <v>Baldwin</v>
      </c>
      <c r="O387" s="3" t="s">
        <v>16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>
        <v>387.0</v>
      </c>
      <c r="B388" s="1">
        <v>451.0</v>
      </c>
      <c r="C388" s="1">
        <v>4.0</v>
      </c>
      <c r="D388" s="4">
        <v>42602.0</v>
      </c>
      <c r="E388" s="4">
        <v>42603.0</v>
      </c>
      <c r="F388" s="4">
        <v>42603.0</v>
      </c>
      <c r="G388" s="1">
        <v>3.0</v>
      </c>
      <c r="H388" s="1">
        <v>8.0</v>
      </c>
      <c r="I388" s="3" t="str">
        <f>VLOOKUP(B388,Customers!A:J, 10,FALSE)</f>
        <v>Jennette Wooten</v>
      </c>
      <c r="J388" s="3" t="str">
        <f>VLOOKUP(B388,Customers!A:J,8,FALSE)</f>
        <v>TX</v>
      </c>
      <c r="K388" s="3" t="str">
        <f>VLOOKUP(B388,Customers!A:J,7,FALSE)</f>
        <v>Rowlett</v>
      </c>
      <c r="L388" s="3" t="str">
        <f>VLOOKUP(H388,Staff!A:I,9,FALSE)</f>
        <v>Kali Vargas</v>
      </c>
      <c r="M388" s="3" t="str">
        <f>VLOOKUP(G388,Store!A:H,2,FALSE)</f>
        <v>Rowlett Bikes</v>
      </c>
      <c r="N388" s="3" t="str">
        <f>VLOOKUP(G388,Store!A:H,6,FALSE)</f>
        <v>Rowlett</v>
      </c>
      <c r="O388" s="3" t="s">
        <v>17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>
        <v>388.0</v>
      </c>
      <c r="B389" s="1">
        <v>1080.0</v>
      </c>
      <c r="C389" s="1">
        <v>4.0</v>
      </c>
      <c r="D389" s="4">
        <v>42603.0</v>
      </c>
      <c r="E389" s="4">
        <v>42606.0</v>
      </c>
      <c r="F389" s="4">
        <v>42605.0</v>
      </c>
      <c r="G389" s="1">
        <v>3.0</v>
      </c>
      <c r="H389" s="1">
        <v>8.0</v>
      </c>
      <c r="I389" s="3" t="str">
        <f>VLOOKUP(B389,Customers!A:J, 10,FALSE)</f>
        <v>Mirella Duffy</v>
      </c>
      <c r="J389" s="3" t="str">
        <f>VLOOKUP(B389,Customers!A:J,8,FALSE)</f>
        <v>TX</v>
      </c>
      <c r="K389" s="3" t="str">
        <f>VLOOKUP(B389,Customers!A:J,7,FALSE)</f>
        <v>Longview</v>
      </c>
      <c r="L389" s="3" t="str">
        <f>VLOOKUP(H389,Staff!A:I,9,FALSE)</f>
        <v>Kali Vargas</v>
      </c>
      <c r="M389" s="3" t="str">
        <f>VLOOKUP(G389,Store!A:H,2,FALSE)</f>
        <v>Rowlett Bikes</v>
      </c>
      <c r="N389" s="3" t="str">
        <f>VLOOKUP(G389,Store!A:H,6,FALSE)</f>
        <v>Rowlett</v>
      </c>
      <c r="O389" s="3" t="s">
        <v>17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>
        <v>389.0</v>
      </c>
      <c r="B390" s="1">
        <v>53.0</v>
      </c>
      <c r="C390" s="1">
        <v>4.0</v>
      </c>
      <c r="D390" s="4">
        <v>42604.0</v>
      </c>
      <c r="E390" s="4">
        <v>42606.0</v>
      </c>
      <c r="F390" s="4">
        <v>42607.0</v>
      </c>
      <c r="G390" s="1">
        <v>1.0</v>
      </c>
      <c r="H390" s="1">
        <v>3.0</v>
      </c>
      <c r="I390" s="3" t="str">
        <f>VLOOKUP(B390,Customers!A:J, 10,FALSE)</f>
        <v>Saturnina Garner</v>
      </c>
      <c r="J390" s="3" t="str">
        <f>VLOOKUP(B390,Customers!A:J,8,FALSE)</f>
        <v>CA</v>
      </c>
      <c r="K390" s="3" t="str">
        <f>VLOOKUP(B390,Customers!A:J,7,FALSE)</f>
        <v>Glendora</v>
      </c>
      <c r="L390" s="3" t="str">
        <f>VLOOKUP(H390,Staff!A:I,9,FALSE)</f>
        <v>Genna Serrano</v>
      </c>
      <c r="M390" s="3" t="str">
        <f>VLOOKUP(G390,Store!A:H,2,FALSE)</f>
        <v>Santa Cruz Bikes</v>
      </c>
      <c r="N390" s="3" t="str">
        <f>VLOOKUP(G390,Store!A:H,6,FALSE)</f>
        <v>Santa Cruz</v>
      </c>
      <c r="O390" s="3" t="s">
        <v>15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>
        <v>390.0</v>
      </c>
      <c r="B391" s="1">
        <v>576.0</v>
      </c>
      <c r="C391" s="1">
        <v>4.0</v>
      </c>
      <c r="D391" s="4">
        <v>42604.0</v>
      </c>
      <c r="E391" s="4">
        <v>42606.0</v>
      </c>
      <c r="F391" s="4">
        <v>42607.0</v>
      </c>
      <c r="G391" s="1">
        <v>3.0</v>
      </c>
      <c r="H391" s="1">
        <v>9.0</v>
      </c>
      <c r="I391" s="3" t="str">
        <f>VLOOKUP(B391,Customers!A:J, 10,FALSE)</f>
        <v>Shirely Stanley</v>
      </c>
      <c r="J391" s="3" t="str">
        <f>VLOOKUP(B391,Customers!A:J,8,FALSE)</f>
        <v>TX</v>
      </c>
      <c r="K391" s="3" t="str">
        <f>VLOOKUP(B391,Customers!A:J,7,FALSE)</f>
        <v>El Paso</v>
      </c>
      <c r="L391" s="3" t="str">
        <f>VLOOKUP(H391,Staff!A:I,9,FALSE)</f>
        <v>Layla Terrell</v>
      </c>
      <c r="M391" s="3" t="str">
        <f>VLOOKUP(G391,Store!A:H,2,FALSE)</f>
        <v>Rowlett Bikes</v>
      </c>
      <c r="N391" s="3" t="str">
        <f>VLOOKUP(G391,Store!A:H,6,FALSE)</f>
        <v>Rowlett</v>
      </c>
      <c r="O391" s="3" t="s">
        <v>17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>
        <v>391.0</v>
      </c>
      <c r="B392" s="1">
        <v>61.0</v>
      </c>
      <c r="C392" s="1">
        <v>3.0</v>
      </c>
      <c r="D392" s="4">
        <v>42605.0</v>
      </c>
      <c r="E392" s="4">
        <v>42605.0</v>
      </c>
      <c r="F392" s="1" t="s">
        <v>18</v>
      </c>
      <c r="G392" s="1">
        <v>3.0</v>
      </c>
      <c r="H392" s="1">
        <v>9.0</v>
      </c>
      <c r="I392" s="3" t="str">
        <f>VLOOKUP(B392,Customers!A:J, 10,FALSE)</f>
        <v>Elinore Aguilar</v>
      </c>
      <c r="J392" s="3" t="str">
        <f>VLOOKUP(B392,Customers!A:J,8,FALSE)</f>
        <v>TX</v>
      </c>
      <c r="K392" s="3" t="str">
        <f>VLOOKUP(B392,Customers!A:J,7,FALSE)</f>
        <v>San Angelo</v>
      </c>
      <c r="L392" s="3" t="str">
        <f>VLOOKUP(H392,Staff!A:I,9,FALSE)</f>
        <v>Layla Terrell</v>
      </c>
      <c r="M392" s="3" t="str">
        <f>VLOOKUP(G392,Store!A:H,2,FALSE)</f>
        <v>Rowlett Bikes</v>
      </c>
      <c r="N392" s="3" t="str">
        <f>VLOOKUP(G392,Store!A:H,6,FALSE)</f>
        <v>Rowlett</v>
      </c>
      <c r="O392" s="3" t="s">
        <v>17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>
        <v>392.0</v>
      </c>
      <c r="B393" s="1">
        <v>176.0</v>
      </c>
      <c r="C393" s="1">
        <v>4.0</v>
      </c>
      <c r="D393" s="4">
        <v>42605.0</v>
      </c>
      <c r="E393" s="4">
        <v>42608.0</v>
      </c>
      <c r="F393" s="4">
        <v>42606.0</v>
      </c>
      <c r="G393" s="1">
        <v>1.0</v>
      </c>
      <c r="H393" s="1">
        <v>3.0</v>
      </c>
      <c r="I393" s="3" t="str">
        <f>VLOOKUP(B393,Customers!A:J, 10,FALSE)</f>
        <v>Carley Reynolds</v>
      </c>
      <c r="J393" s="3" t="str">
        <f>VLOOKUP(B393,Customers!A:J,8,FALSE)</f>
        <v>CA</v>
      </c>
      <c r="K393" s="3" t="str">
        <f>VLOOKUP(B393,Customers!A:J,7,FALSE)</f>
        <v>South El Monte</v>
      </c>
      <c r="L393" s="3" t="str">
        <f>VLOOKUP(H393,Staff!A:I,9,FALSE)</f>
        <v>Genna Serrano</v>
      </c>
      <c r="M393" s="3" t="str">
        <f>VLOOKUP(G393,Store!A:H,2,FALSE)</f>
        <v>Santa Cruz Bikes</v>
      </c>
      <c r="N393" s="3" t="str">
        <f>VLOOKUP(G393,Store!A:H,6,FALSE)</f>
        <v>Santa Cruz</v>
      </c>
      <c r="O393" s="3" t="s">
        <v>15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>
        <v>393.0</v>
      </c>
      <c r="B394" s="1">
        <v>368.0</v>
      </c>
      <c r="C394" s="1">
        <v>4.0</v>
      </c>
      <c r="D394" s="4">
        <v>42607.0</v>
      </c>
      <c r="E394" s="4">
        <v>42608.0</v>
      </c>
      <c r="F394" s="4">
        <v>42609.0</v>
      </c>
      <c r="G394" s="1">
        <v>2.0</v>
      </c>
      <c r="H394" s="1">
        <v>6.0</v>
      </c>
      <c r="I394" s="3" t="str">
        <f>VLOOKUP(B394,Customers!A:J, 10,FALSE)</f>
        <v>Alysha Powers</v>
      </c>
      <c r="J394" s="3" t="str">
        <f>VLOOKUP(B394,Customers!A:J,8,FALSE)</f>
        <v>NY</v>
      </c>
      <c r="K394" s="3" t="str">
        <f>VLOOKUP(B394,Customers!A:J,7,FALSE)</f>
        <v>Forest Hills</v>
      </c>
      <c r="L394" s="3" t="str">
        <f>VLOOKUP(H394,Staff!A:I,9,FALSE)</f>
        <v>Marcelene Boyer</v>
      </c>
      <c r="M394" s="3" t="str">
        <f>VLOOKUP(G394,Store!A:H,2,FALSE)</f>
        <v>Baldwin Bikes</v>
      </c>
      <c r="N394" s="3" t="str">
        <f>VLOOKUP(G394,Store!A:H,6,FALSE)</f>
        <v>Baldwin</v>
      </c>
      <c r="O394" s="3" t="s">
        <v>16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>
        <v>394.0</v>
      </c>
      <c r="B395" s="1">
        <v>522.0</v>
      </c>
      <c r="C395" s="1">
        <v>4.0</v>
      </c>
      <c r="D395" s="4">
        <v>42608.0</v>
      </c>
      <c r="E395" s="4">
        <v>42610.0</v>
      </c>
      <c r="F395" s="4">
        <v>42611.0</v>
      </c>
      <c r="G395" s="1">
        <v>1.0</v>
      </c>
      <c r="H395" s="1">
        <v>3.0</v>
      </c>
      <c r="I395" s="3" t="str">
        <f>VLOOKUP(B395,Customers!A:J, 10,FALSE)</f>
        <v>Tammera Fischer</v>
      </c>
      <c r="J395" s="3" t="str">
        <f>VLOOKUP(B395,Customers!A:J,8,FALSE)</f>
        <v>CA</v>
      </c>
      <c r="K395" s="3" t="str">
        <f>VLOOKUP(B395,Customers!A:J,7,FALSE)</f>
        <v>Oakland</v>
      </c>
      <c r="L395" s="3" t="str">
        <f>VLOOKUP(H395,Staff!A:I,9,FALSE)</f>
        <v>Genna Serrano</v>
      </c>
      <c r="M395" s="3" t="str">
        <f>VLOOKUP(G395,Store!A:H,2,FALSE)</f>
        <v>Santa Cruz Bikes</v>
      </c>
      <c r="N395" s="3" t="str">
        <f>VLOOKUP(G395,Store!A:H,6,FALSE)</f>
        <v>Santa Cruz</v>
      </c>
      <c r="O395" s="3" t="s">
        <v>15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>
        <v>395.0</v>
      </c>
      <c r="B396" s="1">
        <v>144.0</v>
      </c>
      <c r="C396" s="1">
        <v>4.0</v>
      </c>
      <c r="D396" s="4">
        <v>42608.0</v>
      </c>
      <c r="E396" s="4">
        <v>42609.0</v>
      </c>
      <c r="F396" s="4">
        <v>42611.0</v>
      </c>
      <c r="G396" s="1">
        <v>2.0</v>
      </c>
      <c r="H396" s="1">
        <v>6.0</v>
      </c>
      <c r="I396" s="3" t="str">
        <f>VLOOKUP(B396,Customers!A:J, 10,FALSE)</f>
        <v>Hans Price</v>
      </c>
      <c r="J396" s="3" t="str">
        <f>VLOOKUP(B396,Customers!A:J,8,FALSE)</f>
        <v>NY</v>
      </c>
      <c r="K396" s="3" t="str">
        <f>VLOOKUP(B396,Customers!A:J,7,FALSE)</f>
        <v>Port Chester</v>
      </c>
      <c r="L396" s="3" t="str">
        <f>VLOOKUP(H396,Staff!A:I,9,FALSE)</f>
        <v>Marcelene Boyer</v>
      </c>
      <c r="M396" s="3" t="str">
        <f>VLOOKUP(G396,Store!A:H,2,FALSE)</f>
        <v>Baldwin Bikes</v>
      </c>
      <c r="N396" s="3" t="str">
        <f>VLOOKUP(G396,Store!A:H,6,FALSE)</f>
        <v>Baldwin</v>
      </c>
      <c r="O396" s="3" t="s">
        <v>16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>
        <v>396.0</v>
      </c>
      <c r="B397" s="1">
        <v>542.0</v>
      </c>
      <c r="C397" s="1">
        <v>4.0</v>
      </c>
      <c r="D397" s="4">
        <v>42609.0</v>
      </c>
      <c r="E397" s="4">
        <v>42612.0</v>
      </c>
      <c r="F397" s="4">
        <v>42611.0</v>
      </c>
      <c r="G397" s="1">
        <v>2.0</v>
      </c>
      <c r="H397" s="1">
        <v>6.0</v>
      </c>
      <c r="I397" s="3" t="str">
        <f>VLOOKUP(B397,Customers!A:J, 10,FALSE)</f>
        <v>Timothy Byers</v>
      </c>
      <c r="J397" s="3" t="str">
        <f>VLOOKUP(B397,Customers!A:J,8,FALSE)</f>
        <v>NY</v>
      </c>
      <c r="K397" s="3" t="str">
        <f>VLOOKUP(B397,Customers!A:J,7,FALSE)</f>
        <v>Ronkonkoma</v>
      </c>
      <c r="L397" s="3" t="str">
        <f>VLOOKUP(H397,Staff!A:I,9,FALSE)</f>
        <v>Marcelene Boyer</v>
      </c>
      <c r="M397" s="3" t="str">
        <f>VLOOKUP(G397,Store!A:H,2,FALSE)</f>
        <v>Baldwin Bikes</v>
      </c>
      <c r="N397" s="3" t="str">
        <f>VLOOKUP(G397,Store!A:H,6,FALSE)</f>
        <v>Baldwin</v>
      </c>
      <c r="O397" s="3" t="s">
        <v>16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>
        <v>397.0</v>
      </c>
      <c r="B398" s="1">
        <v>1437.0</v>
      </c>
      <c r="C398" s="1">
        <v>4.0</v>
      </c>
      <c r="D398" s="4">
        <v>42610.0</v>
      </c>
      <c r="E398" s="4">
        <v>42613.0</v>
      </c>
      <c r="F398" s="4">
        <v>42611.0</v>
      </c>
      <c r="G398" s="1">
        <v>2.0</v>
      </c>
      <c r="H398" s="1">
        <v>7.0</v>
      </c>
      <c r="I398" s="3" t="str">
        <f>VLOOKUP(B398,Customers!A:J, 10,FALSE)</f>
        <v>Son Warner</v>
      </c>
      <c r="J398" s="3" t="str">
        <f>VLOOKUP(B398,Customers!A:J,8,FALSE)</f>
        <v>NY</v>
      </c>
      <c r="K398" s="3" t="str">
        <f>VLOOKUP(B398,Customers!A:J,7,FALSE)</f>
        <v>Rockville Centre</v>
      </c>
      <c r="L398" s="3" t="str">
        <f>VLOOKUP(H398,Staff!A:I,9,FALSE)</f>
        <v>Venita Daniel</v>
      </c>
      <c r="M398" s="3" t="str">
        <f>VLOOKUP(G398,Store!A:H,2,FALSE)</f>
        <v>Baldwin Bikes</v>
      </c>
      <c r="N398" s="3" t="str">
        <f>VLOOKUP(G398,Store!A:H,6,FALSE)</f>
        <v>Baldwin</v>
      </c>
      <c r="O398" s="3" t="s">
        <v>16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>
        <v>398.0</v>
      </c>
      <c r="B399" s="1">
        <v>447.0</v>
      </c>
      <c r="C399" s="1">
        <v>4.0</v>
      </c>
      <c r="D399" s="4">
        <v>42611.0</v>
      </c>
      <c r="E399" s="4">
        <v>42612.0</v>
      </c>
      <c r="F399" s="4">
        <v>42614.0</v>
      </c>
      <c r="G399" s="1">
        <v>1.0</v>
      </c>
      <c r="H399" s="1">
        <v>2.0</v>
      </c>
      <c r="I399" s="3" t="str">
        <f>VLOOKUP(B399,Customers!A:J, 10,FALSE)</f>
        <v>Chasidy Tran</v>
      </c>
      <c r="J399" s="3" t="str">
        <f>VLOOKUP(B399,Customers!A:J,8,FALSE)</f>
        <v>CA</v>
      </c>
      <c r="K399" s="3" t="str">
        <f>VLOOKUP(B399,Customers!A:J,7,FALSE)</f>
        <v>Vista</v>
      </c>
      <c r="L399" s="3" t="str">
        <f>VLOOKUP(H399,Staff!A:I,9,FALSE)</f>
        <v>Mireya Copeland</v>
      </c>
      <c r="M399" s="3" t="str">
        <f>VLOOKUP(G399,Store!A:H,2,FALSE)</f>
        <v>Santa Cruz Bikes</v>
      </c>
      <c r="N399" s="3" t="str">
        <f>VLOOKUP(G399,Store!A:H,6,FALSE)</f>
        <v>Santa Cruz</v>
      </c>
      <c r="O399" s="3" t="s">
        <v>15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>
        <v>399.0</v>
      </c>
      <c r="B400" s="1">
        <v>1001.0</v>
      </c>
      <c r="C400" s="1">
        <v>4.0</v>
      </c>
      <c r="D400" s="4">
        <v>42611.0</v>
      </c>
      <c r="E400" s="4">
        <v>42614.0</v>
      </c>
      <c r="F400" s="4">
        <v>42614.0</v>
      </c>
      <c r="G400" s="1">
        <v>2.0</v>
      </c>
      <c r="H400" s="1">
        <v>7.0</v>
      </c>
      <c r="I400" s="3" t="str">
        <f>VLOOKUP(B400,Customers!A:J, 10,FALSE)</f>
        <v>Lee Roman</v>
      </c>
      <c r="J400" s="3" t="str">
        <f>VLOOKUP(B400,Customers!A:J,8,FALSE)</f>
        <v>NY</v>
      </c>
      <c r="K400" s="3" t="str">
        <f>VLOOKUP(B400,Customers!A:J,7,FALSE)</f>
        <v>Brentwood</v>
      </c>
      <c r="L400" s="3" t="str">
        <f>VLOOKUP(H400,Staff!A:I,9,FALSE)</f>
        <v>Venita Daniel</v>
      </c>
      <c r="M400" s="3" t="str">
        <f>VLOOKUP(G400,Store!A:H,2,FALSE)</f>
        <v>Baldwin Bikes</v>
      </c>
      <c r="N400" s="3" t="str">
        <f>VLOOKUP(G400,Store!A:H,6,FALSE)</f>
        <v>Baldwin</v>
      </c>
      <c r="O400" s="3" t="s">
        <v>16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>
        <v>400.0</v>
      </c>
      <c r="B401" s="1">
        <v>1295.0</v>
      </c>
      <c r="C401" s="1">
        <v>4.0</v>
      </c>
      <c r="D401" s="4">
        <v>42611.0</v>
      </c>
      <c r="E401" s="4">
        <v>42612.0</v>
      </c>
      <c r="F401" s="4">
        <v>42613.0</v>
      </c>
      <c r="G401" s="1">
        <v>2.0</v>
      </c>
      <c r="H401" s="1">
        <v>6.0</v>
      </c>
      <c r="I401" s="3" t="str">
        <f>VLOOKUP(B401,Customers!A:J, 10,FALSE)</f>
        <v>Alline Beasley</v>
      </c>
      <c r="J401" s="3" t="str">
        <f>VLOOKUP(B401,Customers!A:J,8,FALSE)</f>
        <v>NY</v>
      </c>
      <c r="K401" s="3" t="str">
        <f>VLOOKUP(B401,Customers!A:J,7,FALSE)</f>
        <v>North Tonawanda</v>
      </c>
      <c r="L401" s="3" t="str">
        <f>VLOOKUP(H401,Staff!A:I,9,FALSE)</f>
        <v>Marcelene Boyer</v>
      </c>
      <c r="M401" s="3" t="str">
        <f>VLOOKUP(G401,Store!A:H,2,FALSE)</f>
        <v>Baldwin Bikes</v>
      </c>
      <c r="N401" s="3" t="str">
        <f>VLOOKUP(G401,Store!A:H,6,FALSE)</f>
        <v>Baldwin</v>
      </c>
      <c r="O401" s="3" t="s">
        <v>16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>
        <v>401.0</v>
      </c>
      <c r="B402" s="1">
        <v>103.0</v>
      </c>
      <c r="C402" s="1">
        <v>4.0</v>
      </c>
      <c r="D402" s="4">
        <v>42612.0</v>
      </c>
      <c r="E402" s="4">
        <v>42615.0</v>
      </c>
      <c r="F402" s="4">
        <v>42614.0</v>
      </c>
      <c r="G402" s="1">
        <v>2.0</v>
      </c>
      <c r="H402" s="1">
        <v>6.0</v>
      </c>
      <c r="I402" s="3" t="str">
        <f>VLOOKUP(B402,Customers!A:J, 10,FALSE)</f>
        <v>Sylvie Wilkerson</v>
      </c>
      <c r="J402" s="3" t="str">
        <f>VLOOKUP(B402,Customers!A:J,8,FALSE)</f>
        <v>NY</v>
      </c>
      <c r="K402" s="3" t="str">
        <f>VLOOKUP(B402,Customers!A:J,7,FALSE)</f>
        <v>Syosset</v>
      </c>
      <c r="L402" s="3" t="str">
        <f>VLOOKUP(H402,Staff!A:I,9,FALSE)</f>
        <v>Marcelene Boyer</v>
      </c>
      <c r="M402" s="3" t="str">
        <f>VLOOKUP(G402,Store!A:H,2,FALSE)</f>
        <v>Baldwin Bikes</v>
      </c>
      <c r="N402" s="3" t="str">
        <f>VLOOKUP(G402,Store!A:H,6,FALSE)</f>
        <v>Baldwin</v>
      </c>
      <c r="O402" s="3" t="s">
        <v>16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>
        <v>402.0</v>
      </c>
      <c r="B403" s="1">
        <v>1335.0</v>
      </c>
      <c r="C403" s="1">
        <v>4.0</v>
      </c>
      <c r="D403" s="4">
        <v>42612.0</v>
      </c>
      <c r="E403" s="4">
        <v>42614.0</v>
      </c>
      <c r="F403" s="4">
        <v>42613.0</v>
      </c>
      <c r="G403" s="1">
        <v>2.0</v>
      </c>
      <c r="H403" s="1">
        <v>6.0</v>
      </c>
      <c r="I403" s="3" t="str">
        <f>VLOOKUP(B403,Customers!A:J, 10,FALSE)</f>
        <v>Corina Lynch</v>
      </c>
      <c r="J403" s="3" t="str">
        <f>VLOOKUP(B403,Customers!A:J,8,FALSE)</f>
        <v>NY</v>
      </c>
      <c r="K403" s="3" t="str">
        <f>VLOOKUP(B403,Customers!A:J,7,FALSE)</f>
        <v>Rosedale</v>
      </c>
      <c r="L403" s="3" t="str">
        <f>VLOOKUP(H403,Staff!A:I,9,FALSE)</f>
        <v>Marcelene Boyer</v>
      </c>
      <c r="M403" s="3" t="str">
        <f>VLOOKUP(G403,Store!A:H,2,FALSE)</f>
        <v>Baldwin Bikes</v>
      </c>
      <c r="N403" s="3" t="str">
        <f>VLOOKUP(G403,Store!A:H,6,FALSE)</f>
        <v>Baldwin</v>
      </c>
      <c r="O403" s="3" t="s">
        <v>16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>
        <v>403.0</v>
      </c>
      <c r="B404" s="1">
        <v>578.0</v>
      </c>
      <c r="C404" s="1">
        <v>4.0</v>
      </c>
      <c r="D404" s="4">
        <v>42613.0</v>
      </c>
      <c r="E404" s="4">
        <v>42614.0</v>
      </c>
      <c r="F404" s="4">
        <v>42615.0</v>
      </c>
      <c r="G404" s="1">
        <v>1.0</v>
      </c>
      <c r="H404" s="1">
        <v>3.0</v>
      </c>
      <c r="I404" s="3" t="str">
        <f>VLOOKUP(B404,Customers!A:J, 10,FALSE)</f>
        <v>Salena Day</v>
      </c>
      <c r="J404" s="3" t="str">
        <f>VLOOKUP(B404,Customers!A:J,8,FALSE)</f>
        <v>CA</v>
      </c>
      <c r="K404" s="3" t="str">
        <f>VLOOKUP(B404,Customers!A:J,7,FALSE)</f>
        <v>San Lorenzo</v>
      </c>
      <c r="L404" s="3" t="str">
        <f>VLOOKUP(H404,Staff!A:I,9,FALSE)</f>
        <v>Genna Serrano</v>
      </c>
      <c r="M404" s="3" t="str">
        <f>VLOOKUP(G404,Store!A:H,2,FALSE)</f>
        <v>Santa Cruz Bikes</v>
      </c>
      <c r="N404" s="3" t="str">
        <f>VLOOKUP(G404,Store!A:H,6,FALSE)</f>
        <v>Santa Cruz</v>
      </c>
      <c r="O404" s="3" t="s">
        <v>15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>
        <v>404.0</v>
      </c>
      <c r="B405" s="1">
        <v>396.0</v>
      </c>
      <c r="C405" s="1">
        <v>4.0</v>
      </c>
      <c r="D405" s="4">
        <v>42613.0</v>
      </c>
      <c r="E405" s="4">
        <v>42616.0</v>
      </c>
      <c r="F405" s="4">
        <v>42614.0</v>
      </c>
      <c r="G405" s="1">
        <v>2.0</v>
      </c>
      <c r="H405" s="1">
        <v>7.0</v>
      </c>
      <c r="I405" s="3" t="str">
        <f>VLOOKUP(B405,Customers!A:J, 10,FALSE)</f>
        <v>Laverna Hernandez</v>
      </c>
      <c r="J405" s="3" t="str">
        <f>VLOOKUP(B405,Customers!A:J,8,FALSE)</f>
        <v>NY</v>
      </c>
      <c r="K405" s="3" t="str">
        <f>VLOOKUP(B405,Customers!A:J,7,FALSE)</f>
        <v>Niagara Falls</v>
      </c>
      <c r="L405" s="3" t="str">
        <f>VLOOKUP(H405,Staff!A:I,9,FALSE)</f>
        <v>Venita Daniel</v>
      </c>
      <c r="M405" s="3" t="str">
        <f>VLOOKUP(G405,Store!A:H,2,FALSE)</f>
        <v>Baldwin Bikes</v>
      </c>
      <c r="N405" s="3" t="str">
        <f>VLOOKUP(G405,Store!A:H,6,FALSE)</f>
        <v>Baldwin</v>
      </c>
      <c r="O405" s="3" t="s">
        <v>16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>
        <v>405.0</v>
      </c>
      <c r="B406" s="1">
        <v>603.0</v>
      </c>
      <c r="C406" s="1">
        <v>4.0</v>
      </c>
      <c r="D406" s="4">
        <v>42613.0</v>
      </c>
      <c r="E406" s="4">
        <v>42614.0</v>
      </c>
      <c r="F406" s="4">
        <v>42614.0</v>
      </c>
      <c r="G406" s="1">
        <v>2.0</v>
      </c>
      <c r="H406" s="1">
        <v>6.0</v>
      </c>
      <c r="I406" s="3" t="str">
        <f>VLOOKUP(B406,Customers!A:J, 10,FALSE)</f>
        <v>Genevieve Juarez</v>
      </c>
      <c r="J406" s="3" t="str">
        <f>VLOOKUP(B406,Customers!A:J,8,FALSE)</f>
        <v>NY</v>
      </c>
      <c r="K406" s="3" t="str">
        <f>VLOOKUP(B406,Customers!A:J,7,FALSE)</f>
        <v>New Hyde Park</v>
      </c>
      <c r="L406" s="3" t="str">
        <f>VLOOKUP(H406,Staff!A:I,9,FALSE)</f>
        <v>Marcelene Boyer</v>
      </c>
      <c r="M406" s="3" t="str">
        <f>VLOOKUP(G406,Store!A:H,2,FALSE)</f>
        <v>Baldwin Bikes</v>
      </c>
      <c r="N406" s="3" t="str">
        <f>VLOOKUP(G406,Store!A:H,6,FALSE)</f>
        <v>Baldwin</v>
      </c>
      <c r="O406" s="3" t="s">
        <v>16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>
        <v>406.0</v>
      </c>
      <c r="B407" s="1">
        <v>1380.0</v>
      </c>
      <c r="C407" s="1">
        <v>4.0</v>
      </c>
      <c r="D407" s="4">
        <v>42613.0</v>
      </c>
      <c r="E407" s="4">
        <v>42615.0</v>
      </c>
      <c r="F407" s="4">
        <v>42614.0</v>
      </c>
      <c r="G407" s="1">
        <v>2.0</v>
      </c>
      <c r="H407" s="1">
        <v>7.0</v>
      </c>
      <c r="I407" s="3" t="str">
        <f>VLOOKUP(B407,Customers!A:J, 10,FALSE)</f>
        <v>Eliz Lynch</v>
      </c>
      <c r="J407" s="3" t="str">
        <f>VLOOKUP(B407,Customers!A:J,8,FALSE)</f>
        <v>NY</v>
      </c>
      <c r="K407" s="3" t="str">
        <f>VLOOKUP(B407,Customers!A:J,7,FALSE)</f>
        <v>Uniondale</v>
      </c>
      <c r="L407" s="3" t="str">
        <f>VLOOKUP(H407,Staff!A:I,9,FALSE)</f>
        <v>Venita Daniel</v>
      </c>
      <c r="M407" s="3" t="str">
        <f>VLOOKUP(G407,Store!A:H,2,FALSE)</f>
        <v>Baldwin Bikes</v>
      </c>
      <c r="N407" s="3" t="str">
        <f>VLOOKUP(G407,Store!A:H,6,FALSE)</f>
        <v>Baldwin</v>
      </c>
      <c r="O407" s="3" t="s">
        <v>16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>
        <v>407.0</v>
      </c>
      <c r="B408" s="1">
        <v>77.0</v>
      </c>
      <c r="C408" s="1">
        <v>3.0</v>
      </c>
      <c r="D408" s="4">
        <v>42614.0</v>
      </c>
      <c r="E408" s="4">
        <v>42614.0</v>
      </c>
      <c r="F408" s="1" t="s">
        <v>18</v>
      </c>
      <c r="G408" s="1">
        <v>3.0</v>
      </c>
      <c r="H408" s="1">
        <v>8.0</v>
      </c>
      <c r="I408" s="3" t="str">
        <f>VLOOKUP(B408,Customers!A:J, 10,FALSE)</f>
        <v>Keri Bridges</v>
      </c>
      <c r="J408" s="3" t="str">
        <f>VLOOKUP(B408,Customers!A:J,8,FALSE)</f>
        <v>TX</v>
      </c>
      <c r="K408" s="3" t="str">
        <f>VLOOKUP(B408,Customers!A:J,7,FALSE)</f>
        <v>Richardson</v>
      </c>
      <c r="L408" s="3" t="str">
        <f>VLOOKUP(H408,Staff!A:I,9,FALSE)</f>
        <v>Kali Vargas</v>
      </c>
      <c r="M408" s="3" t="str">
        <f>VLOOKUP(G408,Store!A:H,2,FALSE)</f>
        <v>Rowlett Bikes</v>
      </c>
      <c r="N408" s="3" t="str">
        <f>VLOOKUP(G408,Store!A:H,6,FALSE)</f>
        <v>Rowlett</v>
      </c>
      <c r="O408" s="3" t="s">
        <v>17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>
        <v>408.0</v>
      </c>
      <c r="B409" s="1">
        <v>1071.0</v>
      </c>
      <c r="C409" s="1">
        <v>4.0</v>
      </c>
      <c r="D409" s="4">
        <v>42614.0</v>
      </c>
      <c r="E409" s="4">
        <v>42615.0</v>
      </c>
      <c r="F409" s="4">
        <v>42615.0</v>
      </c>
      <c r="G409" s="1">
        <v>1.0</v>
      </c>
      <c r="H409" s="1">
        <v>2.0</v>
      </c>
      <c r="I409" s="3" t="str">
        <f>VLOOKUP(B409,Customers!A:J, 10,FALSE)</f>
        <v>Shemeka Lyons</v>
      </c>
      <c r="J409" s="3" t="str">
        <f>VLOOKUP(B409,Customers!A:J,8,FALSE)</f>
        <v>CA</v>
      </c>
      <c r="K409" s="3" t="str">
        <f>VLOOKUP(B409,Customers!A:J,7,FALSE)</f>
        <v>Pomona</v>
      </c>
      <c r="L409" s="3" t="str">
        <f>VLOOKUP(H409,Staff!A:I,9,FALSE)</f>
        <v>Mireya Copeland</v>
      </c>
      <c r="M409" s="3" t="str">
        <f>VLOOKUP(G409,Store!A:H,2,FALSE)</f>
        <v>Santa Cruz Bikes</v>
      </c>
      <c r="N409" s="3" t="str">
        <f>VLOOKUP(G409,Store!A:H,6,FALSE)</f>
        <v>Santa Cruz</v>
      </c>
      <c r="O409" s="3" t="s">
        <v>15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>
        <v>409.0</v>
      </c>
      <c r="B410" s="1">
        <v>416.0</v>
      </c>
      <c r="C410" s="1">
        <v>4.0</v>
      </c>
      <c r="D410" s="4">
        <v>42614.0</v>
      </c>
      <c r="E410" s="4">
        <v>42617.0</v>
      </c>
      <c r="F410" s="4">
        <v>42617.0</v>
      </c>
      <c r="G410" s="1">
        <v>2.0</v>
      </c>
      <c r="H410" s="1">
        <v>7.0</v>
      </c>
      <c r="I410" s="3" t="str">
        <f>VLOOKUP(B410,Customers!A:J, 10,FALSE)</f>
        <v>Luke Fuller</v>
      </c>
      <c r="J410" s="3" t="str">
        <f>VLOOKUP(B410,Customers!A:J,8,FALSE)</f>
        <v>NY</v>
      </c>
      <c r="K410" s="3" t="str">
        <f>VLOOKUP(B410,Customers!A:J,7,FALSE)</f>
        <v>Hempstead</v>
      </c>
      <c r="L410" s="3" t="str">
        <f>VLOOKUP(H410,Staff!A:I,9,FALSE)</f>
        <v>Venita Daniel</v>
      </c>
      <c r="M410" s="3" t="str">
        <f>VLOOKUP(G410,Store!A:H,2,FALSE)</f>
        <v>Baldwin Bikes</v>
      </c>
      <c r="N410" s="3" t="str">
        <f>VLOOKUP(G410,Store!A:H,6,FALSE)</f>
        <v>Baldwin</v>
      </c>
      <c r="O410" s="3" t="s">
        <v>16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>
        <v>410.0</v>
      </c>
      <c r="B411" s="1">
        <v>1151.0</v>
      </c>
      <c r="C411" s="1">
        <v>4.0</v>
      </c>
      <c r="D411" s="4">
        <v>42614.0</v>
      </c>
      <c r="E411" s="4">
        <v>42616.0</v>
      </c>
      <c r="F411" s="4">
        <v>42615.0</v>
      </c>
      <c r="G411" s="1">
        <v>2.0</v>
      </c>
      <c r="H411" s="1">
        <v>6.0</v>
      </c>
      <c r="I411" s="3" t="str">
        <f>VLOOKUP(B411,Customers!A:J, 10,FALSE)</f>
        <v>Herminia Reyes</v>
      </c>
      <c r="J411" s="3" t="str">
        <f>VLOOKUP(B411,Customers!A:J,8,FALSE)</f>
        <v>NY</v>
      </c>
      <c r="K411" s="3" t="str">
        <f>VLOOKUP(B411,Customers!A:J,7,FALSE)</f>
        <v>Centereach</v>
      </c>
      <c r="L411" s="3" t="str">
        <f>VLOOKUP(H411,Staff!A:I,9,FALSE)</f>
        <v>Marcelene Boyer</v>
      </c>
      <c r="M411" s="3" t="str">
        <f>VLOOKUP(G411,Store!A:H,2,FALSE)</f>
        <v>Baldwin Bikes</v>
      </c>
      <c r="N411" s="3" t="str">
        <f>VLOOKUP(G411,Store!A:H,6,FALSE)</f>
        <v>Baldwin</v>
      </c>
      <c r="O411" s="3" t="s">
        <v>16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>
        <v>411.0</v>
      </c>
      <c r="B412" s="1">
        <v>261.0</v>
      </c>
      <c r="C412" s="1">
        <v>4.0</v>
      </c>
      <c r="D412" s="4">
        <v>42615.0</v>
      </c>
      <c r="E412" s="4">
        <v>42617.0</v>
      </c>
      <c r="F412" s="4">
        <v>42617.0</v>
      </c>
      <c r="G412" s="1">
        <v>1.0</v>
      </c>
      <c r="H412" s="1">
        <v>3.0</v>
      </c>
      <c r="I412" s="3" t="str">
        <f>VLOOKUP(B412,Customers!A:J, 10,FALSE)</f>
        <v>Ferne Kline</v>
      </c>
      <c r="J412" s="3" t="str">
        <f>VLOOKUP(B412,Customers!A:J,8,FALSE)</f>
        <v>CA</v>
      </c>
      <c r="K412" s="3" t="str">
        <f>VLOOKUP(B412,Customers!A:J,7,FALSE)</f>
        <v>Fullerton</v>
      </c>
      <c r="L412" s="3" t="str">
        <f>VLOOKUP(H412,Staff!A:I,9,FALSE)</f>
        <v>Genna Serrano</v>
      </c>
      <c r="M412" s="3" t="str">
        <f>VLOOKUP(G412,Store!A:H,2,FALSE)</f>
        <v>Santa Cruz Bikes</v>
      </c>
      <c r="N412" s="3" t="str">
        <f>VLOOKUP(G412,Store!A:H,6,FALSE)</f>
        <v>Santa Cruz</v>
      </c>
      <c r="O412" s="3" t="s">
        <v>15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>
        <v>412.0</v>
      </c>
      <c r="B413" s="1">
        <v>1202.0</v>
      </c>
      <c r="C413" s="1">
        <v>4.0</v>
      </c>
      <c r="D413" s="4">
        <v>42615.0</v>
      </c>
      <c r="E413" s="4">
        <v>42617.0</v>
      </c>
      <c r="F413" s="4">
        <v>42617.0</v>
      </c>
      <c r="G413" s="1">
        <v>1.0</v>
      </c>
      <c r="H413" s="1">
        <v>3.0</v>
      </c>
      <c r="I413" s="3" t="str">
        <f>VLOOKUP(B413,Customers!A:J, 10,FALSE)</f>
        <v>Carmina Emerson</v>
      </c>
      <c r="J413" s="3" t="str">
        <f>VLOOKUP(B413,Customers!A:J,8,FALSE)</f>
        <v>CA</v>
      </c>
      <c r="K413" s="3" t="str">
        <f>VLOOKUP(B413,Customers!A:J,7,FALSE)</f>
        <v>Banning</v>
      </c>
      <c r="L413" s="3" t="str">
        <f>VLOOKUP(H413,Staff!A:I,9,FALSE)</f>
        <v>Genna Serrano</v>
      </c>
      <c r="M413" s="3" t="str">
        <f>VLOOKUP(G413,Store!A:H,2,FALSE)</f>
        <v>Santa Cruz Bikes</v>
      </c>
      <c r="N413" s="3" t="str">
        <f>VLOOKUP(G413,Store!A:H,6,FALSE)</f>
        <v>Santa Cruz</v>
      </c>
      <c r="O413" s="3" t="s">
        <v>15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>
        <v>413.0</v>
      </c>
      <c r="B414" s="1">
        <v>717.0</v>
      </c>
      <c r="C414" s="1">
        <v>4.0</v>
      </c>
      <c r="D414" s="4">
        <v>42615.0</v>
      </c>
      <c r="E414" s="4">
        <v>42618.0</v>
      </c>
      <c r="F414" s="4">
        <v>42616.0</v>
      </c>
      <c r="G414" s="1">
        <v>2.0</v>
      </c>
      <c r="H414" s="1">
        <v>6.0</v>
      </c>
      <c r="I414" s="3" t="str">
        <f>VLOOKUP(B414,Customers!A:J, 10,FALSE)</f>
        <v>Kristofer Craig</v>
      </c>
      <c r="J414" s="3" t="str">
        <f>VLOOKUP(B414,Customers!A:J,8,FALSE)</f>
        <v>NY</v>
      </c>
      <c r="K414" s="3" t="str">
        <f>VLOOKUP(B414,Customers!A:J,7,FALSE)</f>
        <v>Plainview</v>
      </c>
      <c r="L414" s="3" t="str">
        <f>VLOOKUP(H414,Staff!A:I,9,FALSE)</f>
        <v>Marcelene Boyer</v>
      </c>
      <c r="M414" s="3" t="str">
        <f>VLOOKUP(G414,Store!A:H,2,FALSE)</f>
        <v>Baldwin Bikes</v>
      </c>
      <c r="N414" s="3" t="str">
        <f>VLOOKUP(G414,Store!A:H,6,FALSE)</f>
        <v>Baldwin</v>
      </c>
      <c r="O414" s="3" t="s">
        <v>16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>
        <v>414.0</v>
      </c>
      <c r="B415" s="1">
        <v>917.0</v>
      </c>
      <c r="C415" s="1">
        <v>4.0</v>
      </c>
      <c r="D415" s="4">
        <v>42616.0</v>
      </c>
      <c r="E415" s="4">
        <v>42619.0</v>
      </c>
      <c r="F415" s="4">
        <v>42619.0</v>
      </c>
      <c r="G415" s="1">
        <v>2.0</v>
      </c>
      <c r="H415" s="1">
        <v>7.0</v>
      </c>
      <c r="I415" s="3" t="str">
        <f>VLOOKUP(B415,Customers!A:J, 10,FALSE)</f>
        <v>Vernia Madden</v>
      </c>
      <c r="J415" s="3" t="str">
        <f>VLOOKUP(B415,Customers!A:J,8,FALSE)</f>
        <v>NY</v>
      </c>
      <c r="K415" s="3" t="str">
        <f>VLOOKUP(B415,Customers!A:J,7,FALSE)</f>
        <v>Troy</v>
      </c>
      <c r="L415" s="3" t="str">
        <f>VLOOKUP(H415,Staff!A:I,9,FALSE)</f>
        <v>Venita Daniel</v>
      </c>
      <c r="M415" s="3" t="str">
        <f>VLOOKUP(G415,Store!A:H,2,FALSE)</f>
        <v>Baldwin Bikes</v>
      </c>
      <c r="N415" s="3" t="str">
        <f>VLOOKUP(G415,Store!A:H,6,FALSE)</f>
        <v>Baldwin</v>
      </c>
      <c r="O415" s="3" t="s">
        <v>16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>
        <v>415.0</v>
      </c>
      <c r="B416" s="1">
        <v>1265.0</v>
      </c>
      <c r="C416" s="1">
        <v>4.0</v>
      </c>
      <c r="D416" s="4">
        <v>42616.0</v>
      </c>
      <c r="E416" s="4">
        <v>42619.0</v>
      </c>
      <c r="F416" s="4">
        <v>42619.0</v>
      </c>
      <c r="G416" s="1">
        <v>2.0</v>
      </c>
      <c r="H416" s="1">
        <v>7.0</v>
      </c>
      <c r="I416" s="3" t="str">
        <f>VLOOKUP(B416,Customers!A:J, 10,FALSE)</f>
        <v>Bonita Marshall</v>
      </c>
      <c r="J416" s="3" t="str">
        <f>VLOOKUP(B416,Customers!A:J,8,FALSE)</f>
        <v>NY</v>
      </c>
      <c r="K416" s="3" t="str">
        <f>VLOOKUP(B416,Customers!A:J,7,FALSE)</f>
        <v>Endicott</v>
      </c>
      <c r="L416" s="3" t="str">
        <f>VLOOKUP(H416,Staff!A:I,9,FALSE)</f>
        <v>Venita Daniel</v>
      </c>
      <c r="M416" s="3" t="str">
        <f>VLOOKUP(G416,Store!A:H,2,FALSE)</f>
        <v>Baldwin Bikes</v>
      </c>
      <c r="N416" s="3" t="str">
        <f>VLOOKUP(G416,Store!A:H,6,FALSE)</f>
        <v>Baldwin</v>
      </c>
      <c r="O416" s="3" t="s">
        <v>16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>
        <v>416.0</v>
      </c>
      <c r="B417" s="1">
        <v>1377.0</v>
      </c>
      <c r="C417" s="1">
        <v>4.0</v>
      </c>
      <c r="D417" s="4">
        <v>42616.0</v>
      </c>
      <c r="E417" s="4">
        <v>42617.0</v>
      </c>
      <c r="F417" s="4">
        <v>42619.0</v>
      </c>
      <c r="G417" s="1">
        <v>2.0</v>
      </c>
      <c r="H417" s="1">
        <v>7.0</v>
      </c>
      <c r="I417" s="3" t="str">
        <f>VLOOKUP(B417,Customers!A:J, 10,FALSE)</f>
        <v>Johana Jacobson</v>
      </c>
      <c r="J417" s="3" t="str">
        <f>VLOOKUP(B417,Customers!A:J,8,FALSE)</f>
        <v>NY</v>
      </c>
      <c r="K417" s="3" t="str">
        <f>VLOOKUP(B417,Customers!A:J,7,FALSE)</f>
        <v>Rochester</v>
      </c>
      <c r="L417" s="3" t="str">
        <f>VLOOKUP(H417,Staff!A:I,9,FALSE)</f>
        <v>Venita Daniel</v>
      </c>
      <c r="M417" s="3" t="str">
        <f>VLOOKUP(G417,Store!A:H,2,FALSE)</f>
        <v>Baldwin Bikes</v>
      </c>
      <c r="N417" s="3" t="str">
        <f>VLOOKUP(G417,Store!A:H,6,FALSE)</f>
        <v>Baldwin</v>
      </c>
      <c r="O417" s="3" t="s">
        <v>16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>
        <v>417.0</v>
      </c>
      <c r="B418" s="1">
        <v>359.0</v>
      </c>
      <c r="C418" s="1">
        <v>4.0</v>
      </c>
      <c r="D418" s="4">
        <v>42617.0</v>
      </c>
      <c r="E418" s="4">
        <v>42618.0</v>
      </c>
      <c r="F418" s="4">
        <v>42619.0</v>
      </c>
      <c r="G418" s="1">
        <v>1.0</v>
      </c>
      <c r="H418" s="1">
        <v>3.0</v>
      </c>
      <c r="I418" s="3" t="str">
        <f>VLOOKUP(B418,Customers!A:J, 10,FALSE)</f>
        <v>Angie Powers</v>
      </c>
      <c r="J418" s="3" t="str">
        <f>VLOOKUP(B418,Customers!A:J,8,FALSE)</f>
        <v>CA</v>
      </c>
      <c r="K418" s="3" t="str">
        <f>VLOOKUP(B418,Customers!A:J,7,FALSE)</f>
        <v>Pomona</v>
      </c>
      <c r="L418" s="3" t="str">
        <f>VLOOKUP(H418,Staff!A:I,9,FALSE)</f>
        <v>Genna Serrano</v>
      </c>
      <c r="M418" s="3" t="str">
        <f>VLOOKUP(G418,Store!A:H,2,FALSE)</f>
        <v>Santa Cruz Bikes</v>
      </c>
      <c r="N418" s="3" t="str">
        <f>VLOOKUP(G418,Store!A:H,6,FALSE)</f>
        <v>Santa Cruz</v>
      </c>
      <c r="O418" s="3" t="s">
        <v>15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>
        <v>418.0</v>
      </c>
      <c r="B419" s="1">
        <v>88.0</v>
      </c>
      <c r="C419" s="1">
        <v>4.0</v>
      </c>
      <c r="D419" s="4">
        <v>42617.0</v>
      </c>
      <c r="E419" s="4">
        <v>42618.0</v>
      </c>
      <c r="F419" s="4">
        <v>42618.0</v>
      </c>
      <c r="G419" s="1">
        <v>2.0</v>
      </c>
      <c r="H419" s="1">
        <v>6.0</v>
      </c>
      <c r="I419" s="3" t="str">
        <f>VLOOKUP(B419,Customers!A:J, 10,FALSE)</f>
        <v>Titus Bullock</v>
      </c>
      <c r="J419" s="3" t="str">
        <f>VLOOKUP(B419,Customers!A:J,8,FALSE)</f>
        <v>NY</v>
      </c>
      <c r="K419" s="3" t="str">
        <f>VLOOKUP(B419,Customers!A:J,7,FALSE)</f>
        <v>Hollis</v>
      </c>
      <c r="L419" s="3" t="str">
        <f>VLOOKUP(H419,Staff!A:I,9,FALSE)</f>
        <v>Marcelene Boyer</v>
      </c>
      <c r="M419" s="3" t="str">
        <f>VLOOKUP(G419,Store!A:H,2,FALSE)</f>
        <v>Baldwin Bikes</v>
      </c>
      <c r="N419" s="3" t="str">
        <f>VLOOKUP(G419,Store!A:H,6,FALSE)</f>
        <v>Baldwin</v>
      </c>
      <c r="O419" s="3" t="s">
        <v>16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>
        <v>419.0</v>
      </c>
      <c r="B420" s="1">
        <v>14.0</v>
      </c>
      <c r="C420" s="1">
        <v>4.0</v>
      </c>
      <c r="D420" s="4">
        <v>42617.0</v>
      </c>
      <c r="E420" s="4">
        <v>42620.0</v>
      </c>
      <c r="F420" s="4">
        <v>42619.0</v>
      </c>
      <c r="G420" s="1">
        <v>3.0</v>
      </c>
      <c r="H420" s="1">
        <v>8.0</v>
      </c>
      <c r="I420" s="3" t="str">
        <f>VLOOKUP(B420,Customers!A:J, 10,FALSE)</f>
        <v>Garry Espinoza</v>
      </c>
      <c r="J420" s="3" t="str">
        <f>VLOOKUP(B420,Customers!A:J,8,FALSE)</f>
        <v>TX</v>
      </c>
      <c r="K420" s="3" t="str">
        <f>VLOOKUP(B420,Customers!A:J,7,FALSE)</f>
        <v>Forney</v>
      </c>
      <c r="L420" s="3" t="str">
        <f>VLOOKUP(H420,Staff!A:I,9,FALSE)</f>
        <v>Kali Vargas</v>
      </c>
      <c r="M420" s="3" t="str">
        <f>VLOOKUP(G420,Store!A:H,2,FALSE)</f>
        <v>Rowlett Bikes</v>
      </c>
      <c r="N420" s="3" t="str">
        <f>VLOOKUP(G420,Store!A:H,6,FALSE)</f>
        <v>Rowlett</v>
      </c>
      <c r="O420" s="3" t="s">
        <v>17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>
        <v>420.0</v>
      </c>
      <c r="B421" s="1">
        <v>72.0</v>
      </c>
      <c r="C421" s="1">
        <v>4.0</v>
      </c>
      <c r="D421" s="4">
        <v>42618.0</v>
      </c>
      <c r="E421" s="4">
        <v>42619.0</v>
      </c>
      <c r="F421" s="4">
        <v>42620.0</v>
      </c>
      <c r="G421" s="1">
        <v>1.0</v>
      </c>
      <c r="H421" s="1">
        <v>3.0</v>
      </c>
      <c r="I421" s="3" t="str">
        <f>VLOOKUP(B421,Customers!A:J, 10,FALSE)</f>
        <v>Petronila Norris</v>
      </c>
      <c r="J421" s="3" t="str">
        <f>VLOOKUP(B421,Customers!A:J,8,FALSE)</f>
        <v>CA</v>
      </c>
      <c r="K421" s="3" t="str">
        <f>VLOOKUP(B421,Customers!A:J,7,FALSE)</f>
        <v>South El Monte</v>
      </c>
      <c r="L421" s="3" t="str">
        <f>VLOOKUP(H421,Staff!A:I,9,FALSE)</f>
        <v>Genna Serrano</v>
      </c>
      <c r="M421" s="3" t="str">
        <f>VLOOKUP(G421,Store!A:H,2,FALSE)</f>
        <v>Santa Cruz Bikes</v>
      </c>
      <c r="N421" s="3" t="str">
        <f>VLOOKUP(G421,Store!A:H,6,FALSE)</f>
        <v>Santa Cruz</v>
      </c>
      <c r="O421" s="3" t="s">
        <v>15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>
        <v>421.0</v>
      </c>
      <c r="B422" s="1">
        <v>240.0</v>
      </c>
      <c r="C422" s="1">
        <v>4.0</v>
      </c>
      <c r="D422" s="4">
        <v>42618.0</v>
      </c>
      <c r="E422" s="4">
        <v>42619.0</v>
      </c>
      <c r="F422" s="4">
        <v>42621.0</v>
      </c>
      <c r="G422" s="1">
        <v>1.0</v>
      </c>
      <c r="H422" s="1">
        <v>3.0</v>
      </c>
      <c r="I422" s="3" t="str">
        <f>VLOOKUP(B422,Customers!A:J, 10,FALSE)</f>
        <v>Le Deleon</v>
      </c>
      <c r="J422" s="3" t="str">
        <f>VLOOKUP(B422,Customers!A:J,8,FALSE)</f>
        <v>CA</v>
      </c>
      <c r="K422" s="3" t="str">
        <f>VLOOKUP(B422,Customers!A:J,7,FALSE)</f>
        <v>Banning</v>
      </c>
      <c r="L422" s="3" t="str">
        <f>VLOOKUP(H422,Staff!A:I,9,FALSE)</f>
        <v>Genna Serrano</v>
      </c>
      <c r="M422" s="3" t="str">
        <f>VLOOKUP(G422,Store!A:H,2,FALSE)</f>
        <v>Santa Cruz Bikes</v>
      </c>
      <c r="N422" s="3" t="str">
        <f>VLOOKUP(G422,Store!A:H,6,FALSE)</f>
        <v>Santa Cruz</v>
      </c>
      <c r="O422" s="3" t="s">
        <v>15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>
        <v>422.0</v>
      </c>
      <c r="B423" s="1">
        <v>398.0</v>
      </c>
      <c r="C423" s="1">
        <v>4.0</v>
      </c>
      <c r="D423" s="4">
        <v>42619.0</v>
      </c>
      <c r="E423" s="4">
        <v>42620.0</v>
      </c>
      <c r="F423" s="4">
        <v>42622.0</v>
      </c>
      <c r="G423" s="1">
        <v>2.0</v>
      </c>
      <c r="H423" s="1">
        <v>6.0</v>
      </c>
      <c r="I423" s="3" t="str">
        <f>VLOOKUP(B423,Customers!A:J, 10,FALSE)</f>
        <v>Suellen Mercado</v>
      </c>
      <c r="J423" s="3" t="str">
        <f>VLOOKUP(B423,Customers!A:J,8,FALSE)</f>
        <v>NY</v>
      </c>
      <c r="K423" s="3" t="str">
        <f>VLOOKUP(B423,Customers!A:J,7,FALSE)</f>
        <v>Sunnyside</v>
      </c>
      <c r="L423" s="3" t="str">
        <f>VLOOKUP(H423,Staff!A:I,9,FALSE)</f>
        <v>Marcelene Boyer</v>
      </c>
      <c r="M423" s="3" t="str">
        <f>VLOOKUP(G423,Store!A:H,2,FALSE)</f>
        <v>Baldwin Bikes</v>
      </c>
      <c r="N423" s="3" t="str">
        <f>VLOOKUP(G423,Store!A:H,6,FALSE)</f>
        <v>Baldwin</v>
      </c>
      <c r="O423" s="3" t="s">
        <v>16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>
        <v>423.0</v>
      </c>
      <c r="B424" s="1">
        <v>1397.0</v>
      </c>
      <c r="C424" s="1">
        <v>4.0</v>
      </c>
      <c r="D424" s="4">
        <v>42619.0</v>
      </c>
      <c r="E424" s="4">
        <v>42622.0</v>
      </c>
      <c r="F424" s="4">
        <v>42622.0</v>
      </c>
      <c r="G424" s="1">
        <v>2.0</v>
      </c>
      <c r="H424" s="1">
        <v>7.0</v>
      </c>
      <c r="I424" s="3" t="str">
        <f>VLOOKUP(B424,Customers!A:J, 10,FALSE)</f>
        <v>Dewayne Herring</v>
      </c>
      <c r="J424" s="3" t="str">
        <f>VLOOKUP(B424,Customers!A:J,8,FALSE)</f>
        <v>NY</v>
      </c>
      <c r="K424" s="3" t="str">
        <f>VLOOKUP(B424,Customers!A:J,7,FALSE)</f>
        <v>Webster</v>
      </c>
      <c r="L424" s="3" t="str">
        <f>VLOOKUP(H424,Staff!A:I,9,FALSE)</f>
        <v>Venita Daniel</v>
      </c>
      <c r="M424" s="3" t="str">
        <f>VLOOKUP(G424,Store!A:H,2,FALSE)</f>
        <v>Baldwin Bikes</v>
      </c>
      <c r="N424" s="3" t="str">
        <f>VLOOKUP(G424,Store!A:H,6,FALSE)</f>
        <v>Baldwin</v>
      </c>
      <c r="O424" s="3" t="s">
        <v>16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>
        <v>424.0</v>
      </c>
      <c r="B425" s="1">
        <v>67.0</v>
      </c>
      <c r="C425" s="1">
        <v>4.0</v>
      </c>
      <c r="D425" s="4">
        <v>42621.0</v>
      </c>
      <c r="E425" s="4">
        <v>42624.0</v>
      </c>
      <c r="F425" s="4">
        <v>42624.0</v>
      </c>
      <c r="G425" s="1">
        <v>1.0</v>
      </c>
      <c r="H425" s="1">
        <v>3.0</v>
      </c>
      <c r="I425" s="3" t="str">
        <f>VLOOKUP(B425,Customers!A:J, 10,FALSE)</f>
        <v>Tommie Melton</v>
      </c>
      <c r="J425" s="3" t="str">
        <f>VLOOKUP(B425,Customers!A:J,8,FALSE)</f>
        <v>CA</v>
      </c>
      <c r="K425" s="3" t="str">
        <f>VLOOKUP(B425,Customers!A:J,7,FALSE)</f>
        <v>Sacramento</v>
      </c>
      <c r="L425" s="3" t="str">
        <f>VLOOKUP(H425,Staff!A:I,9,FALSE)</f>
        <v>Genna Serrano</v>
      </c>
      <c r="M425" s="3" t="str">
        <f>VLOOKUP(G425,Store!A:H,2,FALSE)</f>
        <v>Santa Cruz Bikes</v>
      </c>
      <c r="N425" s="3" t="str">
        <f>VLOOKUP(G425,Store!A:H,6,FALSE)</f>
        <v>Santa Cruz</v>
      </c>
      <c r="O425" s="3" t="s">
        <v>15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>
        <v>425.0</v>
      </c>
      <c r="B426" s="1">
        <v>843.0</v>
      </c>
      <c r="C426" s="1">
        <v>4.0</v>
      </c>
      <c r="D426" s="4">
        <v>42621.0</v>
      </c>
      <c r="E426" s="4">
        <v>42624.0</v>
      </c>
      <c r="F426" s="4">
        <v>42624.0</v>
      </c>
      <c r="G426" s="1">
        <v>2.0</v>
      </c>
      <c r="H426" s="1">
        <v>6.0</v>
      </c>
      <c r="I426" s="3" t="str">
        <f>VLOOKUP(B426,Customers!A:J, 10,FALSE)</f>
        <v>Tessie Farmer</v>
      </c>
      <c r="J426" s="3" t="str">
        <f>VLOOKUP(B426,Customers!A:J,8,FALSE)</f>
        <v>NY</v>
      </c>
      <c r="K426" s="3" t="str">
        <f>VLOOKUP(B426,Customers!A:J,7,FALSE)</f>
        <v>Plattsburgh</v>
      </c>
      <c r="L426" s="3" t="str">
        <f>VLOOKUP(H426,Staff!A:I,9,FALSE)</f>
        <v>Marcelene Boyer</v>
      </c>
      <c r="M426" s="3" t="str">
        <f>VLOOKUP(G426,Store!A:H,2,FALSE)</f>
        <v>Baldwin Bikes</v>
      </c>
      <c r="N426" s="3" t="str">
        <f>VLOOKUP(G426,Store!A:H,6,FALSE)</f>
        <v>Baldwin</v>
      </c>
      <c r="O426" s="3" t="s">
        <v>16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>
        <v>426.0</v>
      </c>
      <c r="B427" s="1">
        <v>944.0</v>
      </c>
      <c r="C427" s="1">
        <v>4.0</v>
      </c>
      <c r="D427" s="4">
        <v>42621.0</v>
      </c>
      <c r="E427" s="4">
        <v>42623.0</v>
      </c>
      <c r="F427" s="4">
        <v>42623.0</v>
      </c>
      <c r="G427" s="1">
        <v>2.0</v>
      </c>
      <c r="H427" s="1">
        <v>6.0</v>
      </c>
      <c r="I427" s="3" t="str">
        <f>VLOOKUP(B427,Customers!A:J, 10,FALSE)</f>
        <v>Tonja Henderson</v>
      </c>
      <c r="J427" s="3" t="str">
        <f>VLOOKUP(B427,Customers!A:J,8,FALSE)</f>
        <v>NY</v>
      </c>
      <c r="K427" s="3" t="str">
        <f>VLOOKUP(B427,Customers!A:J,7,FALSE)</f>
        <v>Scarsdale</v>
      </c>
      <c r="L427" s="3" t="str">
        <f>VLOOKUP(H427,Staff!A:I,9,FALSE)</f>
        <v>Marcelene Boyer</v>
      </c>
      <c r="M427" s="3" t="str">
        <f>VLOOKUP(G427,Store!A:H,2,FALSE)</f>
        <v>Baldwin Bikes</v>
      </c>
      <c r="N427" s="3" t="str">
        <f>VLOOKUP(G427,Store!A:H,6,FALSE)</f>
        <v>Baldwin</v>
      </c>
      <c r="O427" s="3" t="s">
        <v>16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>
        <v>427.0</v>
      </c>
      <c r="B428" s="1">
        <v>434.0</v>
      </c>
      <c r="C428" s="1">
        <v>4.0</v>
      </c>
      <c r="D428" s="4">
        <v>42622.0</v>
      </c>
      <c r="E428" s="4">
        <v>42623.0</v>
      </c>
      <c r="F428" s="4">
        <v>42624.0</v>
      </c>
      <c r="G428" s="1">
        <v>1.0</v>
      </c>
      <c r="H428" s="1">
        <v>2.0</v>
      </c>
      <c r="I428" s="3" t="str">
        <f>VLOOKUP(B428,Customers!A:J, 10,FALSE)</f>
        <v>Douglass Little</v>
      </c>
      <c r="J428" s="3" t="str">
        <f>VLOOKUP(B428,Customers!A:J,8,FALSE)</f>
        <v>CA</v>
      </c>
      <c r="K428" s="3" t="str">
        <f>VLOOKUP(B428,Customers!A:J,7,FALSE)</f>
        <v>Duarte</v>
      </c>
      <c r="L428" s="3" t="str">
        <f>VLOOKUP(H428,Staff!A:I,9,FALSE)</f>
        <v>Mireya Copeland</v>
      </c>
      <c r="M428" s="3" t="str">
        <f>VLOOKUP(G428,Store!A:H,2,FALSE)</f>
        <v>Santa Cruz Bikes</v>
      </c>
      <c r="N428" s="3" t="str">
        <f>VLOOKUP(G428,Store!A:H,6,FALSE)</f>
        <v>Santa Cruz</v>
      </c>
      <c r="O428" s="3" t="s">
        <v>15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>
        <v>428.0</v>
      </c>
      <c r="B429" s="1">
        <v>1039.0</v>
      </c>
      <c r="C429" s="1">
        <v>4.0</v>
      </c>
      <c r="D429" s="4">
        <v>42622.0</v>
      </c>
      <c r="E429" s="4">
        <v>42625.0</v>
      </c>
      <c r="F429" s="4">
        <v>42623.0</v>
      </c>
      <c r="G429" s="1">
        <v>2.0</v>
      </c>
      <c r="H429" s="1">
        <v>6.0</v>
      </c>
      <c r="I429" s="3" t="str">
        <f>VLOOKUP(B429,Customers!A:J, 10,FALSE)</f>
        <v>Bee Baker</v>
      </c>
      <c r="J429" s="3" t="str">
        <f>VLOOKUP(B429,Customers!A:J,8,FALSE)</f>
        <v>NY</v>
      </c>
      <c r="K429" s="3" t="str">
        <f>VLOOKUP(B429,Customers!A:J,7,FALSE)</f>
        <v>Liverpool</v>
      </c>
      <c r="L429" s="3" t="str">
        <f>VLOOKUP(H429,Staff!A:I,9,FALSE)</f>
        <v>Marcelene Boyer</v>
      </c>
      <c r="M429" s="3" t="str">
        <f>VLOOKUP(G429,Store!A:H,2,FALSE)</f>
        <v>Baldwin Bikes</v>
      </c>
      <c r="N429" s="3" t="str">
        <f>VLOOKUP(G429,Store!A:H,6,FALSE)</f>
        <v>Baldwin</v>
      </c>
      <c r="O429" s="3" t="s">
        <v>16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>
        <v>429.0</v>
      </c>
      <c r="B430" s="1">
        <v>153.0</v>
      </c>
      <c r="C430" s="1">
        <v>4.0</v>
      </c>
      <c r="D430" s="4">
        <v>42623.0</v>
      </c>
      <c r="E430" s="4">
        <v>42625.0</v>
      </c>
      <c r="F430" s="4">
        <v>42625.0</v>
      </c>
      <c r="G430" s="1">
        <v>3.0</v>
      </c>
      <c r="H430" s="1">
        <v>8.0</v>
      </c>
      <c r="I430" s="3" t="str">
        <f>VLOOKUP(B430,Customers!A:J, 10,FALSE)</f>
        <v>Laraine Robbins</v>
      </c>
      <c r="J430" s="3" t="str">
        <f>VLOOKUP(B430,Customers!A:J,8,FALSE)</f>
        <v>TX</v>
      </c>
      <c r="K430" s="3" t="str">
        <f>VLOOKUP(B430,Customers!A:J,7,FALSE)</f>
        <v>San Angelo</v>
      </c>
      <c r="L430" s="3" t="str">
        <f>VLOOKUP(H430,Staff!A:I,9,FALSE)</f>
        <v>Kali Vargas</v>
      </c>
      <c r="M430" s="3" t="str">
        <f>VLOOKUP(G430,Store!A:H,2,FALSE)</f>
        <v>Rowlett Bikes</v>
      </c>
      <c r="N430" s="3" t="str">
        <f>VLOOKUP(G430,Store!A:H,6,FALSE)</f>
        <v>Rowlett</v>
      </c>
      <c r="O430" s="3" t="s">
        <v>17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>
        <v>430.0</v>
      </c>
      <c r="B431" s="1">
        <v>272.0</v>
      </c>
      <c r="C431" s="1">
        <v>4.0</v>
      </c>
      <c r="D431" s="4">
        <v>42624.0</v>
      </c>
      <c r="E431" s="4">
        <v>42626.0</v>
      </c>
      <c r="F431" s="4">
        <v>42625.0</v>
      </c>
      <c r="G431" s="1">
        <v>2.0</v>
      </c>
      <c r="H431" s="1">
        <v>6.0</v>
      </c>
      <c r="I431" s="3" t="str">
        <f>VLOOKUP(B431,Customers!A:J, 10,FALSE)</f>
        <v>Deja Chaney</v>
      </c>
      <c r="J431" s="3" t="str">
        <f>VLOOKUP(B431,Customers!A:J,8,FALSE)</f>
        <v>NY</v>
      </c>
      <c r="K431" s="3" t="str">
        <f>VLOOKUP(B431,Customers!A:J,7,FALSE)</f>
        <v>Jamaica</v>
      </c>
      <c r="L431" s="3" t="str">
        <f>VLOOKUP(H431,Staff!A:I,9,FALSE)</f>
        <v>Marcelene Boyer</v>
      </c>
      <c r="M431" s="3" t="str">
        <f>VLOOKUP(G431,Store!A:H,2,FALSE)</f>
        <v>Baldwin Bikes</v>
      </c>
      <c r="N431" s="3" t="str">
        <f>VLOOKUP(G431,Store!A:H,6,FALSE)</f>
        <v>Baldwin</v>
      </c>
      <c r="O431" s="3" t="s">
        <v>16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>
        <v>431.0</v>
      </c>
      <c r="B432" s="1">
        <v>1217.0</v>
      </c>
      <c r="C432" s="1">
        <v>4.0</v>
      </c>
      <c r="D432" s="4">
        <v>42624.0</v>
      </c>
      <c r="E432" s="4">
        <v>42625.0</v>
      </c>
      <c r="F432" s="4">
        <v>42625.0</v>
      </c>
      <c r="G432" s="1">
        <v>2.0</v>
      </c>
      <c r="H432" s="1">
        <v>6.0</v>
      </c>
      <c r="I432" s="3" t="str">
        <f>VLOOKUP(B432,Customers!A:J, 10,FALSE)</f>
        <v>Carlie Terrell</v>
      </c>
      <c r="J432" s="3" t="str">
        <f>VLOOKUP(B432,Customers!A:J,8,FALSE)</f>
        <v>NY</v>
      </c>
      <c r="K432" s="3" t="str">
        <f>VLOOKUP(B432,Customers!A:J,7,FALSE)</f>
        <v>Yonkers</v>
      </c>
      <c r="L432" s="3" t="str">
        <f>VLOOKUP(H432,Staff!A:I,9,FALSE)</f>
        <v>Marcelene Boyer</v>
      </c>
      <c r="M432" s="3" t="str">
        <f>VLOOKUP(G432,Store!A:H,2,FALSE)</f>
        <v>Baldwin Bikes</v>
      </c>
      <c r="N432" s="3" t="str">
        <f>VLOOKUP(G432,Store!A:H,6,FALSE)</f>
        <v>Baldwin</v>
      </c>
      <c r="O432" s="3" t="s">
        <v>16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>
        <v>432.0</v>
      </c>
      <c r="B433" s="1">
        <v>169.0</v>
      </c>
      <c r="C433" s="1">
        <v>4.0</v>
      </c>
      <c r="D433" s="4">
        <v>42625.0</v>
      </c>
      <c r="E433" s="4">
        <v>42628.0</v>
      </c>
      <c r="F433" s="4">
        <v>42627.0</v>
      </c>
      <c r="G433" s="1">
        <v>1.0</v>
      </c>
      <c r="H433" s="1">
        <v>2.0</v>
      </c>
      <c r="I433" s="3" t="str">
        <f>VLOOKUP(B433,Customers!A:J, 10,FALSE)</f>
        <v>Karla Kirk</v>
      </c>
      <c r="J433" s="3" t="str">
        <f>VLOOKUP(B433,Customers!A:J,8,FALSE)</f>
        <v>CA</v>
      </c>
      <c r="K433" s="3" t="str">
        <f>VLOOKUP(B433,Customers!A:J,7,FALSE)</f>
        <v>Palos Verdes Peninsula</v>
      </c>
      <c r="L433" s="3" t="str">
        <f>VLOOKUP(H433,Staff!A:I,9,FALSE)</f>
        <v>Mireya Copeland</v>
      </c>
      <c r="M433" s="3" t="str">
        <f>VLOOKUP(G433,Store!A:H,2,FALSE)</f>
        <v>Santa Cruz Bikes</v>
      </c>
      <c r="N433" s="3" t="str">
        <f>VLOOKUP(G433,Store!A:H,6,FALSE)</f>
        <v>Santa Cruz</v>
      </c>
      <c r="O433" s="3" t="s">
        <v>15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>
        <v>433.0</v>
      </c>
      <c r="B434" s="1">
        <v>1062.0</v>
      </c>
      <c r="C434" s="1">
        <v>4.0</v>
      </c>
      <c r="D434" s="4">
        <v>42625.0</v>
      </c>
      <c r="E434" s="4">
        <v>42628.0</v>
      </c>
      <c r="F434" s="4">
        <v>42626.0</v>
      </c>
      <c r="G434" s="1">
        <v>2.0</v>
      </c>
      <c r="H434" s="1">
        <v>6.0</v>
      </c>
      <c r="I434" s="3" t="str">
        <f>VLOOKUP(B434,Customers!A:J, 10,FALSE)</f>
        <v>Jerri Guthrie</v>
      </c>
      <c r="J434" s="3" t="str">
        <f>VLOOKUP(B434,Customers!A:J,8,FALSE)</f>
        <v>NY</v>
      </c>
      <c r="K434" s="3" t="str">
        <f>VLOOKUP(B434,Customers!A:J,7,FALSE)</f>
        <v>Carmel</v>
      </c>
      <c r="L434" s="3" t="str">
        <f>VLOOKUP(H434,Staff!A:I,9,FALSE)</f>
        <v>Marcelene Boyer</v>
      </c>
      <c r="M434" s="3" t="str">
        <f>VLOOKUP(G434,Store!A:H,2,FALSE)</f>
        <v>Baldwin Bikes</v>
      </c>
      <c r="N434" s="3" t="str">
        <f>VLOOKUP(G434,Store!A:H,6,FALSE)</f>
        <v>Baldwin</v>
      </c>
      <c r="O434" s="3" t="s">
        <v>16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>
        <v>434.0</v>
      </c>
      <c r="B435" s="1">
        <v>726.0</v>
      </c>
      <c r="C435" s="1">
        <v>4.0</v>
      </c>
      <c r="D435" s="4">
        <v>42626.0</v>
      </c>
      <c r="E435" s="4">
        <v>42628.0</v>
      </c>
      <c r="F435" s="4">
        <v>42627.0</v>
      </c>
      <c r="G435" s="1">
        <v>2.0</v>
      </c>
      <c r="H435" s="1">
        <v>6.0</v>
      </c>
      <c r="I435" s="3" t="str">
        <f>VLOOKUP(B435,Customers!A:J, 10,FALSE)</f>
        <v>Rochell Cantrell</v>
      </c>
      <c r="J435" s="3" t="str">
        <f>VLOOKUP(B435,Customers!A:J,8,FALSE)</f>
        <v>NY</v>
      </c>
      <c r="K435" s="3" t="str">
        <f>VLOOKUP(B435,Customers!A:J,7,FALSE)</f>
        <v>Port Jefferson Station</v>
      </c>
      <c r="L435" s="3" t="str">
        <f>VLOOKUP(H435,Staff!A:I,9,FALSE)</f>
        <v>Marcelene Boyer</v>
      </c>
      <c r="M435" s="3" t="str">
        <f>VLOOKUP(G435,Store!A:H,2,FALSE)</f>
        <v>Baldwin Bikes</v>
      </c>
      <c r="N435" s="3" t="str">
        <f>VLOOKUP(G435,Store!A:H,6,FALSE)</f>
        <v>Baldwin</v>
      </c>
      <c r="O435" s="3" t="s">
        <v>16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>
        <v>435.0</v>
      </c>
      <c r="B436" s="1">
        <v>77.0</v>
      </c>
      <c r="C436" s="1">
        <v>4.0</v>
      </c>
      <c r="D436" s="4">
        <v>42627.0</v>
      </c>
      <c r="E436" s="4">
        <v>42628.0</v>
      </c>
      <c r="F436" s="4">
        <v>42629.0</v>
      </c>
      <c r="G436" s="1">
        <v>3.0</v>
      </c>
      <c r="H436" s="1">
        <v>9.0</v>
      </c>
      <c r="I436" s="3" t="str">
        <f>VLOOKUP(B436,Customers!A:J, 10,FALSE)</f>
        <v>Keri Bridges</v>
      </c>
      <c r="J436" s="3" t="str">
        <f>VLOOKUP(B436,Customers!A:J,8,FALSE)</f>
        <v>TX</v>
      </c>
      <c r="K436" s="3" t="str">
        <f>VLOOKUP(B436,Customers!A:J,7,FALSE)</f>
        <v>Richardson</v>
      </c>
      <c r="L436" s="3" t="str">
        <f>VLOOKUP(H436,Staff!A:I,9,FALSE)</f>
        <v>Layla Terrell</v>
      </c>
      <c r="M436" s="3" t="str">
        <f>VLOOKUP(G436,Store!A:H,2,FALSE)</f>
        <v>Rowlett Bikes</v>
      </c>
      <c r="N436" s="3" t="str">
        <f>VLOOKUP(G436,Store!A:H,6,FALSE)</f>
        <v>Rowlett</v>
      </c>
      <c r="O436" s="3" t="s">
        <v>17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>
        <v>436.0</v>
      </c>
      <c r="B437" s="1">
        <v>791.0</v>
      </c>
      <c r="C437" s="1">
        <v>4.0</v>
      </c>
      <c r="D437" s="4">
        <v>42629.0</v>
      </c>
      <c r="E437" s="4">
        <v>42632.0</v>
      </c>
      <c r="F437" s="4">
        <v>42632.0</v>
      </c>
      <c r="G437" s="1">
        <v>2.0</v>
      </c>
      <c r="H437" s="1">
        <v>7.0</v>
      </c>
      <c r="I437" s="3" t="str">
        <f>VLOOKUP(B437,Customers!A:J, 10,FALSE)</f>
        <v>Yun Nelson</v>
      </c>
      <c r="J437" s="3" t="str">
        <f>VLOOKUP(B437,Customers!A:J,8,FALSE)</f>
        <v>NY</v>
      </c>
      <c r="K437" s="3" t="str">
        <f>VLOOKUP(B437,Customers!A:J,7,FALSE)</f>
        <v>Ballston Spa</v>
      </c>
      <c r="L437" s="3" t="str">
        <f>VLOOKUP(H437,Staff!A:I,9,FALSE)</f>
        <v>Venita Daniel</v>
      </c>
      <c r="M437" s="3" t="str">
        <f>VLOOKUP(G437,Store!A:H,2,FALSE)</f>
        <v>Baldwin Bikes</v>
      </c>
      <c r="N437" s="3" t="str">
        <f>VLOOKUP(G437,Store!A:H,6,FALSE)</f>
        <v>Baldwin</v>
      </c>
      <c r="O437" s="3" t="s">
        <v>16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>
        <v>437.0</v>
      </c>
      <c r="B438" s="1">
        <v>1085.0</v>
      </c>
      <c r="C438" s="1">
        <v>4.0</v>
      </c>
      <c r="D438" s="4">
        <v>42629.0</v>
      </c>
      <c r="E438" s="4">
        <v>42631.0</v>
      </c>
      <c r="F438" s="4">
        <v>42631.0</v>
      </c>
      <c r="G438" s="1">
        <v>2.0</v>
      </c>
      <c r="H438" s="1">
        <v>7.0</v>
      </c>
      <c r="I438" s="3" t="str">
        <f>VLOOKUP(B438,Customers!A:J, 10,FALSE)</f>
        <v>Adam Thornton</v>
      </c>
      <c r="J438" s="3" t="str">
        <f>VLOOKUP(B438,Customers!A:J,8,FALSE)</f>
        <v>NY</v>
      </c>
      <c r="K438" s="3" t="str">
        <f>VLOOKUP(B438,Customers!A:J,7,FALSE)</f>
        <v>Central Islip</v>
      </c>
      <c r="L438" s="3" t="str">
        <f>VLOOKUP(H438,Staff!A:I,9,FALSE)</f>
        <v>Venita Daniel</v>
      </c>
      <c r="M438" s="3" t="str">
        <f>VLOOKUP(G438,Store!A:H,2,FALSE)</f>
        <v>Baldwin Bikes</v>
      </c>
      <c r="N438" s="3" t="str">
        <f>VLOOKUP(G438,Store!A:H,6,FALSE)</f>
        <v>Baldwin</v>
      </c>
      <c r="O438" s="3" t="s">
        <v>16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>
        <v>438.0</v>
      </c>
      <c r="B439" s="1">
        <v>314.0</v>
      </c>
      <c r="C439" s="1">
        <v>4.0</v>
      </c>
      <c r="D439" s="4">
        <v>42629.0</v>
      </c>
      <c r="E439" s="4">
        <v>42632.0</v>
      </c>
      <c r="F439" s="4">
        <v>42631.0</v>
      </c>
      <c r="G439" s="1">
        <v>3.0</v>
      </c>
      <c r="H439" s="1">
        <v>8.0</v>
      </c>
      <c r="I439" s="3" t="str">
        <f>VLOOKUP(B439,Customers!A:J, 10,FALSE)</f>
        <v>Javier Nichols</v>
      </c>
      <c r="J439" s="3" t="str">
        <f>VLOOKUP(B439,Customers!A:J,8,FALSE)</f>
        <v>TX</v>
      </c>
      <c r="K439" s="3" t="str">
        <f>VLOOKUP(B439,Customers!A:J,7,FALSE)</f>
        <v>Rowlett</v>
      </c>
      <c r="L439" s="3" t="str">
        <f>VLOOKUP(H439,Staff!A:I,9,FALSE)</f>
        <v>Kali Vargas</v>
      </c>
      <c r="M439" s="3" t="str">
        <f>VLOOKUP(G439,Store!A:H,2,FALSE)</f>
        <v>Rowlett Bikes</v>
      </c>
      <c r="N439" s="3" t="str">
        <f>VLOOKUP(G439,Store!A:H,6,FALSE)</f>
        <v>Rowlett</v>
      </c>
      <c r="O439" s="3" t="s">
        <v>17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>
        <v>439.0</v>
      </c>
      <c r="B440" s="1">
        <v>149.0</v>
      </c>
      <c r="C440" s="1">
        <v>4.0</v>
      </c>
      <c r="D440" s="4">
        <v>42630.0</v>
      </c>
      <c r="E440" s="4">
        <v>42633.0</v>
      </c>
      <c r="F440" s="4">
        <v>42631.0</v>
      </c>
      <c r="G440" s="1">
        <v>2.0</v>
      </c>
      <c r="H440" s="1">
        <v>6.0</v>
      </c>
      <c r="I440" s="3" t="str">
        <f>VLOOKUP(B440,Customers!A:J, 10,FALSE)</f>
        <v>Meredith Bryan</v>
      </c>
      <c r="J440" s="3" t="str">
        <f>VLOOKUP(B440,Customers!A:J,8,FALSE)</f>
        <v>NY</v>
      </c>
      <c r="K440" s="3" t="str">
        <f>VLOOKUP(B440,Customers!A:J,7,FALSE)</f>
        <v>Spring Valley</v>
      </c>
      <c r="L440" s="3" t="str">
        <f>VLOOKUP(H440,Staff!A:I,9,FALSE)</f>
        <v>Marcelene Boyer</v>
      </c>
      <c r="M440" s="3" t="str">
        <f>VLOOKUP(G440,Store!A:H,2,FALSE)</f>
        <v>Baldwin Bikes</v>
      </c>
      <c r="N440" s="3" t="str">
        <f>VLOOKUP(G440,Store!A:H,6,FALSE)</f>
        <v>Baldwin</v>
      </c>
      <c r="O440" s="3" t="s">
        <v>16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>
        <v>440.0</v>
      </c>
      <c r="B441" s="1">
        <v>882.0</v>
      </c>
      <c r="C441" s="1">
        <v>4.0</v>
      </c>
      <c r="D441" s="4">
        <v>42630.0</v>
      </c>
      <c r="E441" s="4">
        <v>42631.0</v>
      </c>
      <c r="F441" s="4">
        <v>42632.0</v>
      </c>
      <c r="G441" s="1">
        <v>2.0</v>
      </c>
      <c r="H441" s="1">
        <v>7.0</v>
      </c>
      <c r="I441" s="3" t="str">
        <f>VLOOKUP(B441,Customers!A:J, 10,FALSE)</f>
        <v>Hilda Harvey</v>
      </c>
      <c r="J441" s="3" t="str">
        <f>VLOOKUP(B441,Customers!A:J,8,FALSE)</f>
        <v>NY</v>
      </c>
      <c r="K441" s="3" t="str">
        <f>VLOOKUP(B441,Customers!A:J,7,FALSE)</f>
        <v>Ballston Spa</v>
      </c>
      <c r="L441" s="3" t="str">
        <f>VLOOKUP(H441,Staff!A:I,9,FALSE)</f>
        <v>Venita Daniel</v>
      </c>
      <c r="M441" s="3" t="str">
        <f>VLOOKUP(G441,Store!A:H,2,FALSE)</f>
        <v>Baldwin Bikes</v>
      </c>
      <c r="N441" s="3" t="str">
        <f>VLOOKUP(G441,Store!A:H,6,FALSE)</f>
        <v>Baldwin</v>
      </c>
      <c r="O441" s="3" t="s">
        <v>16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>
        <v>441.0</v>
      </c>
      <c r="B442" s="1">
        <v>704.0</v>
      </c>
      <c r="C442" s="1">
        <v>4.0</v>
      </c>
      <c r="D442" s="4">
        <v>42631.0</v>
      </c>
      <c r="E442" s="4">
        <v>42632.0</v>
      </c>
      <c r="F442" s="4">
        <v>42632.0</v>
      </c>
      <c r="G442" s="1">
        <v>1.0</v>
      </c>
      <c r="H442" s="1">
        <v>2.0</v>
      </c>
      <c r="I442" s="3" t="str">
        <f>VLOOKUP(B442,Customers!A:J, 10,FALSE)</f>
        <v>Morton Barron</v>
      </c>
      <c r="J442" s="3" t="str">
        <f>VLOOKUP(B442,Customers!A:J,8,FALSE)</f>
        <v>CA</v>
      </c>
      <c r="K442" s="3" t="str">
        <f>VLOOKUP(B442,Customers!A:J,7,FALSE)</f>
        <v>Bakersfield</v>
      </c>
      <c r="L442" s="3" t="str">
        <f>VLOOKUP(H442,Staff!A:I,9,FALSE)</f>
        <v>Mireya Copeland</v>
      </c>
      <c r="M442" s="3" t="str">
        <f>VLOOKUP(G442,Store!A:H,2,FALSE)</f>
        <v>Santa Cruz Bikes</v>
      </c>
      <c r="N442" s="3" t="str">
        <f>VLOOKUP(G442,Store!A:H,6,FALSE)</f>
        <v>Santa Cruz</v>
      </c>
      <c r="O442" s="3" t="s">
        <v>15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>
        <v>442.0</v>
      </c>
      <c r="B443" s="1">
        <v>667.0</v>
      </c>
      <c r="C443" s="1">
        <v>4.0</v>
      </c>
      <c r="D443" s="4">
        <v>42631.0</v>
      </c>
      <c r="E443" s="4">
        <v>42634.0</v>
      </c>
      <c r="F443" s="4">
        <v>42634.0</v>
      </c>
      <c r="G443" s="1">
        <v>2.0</v>
      </c>
      <c r="H443" s="1">
        <v>7.0</v>
      </c>
      <c r="I443" s="3" t="str">
        <f>VLOOKUP(B443,Customers!A:J, 10,FALSE)</f>
        <v>Etsuko Garrison</v>
      </c>
      <c r="J443" s="3" t="str">
        <f>VLOOKUP(B443,Customers!A:J,8,FALSE)</f>
        <v>NY</v>
      </c>
      <c r="K443" s="3" t="str">
        <f>VLOOKUP(B443,Customers!A:J,7,FALSE)</f>
        <v>Richmond Hill</v>
      </c>
      <c r="L443" s="3" t="str">
        <f>VLOOKUP(H443,Staff!A:I,9,FALSE)</f>
        <v>Venita Daniel</v>
      </c>
      <c r="M443" s="3" t="str">
        <f>VLOOKUP(G443,Store!A:H,2,FALSE)</f>
        <v>Baldwin Bikes</v>
      </c>
      <c r="N443" s="3" t="str">
        <f>VLOOKUP(G443,Store!A:H,6,FALSE)</f>
        <v>Baldwin</v>
      </c>
      <c r="O443" s="3" t="s">
        <v>16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>
        <v>443.0</v>
      </c>
      <c r="B444" s="1">
        <v>1371.0</v>
      </c>
      <c r="C444" s="1">
        <v>4.0</v>
      </c>
      <c r="D444" s="4">
        <v>42631.0</v>
      </c>
      <c r="E444" s="4">
        <v>42632.0</v>
      </c>
      <c r="F444" s="4">
        <v>42633.0</v>
      </c>
      <c r="G444" s="1">
        <v>2.0</v>
      </c>
      <c r="H444" s="1">
        <v>6.0</v>
      </c>
      <c r="I444" s="3" t="str">
        <f>VLOOKUP(B444,Customers!A:J, 10,FALSE)</f>
        <v>Pandora Estes</v>
      </c>
      <c r="J444" s="3" t="str">
        <f>VLOOKUP(B444,Customers!A:J,8,FALSE)</f>
        <v>NY</v>
      </c>
      <c r="K444" s="3" t="str">
        <f>VLOOKUP(B444,Customers!A:J,7,FALSE)</f>
        <v>New Hyde Park</v>
      </c>
      <c r="L444" s="3" t="str">
        <f>VLOOKUP(H444,Staff!A:I,9,FALSE)</f>
        <v>Marcelene Boyer</v>
      </c>
      <c r="M444" s="3" t="str">
        <f>VLOOKUP(G444,Store!A:H,2,FALSE)</f>
        <v>Baldwin Bikes</v>
      </c>
      <c r="N444" s="3" t="str">
        <f>VLOOKUP(G444,Store!A:H,6,FALSE)</f>
        <v>Baldwin</v>
      </c>
      <c r="O444" s="3" t="s">
        <v>16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>
        <v>444.0</v>
      </c>
      <c r="B445" s="1">
        <v>30.0</v>
      </c>
      <c r="C445" s="1">
        <v>4.0</v>
      </c>
      <c r="D445" s="4">
        <v>42632.0</v>
      </c>
      <c r="E445" s="4">
        <v>42633.0</v>
      </c>
      <c r="F445" s="4">
        <v>42634.0</v>
      </c>
      <c r="G445" s="1">
        <v>1.0</v>
      </c>
      <c r="H445" s="1">
        <v>2.0</v>
      </c>
      <c r="I445" s="3" t="str">
        <f>VLOOKUP(B445,Customers!A:J, 10,FALSE)</f>
        <v>Jamaal Albert</v>
      </c>
      <c r="J445" s="3" t="str">
        <f>VLOOKUP(B445,Customers!A:J,8,FALSE)</f>
        <v>CA</v>
      </c>
      <c r="K445" s="3" t="str">
        <f>VLOOKUP(B445,Customers!A:J,7,FALSE)</f>
        <v>Torrance</v>
      </c>
      <c r="L445" s="3" t="str">
        <f>VLOOKUP(H445,Staff!A:I,9,FALSE)</f>
        <v>Mireya Copeland</v>
      </c>
      <c r="M445" s="3" t="str">
        <f>VLOOKUP(G445,Store!A:H,2,FALSE)</f>
        <v>Santa Cruz Bikes</v>
      </c>
      <c r="N445" s="3" t="str">
        <f>VLOOKUP(G445,Store!A:H,6,FALSE)</f>
        <v>Santa Cruz</v>
      </c>
      <c r="O445" s="3" t="s">
        <v>15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>
        <v>445.0</v>
      </c>
      <c r="B446" s="1">
        <v>362.0</v>
      </c>
      <c r="C446" s="1">
        <v>4.0</v>
      </c>
      <c r="D446" s="4">
        <v>42632.0</v>
      </c>
      <c r="E446" s="4">
        <v>42635.0</v>
      </c>
      <c r="F446" s="4">
        <v>42635.0</v>
      </c>
      <c r="G446" s="1">
        <v>2.0</v>
      </c>
      <c r="H446" s="1">
        <v>6.0</v>
      </c>
      <c r="I446" s="3" t="str">
        <f>VLOOKUP(B446,Customers!A:J, 10,FALSE)</f>
        <v>Olevia Noel</v>
      </c>
      <c r="J446" s="3" t="str">
        <f>VLOOKUP(B446,Customers!A:J,8,FALSE)</f>
        <v>NY</v>
      </c>
      <c r="K446" s="3" t="str">
        <f>VLOOKUP(B446,Customers!A:J,7,FALSE)</f>
        <v>Kingston</v>
      </c>
      <c r="L446" s="3" t="str">
        <f>VLOOKUP(H446,Staff!A:I,9,FALSE)</f>
        <v>Marcelene Boyer</v>
      </c>
      <c r="M446" s="3" t="str">
        <f>VLOOKUP(G446,Store!A:H,2,FALSE)</f>
        <v>Baldwin Bikes</v>
      </c>
      <c r="N446" s="3" t="str">
        <f>VLOOKUP(G446,Store!A:H,6,FALSE)</f>
        <v>Baldwin</v>
      </c>
      <c r="O446" s="3" t="s">
        <v>16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>
        <v>446.0</v>
      </c>
      <c r="B447" s="1">
        <v>399.0</v>
      </c>
      <c r="C447" s="1">
        <v>4.0</v>
      </c>
      <c r="D447" s="4">
        <v>42632.0</v>
      </c>
      <c r="E447" s="4">
        <v>42634.0</v>
      </c>
      <c r="F447" s="4">
        <v>42633.0</v>
      </c>
      <c r="G447" s="1">
        <v>2.0</v>
      </c>
      <c r="H447" s="1">
        <v>7.0</v>
      </c>
      <c r="I447" s="3" t="str">
        <f>VLOOKUP(B447,Customers!A:J, 10,FALSE)</f>
        <v>Bart Hess</v>
      </c>
      <c r="J447" s="3" t="str">
        <f>VLOOKUP(B447,Customers!A:J,8,FALSE)</f>
        <v>NY</v>
      </c>
      <c r="K447" s="3" t="str">
        <f>VLOOKUP(B447,Customers!A:J,7,FALSE)</f>
        <v>Kingston</v>
      </c>
      <c r="L447" s="3" t="str">
        <f>VLOOKUP(H447,Staff!A:I,9,FALSE)</f>
        <v>Venita Daniel</v>
      </c>
      <c r="M447" s="3" t="str">
        <f>VLOOKUP(G447,Store!A:H,2,FALSE)</f>
        <v>Baldwin Bikes</v>
      </c>
      <c r="N447" s="3" t="str">
        <f>VLOOKUP(G447,Store!A:H,6,FALSE)</f>
        <v>Baldwin</v>
      </c>
      <c r="O447" s="3" t="s">
        <v>16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>
        <v>447.0</v>
      </c>
      <c r="B448" s="1">
        <v>808.0</v>
      </c>
      <c r="C448" s="1">
        <v>4.0</v>
      </c>
      <c r="D448" s="4">
        <v>42633.0</v>
      </c>
      <c r="E448" s="4">
        <v>42636.0</v>
      </c>
      <c r="F448" s="4">
        <v>42635.0</v>
      </c>
      <c r="G448" s="1">
        <v>3.0</v>
      </c>
      <c r="H448" s="1">
        <v>8.0</v>
      </c>
      <c r="I448" s="3" t="str">
        <f>VLOOKUP(B448,Customers!A:J, 10,FALSE)</f>
        <v>Vallie Dixon</v>
      </c>
      <c r="J448" s="3" t="str">
        <f>VLOOKUP(B448,Customers!A:J,8,FALSE)</f>
        <v>TX</v>
      </c>
      <c r="K448" s="3" t="str">
        <f>VLOOKUP(B448,Customers!A:J,7,FALSE)</f>
        <v>Rowlett</v>
      </c>
      <c r="L448" s="3" t="str">
        <f>VLOOKUP(H448,Staff!A:I,9,FALSE)</f>
        <v>Kali Vargas</v>
      </c>
      <c r="M448" s="3" t="str">
        <f>VLOOKUP(G448,Store!A:H,2,FALSE)</f>
        <v>Rowlett Bikes</v>
      </c>
      <c r="N448" s="3" t="str">
        <f>VLOOKUP(G448,Store!A:H,6,FALSE)</f>
        <v>Rowlett</v>
      </c>
      <c r="O448" s="3" t="s">
        <v>17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>
        <v>448.0</v>
      </c>
      <c r="B449" s="1">
        <v>101.0</v>
      </c>
      <c r="C449" s="1">
        <v>4.0</v>
      </c>
      <c r="D449" s="4">
        <v>42634.0</v>
      </c>
      <c r="E449" s="4">
        <v>42635.0</v>
      </c>
      <c r="F449" s="4">
        <v>42637.0</v>
      </c>
      <c r="G449" s="1">
        <v>2.0</v>
      </c>
      <c r="H449" s="1">
        <v>6.0</v>
      </c>
      <c r="I449" s="3" t="str">
        <f>VLOOKUP(B449,Customers!A:J, 10,FALSE)</f>
        <v>Nichelle Howell</v>
      </c>
      <c r="J449" s="3" t="str">
        <f>VLOOKUP(B449,Customers!A:J,8,FALSE)</f>
        <v>NY</v>
      </c>
      <c r="K449" s="3" t="str">
        <f>VLOOKUP(B449,Customers!A:J,7,FALSE)</f>
        <v>Scarsdale</v>
      </c>
      <c r="L449" s="3" t="str">
        <f>VLOOKUP(H449,Staff!A:I,9,FALSE)</f>
        <v>Marcelene Boyer</v>
      </c>
      <c r="M449" s="3" t="str">
        <f>VLOOKUP(G449,Store!A:H,2,FALSE)</f>
        <v>Baldwin Bikes</v>
      </c>
      <c r="N449" s="3" t="str">
        <f>VLOOKUP(G449,Store!A:H,6,FALSE)</f>
        <v>Baldwin</v>
      </c>
      <c r="O449" s="3" t="s">
        <v>16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>
        <v>449.0</v>
      </c>
      <c r="B450" s="1">
        <v>492.0</v>
      </c>
      <c r="C450" s="1">
        <v>4.0</v>
      </c>
      <c r="D450" s="4">
        <v>42634.0</v>
      </c>
      <c r="E450" s="4">
        <v>42637.0</v>
      </c>
      <c r="F450" s="4">
        <v>42635.0</v>
      </c>
      <c r="G450" s="1">
        <v>2.0</v>
      </c>
      <c r="H450" s="1">
        <v>7.0</v>
      </c>
      <c r="I450" s="3" t="str">
        <f>VLOOKUP(B450,Customers!A:J, 10,FALSE)</f>
        <v>Justa Thompson</v>
      </c>
      <c r="J450" s="3" t="str">
        <f>VLOOKUP(B450,Customers!A:J,8,FALSE)</f>
        <v>NY</v>
      </c>
      <c r="K450" s="3" t="str">
        <f>VLOOKUP(B450,Customers!A:J,7,FALSE)</f>
        <v>Corona</v>
      </c>
      <c r="L450" s="3" t="str">
        <f>VLOOKUP(H450,Staff!A:I,9,FALSE)</f>
        <v>Venita Daniel</v>
      </c>
      <c r="M450" s="3" t="str">
        <f>VLOOKUP(G450,Store!A:H,2,FALSE)</f>
        <v>Baldwin Bikes</v>
      </c>
      <c r="N450" s="3" t="str">
        <f>VLOOKUP(G450,Store!A:H,6,FALSE)</f>
        <v>Baldwin</v>
      </c>
      <c r="O450" s="3" t="s">
        <v>16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>
        <v>450.0</v>
      </c>
      <c r="B451" s="1">
        <v>575.0</v>
      </c>
      <c r="C451" s="1">
        <v>4.0</v>
      </c>
      <c r="D451" s="4">
        <v>42634.0</v>
      </c>
      <c r="E451" s="4">
        <v>42637.0</v>
      </c>
      <c r="F451" s="4">
        <v>42636.0</v>
      </c>
      <c r="G451" s="1">
        <v>2.0</v>
      </c>
      <c r="H451" s="1">
        <v>7.0</v>
      </c>
      <c r="I451" s="3" t="str">
        <f>VLOOKUP(B451,Customers!A:J, 10,FALSE)</f>
        <v>Laurence Christian</v>
      </c>
      <c r="J451" s="3" t="str">
        <f>VLOOKUP(B451,Customers!A:J,8,FALSE)</f>
        <v>NY</v>
      </c>
      <c r="K451" s="3" t="str">
        <f>VLOOKUP(B451,Customers!A:J,7,FALSE)</f>
        <v>Jamaica</v>
      </c>
      <c r="L451" s="3" t="str">
        <f>VLOOKUP(H451,Staff!A:I,9,FALSE)</f>
        <v>Venita Daniel</v>
      </c>
      <c r="M451" s="3" t="str">
        <f>VLOOKUP(G451,Store!A:H,2,FALSE)</f>
        <v>Baldwin Bikes</v>
      </c>
      <c r="N451" s="3" t="str">
        <f>VLOOKUP(G451,Store!A:H,6,FALSE)</f>
        <v>Baldwin</v>
      </c>
      <c r="O451" s="3" t="s">
        <v>16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>
        <v>451.0</v>
      </c>
      <c r="B452" s="1">
        <v>1146.0</v>
      </c>
      <c r="C452" s="1">
        <v>4.0</v>
      </c>
      <c r="D452" s="4">
        <v>42634.0</v>
      </c>
      <c r="E452" s="4">
        <v>42636.0</v>
      </c>
      <c r="F452" s="4">
        <v>42635.0</v>
      </c>
      <c r="G452" s="1">
        <v>2.0</v>
      </c>
      <c r="H452" s="1">
        <v>7.0</v>
      </c>
      <c r="I452" s="3" t="str">
        <f>VLOOKUP(B452,Customers!A:J, 10,FALSE)</f>
        <v>Charlsie Carson</v>
      </c>
      <c r="J452" s="3" t="str">
        <f>VLOOKUP(B452,Customers!A:J,8,FALSE)</f>
        <v>NY</v>
      </c>
      <c r="K452" s="3" t="str">
        <f>VLOOKUP(B452,Customers!A:J,7,FALSE)</f>
        <v>Saint Albans</v>
      </c>
      <c r="L452" s="3" t="str">
        <f>VLOOKUP(H452,Staff!A:I,9,FALSE)</f>
        <v>Venita Daniel</v>
      </c>
      <c r="M452" s="3" t="str">
        <f>VLOOKUP(G452,Store!A:H,2,FALSE)</f>
        <v>Baldwin Bikes</v>
      </c>
      <c r="N452" s="3" t="str">
        <f>VLOOKUP(G452,Store!A:H,6,FALSE)</f>
        <v>Baldwin</v>
      </c>
      <c r="O452" s="3" t="s">
        <v>16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>
        <v>452.0</v>
      </c>
      <c r="B453" s="1">
        <v>997.0</v>
      </c>
      <c r="C453" s="1">
        <v>4.0</v>
      </c>
      <c r="D453" s="4">
        <v>42635.0</v>
      </c>
      <c r="E453" s="4">
        <v>42636.0</v>
      </c>
      <c r="F453" s="4">
        <v>42637.0</v>
      </c>
      <c r="G453" s="1">
        <v>2.0</v>
      </c>
      <c r="H453" s="1">
        <v>7.0</v>
      </c>
      <c r="I453" s="3" t="str">
        <f>VLOOKUP(B453,Customers!A:J, 10,FALSE)</f>
        <v>Trinidad Mcclain</v>
      </c>
      <c r="J453" s="3" t="str">
        <f>VLOOKUP(B453,Customers!A:J,8,FALSE)</f>
        <v>NY</v>
      </c>
      <c r="K453" s="3" t="str">
        <f>VLOOKUP(B453,Customers!A:J,7,FALSE)</f>
        <v>Baldwin</v>
      </c>
      <c r="L453" s="3" t="str">
        <f>VLOOKUP(H453,Staff!A:I,9,FALSE)</f>
        <v>Venita Daniel</v>
      </c>
      <c r="M453" s="3" t="str">
        <f>VLOOKUP(G453,Store!A:H,2,FALSE)</f>
        <v>Baldwin Bikes</v>
      </c>
      <c r="N453" s="3" t="str">
        <f>VLOOKUP(G453,Store!A:H,6,FALSE)</f>
        <v>Baldwin</v>
      </c>
      <c r="O453" s="3" t="s">
        <v>16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>
        <v>453.0</v>
      </c>
      <c r="B454" s="1">
        <v>1028.0</v>
      </c>
      <c r="C454" s="1">
        <v>4.0</v>
      </c>
      <c r="D454" s="4">
        <v>42635.0</v>
      </c>
      <c r="E454" s="4">
        <v>42637.0</v>
      </c>
      <c r="F454" s="4">
        <v>42638.0</v>
      </c>
      <c r="G454" s="1">
        <v>2.0</v>
      </c>
      <c r="H454" s="1">
        <v>7.0</v>
      </c>
      <c r="I454" s="3" t="str">
        <f>VLOOKUP(B454,Customers!A:J, 10,FALSE)</f>
        <v>Shanna Bonner</v>
      </c>
      <c r="J454" s="3" t="str">
        <f>VLOOKUP(B454,Customers!A:J,8,FALSE)</f>
        <v>NY</v>
      </c>
      <c r="K454" s="3" t="str">
        <f>VLOOKUP(B454,Customers!A:J,7,FALSE)</f>
        <v>Canandaigua</v>
      </c>
      <c r="L454" s="3" t="str">
        <f>VLOOKUP(H454,Staff!A:I,9,FALSE)</f>
        <v>Venita Daniel</v>
      </c>
      <c r="M454" s="3" t="str">
        <f>VLOOKUP(G454,Store!A:H,2,FALSE)</f>
        <v>Baldwin Bikes</v>
      </c>
      <c r="N454" s="3" t="str">
        <f>VLOOKUP(G454,Store!A:H,6,FALSE)</f>
        <v>Baldwin</v>
      </c>
      <c r="O454" s="3" t="s">
        <v>16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>
        <v>454.0</v>
      </c>
      <c r="B455" s="1">
        <v>988.0</v>
      </c>
      <c r="C455" s="1">
        <v>4.0</v>
      </c>
      <c r="D455" s="4">
        <v>42636.0</v>
      </c>
      <c r="E455" s="4">
        <v>42638.0</v>
      </c>
      <c r="F455" s="4">
        <v>42639.0</v>
      </c>
      <c r="G455" s="1">
        <v>2.0</v>
      </c>
      <c r="H455" s="1">
        <v>6.0</v>
      </c>
      <c r="I455" s="3" t="str">
        <f>VLOOKUP(B455,Customers!A:J, 10,FALSE)</f>
        <v>Vanda Holmes</v>
      </c>
      <c r="J455" s="3" t="str">
        <f>VLOOKUP(B455,Customers!A:J,8,FALSE)</f>
        <v>NY</v>
      </c>
      <c r="K455" s="3" t="str">
        <f>VLOOKUP(B455,Customers!A:J,7,FALSE)</f>
        <v>Syosset</v>
      </c>
      <c r="L455" s="3" t="str">
        <f>VLOOKUP(H455,Staff!A:I,9,FALSE)</f>
        <v>Marcelene Boyer</v>
      </c>
      <c r="M455" s="3" t="str">
        <f>VLOOKUP(G455,Store!A:H,2,FALSE)</f>
        <v>Baldwin Bikes</v>
      </c>
      <c r="N455" s="3" t="str">
        <f>VLOOKUP(G455,Store!A:H,6,FALSE)</f>
        <v>Baldwin</v>
      </c>
      <c r="O455" s="3" t="s">
        <v>16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>
        <v>455.0</v>
      </c>
      <c r="B456" s="1">
        <v>1055.0</v>
      </c>
      <c r="C456" s="1">
        <v>4.0</v>
      </c>
      <c r="D456" s="4">
        <v>42636.0</v>
      </c>
      <c r="E456" s="4">
        <v>42637.0</v>
      </c>
      <c r="F456" s="4">
        <v>42637.0</v>
      </c>
      <c r="G456" s="1">
        <v>2.0</v>
      </c>
      <c r="H456" s="1">
        <v>7.0</v>
      </c>
      <c r="I456" s="3" t="str">
        <f>VLOOKUP(B456,Customers!A:J, 10,FALSE)</f>
        <v>Hildegarde Christensen</v>
      </c>
      <c r="J456" s="3" t="str">
        <f>VLOOKUP(B456,Customers!A:J,8,FALSE)</f>
        <v>NY</v>
      </c>
      <c r="K456" s="3" t="str">
        <f>VLOOKUP(B456,Customers!A:J,7,FALSE)</f>
        <v>Maspeth</v>
      </c>
      <c r="L456" s="3" t="str">
        <f>VLOOKUP(H456,Staff!A:I,9,FALSE)</f>
        <v>Venita Daniel</v>
      </c>
      <c r="M456" s="3" t="str">
        <f>VLOOKUP(G456,Store!A:H,2,FALSE)</f>
        <v>Baldwin Bikes</v>
      </c>
      <c r="N456" s="3" t="str">
        <f>VLOOKUP(G456,Store!A:H,6,FALSE)</f>
        <v>Baldwin</v>
      </c>
      <c r="O456" s="3" t="s">
        <v>16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>
        <v>456.0</v>
      </c>
      <c r="B457" s="1">
        <v>1061.0</v>
      </c>
      <c r="C457" s="1">
        <v>4.0</v>
      </c>
      <c r="D457" s="4">
        <v>42636.0</v>
      </c>
      <c r="E457" s="4">
        <v>42639.0</v>
      </c>
      <c r="F457" s="4">
        <v>42638.0</v>
      </c>
      <c r="G457" s="1">
        <v>3.0</v>
      </c>
      <c r="H457" s="1">
        <v>9.0</v>
      </c>
      <c r="I457" s="3" t="str">
        <f>VLOOKUP(B457,Customers!A:J, 10,FALSE)</f>
        <v>Alanna Barry</v>
      </c>
      <c r="J457" s="3" t="str">
        <f>VLOOKUP(B457,Customers!A:J,8,FALSE)</f>
        <v>TX</v>
      </c>
      <c r="K457" s="3" t="str">
        <f>VLOOKUP(B457,Customers!A:J,7,FALSE)</f>
        <v>Euless</v>
      </c>
      <c r="L457" s="3" t="str">
        <f>VLOOKUP(H457,Staff!A:I,9,FALSE)</f>
        <v>Layla Terrell</v>
      </c>
      <c r="M457" s="3" t="str">
        <f>VLOOKUP(G457,Store!A:H,2,FALSE)</f>
        <v>Rowlett Bikes</v>
      </c>
      <c r="N457" s="3" t="str">
        <f>VLOOKUP(G457,Store!A:H,6,FALSE)</f>
        <v>Rowlett</v>
      </c>
      <c r="O457" s="3" t="s">
        <v>17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>
        <v>457.0</v>
      </c>
      <c r="B458" s="1">
        <v>1349.0</v>
      </c>
      <c r="C458" s="1">
        <v>4.0</v>
      </c>
      <c r="D458" s="4">
        <v>42637.0</v>
      </c>
      <c r="E458" s="4">
        <v>42640.0</v>
      </c>
      <c r="F458" s="4">
        <v>42640.0</v>
      </c>
      <c r="G458" s="1">
        <v>1.0</v>
      </c>
      <c r="H458" s="1">
        <v>3.0</v>
      </c>
      <c r="I458" s="3" t="str">
        <f>VLOOKUP(B458,Customers!A:J, 10,FALSE)</f>
        <v>Kami Rios</v>
      </c>
      <c r="J458" s="3" t="str">
        <f>VLOOKUP(B458,Customers!A:J,8,FALSE)</f>
        <v>CA</v>
      </c>
      <c r="K458" s="3" t="str">
        <f>VLOOKUP(B458,Customers!A:J,7,FALSE)</f>
        <v>Encino</v>
      </c>
      <c r="L458" s="3" t="str">
        <f>VLOOKUP(H458,Staff!A:I,9,FALSE)</f>
        <v>Genna Serrano</v>
      </c>
      <c r="M458" s="3" t="str">
        <f>VLOOKUP(G458,Store!A:H,2,FALSE)</f>
        <v>Santa Cruz Bikes</v>
      </c>
      <c r="N458" s="3" t="str">
        <f>VLOOKUP(G458,Store!A:H,6,FALSE)</f>
        <v>Santa Cruz</v>
      </c>
      <c r="O458" s="3" t="s">
        <v>15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>
        <v>458.0</v>
      </c>
      <c r="B459" s="1">
        <v>197.0</v>
      </c>
      <c r="C459" s="1">
        <v>4.0</v>
      </c>
      <c r="D459" s="4">
        <v>42638.0</v>
      </c>
      <c r="E459" s="4">
        <v>42641.0</v>
      </c>
      <c r="F459" s="4">
        <v>42639.0</v>
      </c>
      <c r="G459" s="1">
        <v>2.0</v>
      </c>
      <c r="H459" s="1">
        <v>6.0</v>
      </c>
      <c r="I459" s="3" t="str">
        <f>VLOOKUP(B459,Customers!A:J, 10,FALSE)</f>
        <v>Andy O'neill</v>
      </c>
      <c r="J459" s="3" t="str">
        <f>VLOOKUP(B459,Customers!A:J,8,FALSE)</f>
        <v>NY</v>
      </c>
      <c r="K459" s="3" t="str">
        <f>VLOOKUP(B459,Customers!A:J,7,FALSE)</f>
        <v>Rego Park</v>
      </c>
      <c r="L459" s="3" t="str">
        <f>VLOOKUP(H459,Staff!A:I,9,FALSE)</f>
        <v>Marcelene Boyer</v>
      </c>
      <c r="M459" s="3" t="str">
        <f>VLOOKUP(G459,Store!A:H,2,FALSE)</f>
        <v>Baldwin Bikes</v>
      </c>
      <c r="N459" s="3" t="str">
        <f>VLOOKUP(G459,Store!A:H,6,FALSE)</f>
        <v>Baldwin</v>
      </c>
      <c r="O459" s="3" t="s">
        <v>16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>
        <v>459.0</v>
      </c>
      <c r="B460" s="1">
        <v>874.0</v>
      </c>
      <c r="C460" s="1">
        <v>4.0</v>
      </c>
      <c r="D460" s="4">
        <v>42638.0</v>
      </c>
      <c r="E460" s="4">
        <v>42641.0</v>
      </c>
      <c r="F460" s="4">
        <v>42639.0</v>
      </c>
      <c r="G460" s="1">
        <v>2.0</v>
      </c>
      <c r="H460" s="1">
        <v>6.0</v>
      </c>
      <c r="I460" s="3" t="str">
        <f>VLOOKUP(B460,Customers!A:J, 10,FALSE)</f>
        <v>Mila Good</v>
      </c>
      <c r="J460" s="3" t="str">
        <f>VLOOKUP(B460,Customers!A:J,8,FALSE)</f>
        <v>NY</v>
      </c>
      <c r="K460" s="3" t="str">
        <f>VLOOKUP(B460,Customers!A:J,7,FALSE)</f>
        <v>Plattsburgh</v>
      </c>
      <c r="L460" s="3" t="str">
        <f>VLOOKUP(H460,Staff!A:I,9,FALSE)</f>
        <v>Marcelene Boyer</v>
      </c>
      <c r="M460" s="3" t="str">
        <f>VLOOKUP(G460,Store!A:H,2,FALSE)</f>
        <v>Baldwin Bikes</v>
      </c>
      <c r="N460" s="3" t="str">
        <f>VLOOKUP(G460,Store!A:H,6,FALSE)</f>
        <v>Baldwin</v>
      </c>
      <c r="O460" s="3" t="s">
        <v>16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>
        <v>460.0</v>
      </c>
      <c r="B461" s="1">
        <v>691.0</v>
      </c>
      <c r="C461" s="1">
        <v>4.0</v>
      </c>
      <c r="D461" s="4">
        <v>42638.0</v>
      </c>
      <c r="E461" s="4">
        <v>42640.0</v>
      </c>
      <c r="F461" s="4">
        <v>42639.0</v>
      </c>
      <c r="G461" s="1">
        <v>3.0</v>
      </c>
      <c r="H461" s="1">
        <v>8.0</v>
      </c>
      <c r="I461" s="3" t="str">
        <f>VLOOKUP(B461,Customers!A:J, 10,FALSE)</f>
        <v>Ladawn Downs</v>
      </c>
      <c r="J461" s="3" t="str">
        <f>VLOOKUP(B461,Customers!A:J,8,FALSE)</f>
        <v>TX</v>
      </c>
      <c r="K461" s="3" t="str">
        <f>VLOOKUP(B461,Customers!A:J,7,FALSE)</f>
        <v>Houston</v>
      </c>
      <c r="L461" s="3" t="str">
        <f>VLOOKUP(H461,Staff!A:I,9,FALSE)</f>
        <v>Kali Vargas</v>
      </c>
      <c r="M461" s="3" t="str">
        <f>VLOOKUP(G461,Store!A:H,2,FALSE)</f>
        <v>Rowlett Bikes</v>
      </c>
      <c r="N461" s="3" t="str">
        <f>VLOOKUP(G461,Store!A:H,6,FALSE)</f>
        <v>Rowlett</v>
      </c>
      <c r="O461" s="3" t="s">
        <v>17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>
        <v>461.0</v>
      </c>
      <c r="B462" s="1">
        <v>853.0</v>
      </c>
      <c r="C462" s="1">
        <v>4.0</v>
      </c>
      <c r="D462" s="4">
        <v>42639.0</v>
      </c>
      <c r="E462" s="4">
        <v>42640.0</v>
      </c>
      <c r="F462" s="4">
        <v>42640.0</v>
      </c>
      <c r="G462" s="1">
        <v>2.0</v>
      </c>
      <c r="H462" s="1">
        <v>7.0</v>
      </c>
      <c r="I462" s="3" t="str">
        <f>VLOOKUP(B462,Customers!A:J, 10,FALSE)</f>
        <v>Brittney Rojas</v>
      </c>
      <c r="J462" s="3" t="str">
        <f>VLOOKUP(B462,Customers!A:J,8,FALSE)</f>
        <v>NY</v>
      </c>
      <c r="K462" s="3" t="str">
        <f>VLOOKUP(B462,Customers!A:J,7,FALSE)</f>
        <v>Kingston</v>
      </c>
      <c r="L462" s="3" t="str">
        <f>VLOOKUP(H462,Staff!A:I,9,FALSE)</f>
        <v>Venita Daniel</v>
      </c>
      <c r="M462" s="3" t="str">
        <f>VLOOKUP(G462,Store!A:H,2,FALSE)</f>
        <v>Baldwin Bikes</v>
      </c>
      <c r="N462" s="3" t="str">
        <f>VLOOKUP(G462,Store!A:H,6,FALSE)</f>
        <v>Baldwin</v>
      </c>
      <c r="O462" s="3" t="s">
        <v>16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>
        <v>462.0</v>
      </c>
      <c r="B463" s="1">
        <v>852.0</v>
      </c>
      <c r="C463" s="1">
        <v>4.0</v>
      </c>
      <c r="D463" s="4">
        <v>42640.0</v>
      </c>
      <c r="E463" s="4">
        <v>42641.0</v>
      </c>
      <c r="F463" s="4">
        <v>42642.0</v>
      </c>
      <c r="G463" s="1">
        <v>2.0</v>
      </c>
      <c r="H463" s="1">
        <v>6.0</v>
      </c>
      <c r="I463" s="3" t="str">
        <f>VLOOKUP(B463,Customers!A:J, 10,FALSE)</f>
        <v>Lezlie Thompson</v>
      </c>
      <c r="J463" s="3" t="str">
        <f>VLOOKUP(B463,Customers!A:J,8,FALSE)</f>
        <v>NY</v>
      </c>
      <c r="K463" s="3" t="str">
        <f>VLOOKUP(B463,Customers!A:J,7,FALSE)</f>
        <v>Freeport</v>
      </c>
      <c r="L463" s="3" t="str">
        <f>VLOOKUP(H463,Staff!A:I,9,FALSE)</f>
        <v>Marcelene Boyer</v>
      </c>
      <c r="M463" s="3" t="str">
        <f>VLOOKUP(G463,Store!A:H,2,FALSE)</f>
        <v>Baldwin Bikes</v>
      </c>
      <c r="N463" s="3" t="str">
        <f>VLOOKUP(G463,Store!A:H,6,FALSE)</f>
        <v>Baldwin</v>
      </c>
      <c r="O463" s="3" t="s">
        <v>16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>
        <v>463.0</v>
      </c>
      <c r="B464" s="1">
        <v>964.0</v>
      </c>
      <c r="C464" s="1">
        <v>4.0</v>
      </c>
      <c r="D464" s="4">
        <v>42640.0</v>
      </c>
      <c r="E464" s="4">
        <v>42641.0</v>
      </c>
      <c r="F464" s="4">
        <v>42641.0</v>
      </c>
      <c r="G464" s="1">
        <v>3.0</v>
      </c>
      <c r="H464" s="1">
        <v>8.0</v>
      </c>
      <c r="I464" s="3" t="str">
        <f>VLOOKUP(B464,Customers!A:J, 10,FALSE)</f>
        <v>Brent Calderon</v>
      </c>
      <c r="J464" s="3" t="str">
        <f>VLOOKUP(B464,Customers!A:J,8,FALSE)</f>
        <v>TX</v>
      </c>
      <c r="K464" s="3" t="str">
        <f>VLOOKUP(B464,Customers!A:J,7,FALSE)</f>
        <v>Corpus Christi</v>
      </c>
      <c r="L464" s="3" t="str">
        <f>VLOOKUP(H464,Staff!A:I,9,FALSE)</f>
        <v>Kali Vargas</v>
      </c>
      <c r="M464" s="3" t="str">
        <f>VLOOKUP(G464,Store!A:H,2,FALSE)</f>
        <v>Rowlett Bikes</v>
      </c>
      <c r="N464" s="3" t="str">
        <f>VLOOKUP(G464,Store!A:H,6,FALSE)</f>
        <v>Rowlett</v>
      </c>
      <c r="O464" s="3" t="s">
        <v>17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>
        <v>464.0</v>
      </c>
      <c r="B465" s="1">
        <v>74.0</v>
      </c>
      <c r="C465" s="1">
        <v>4.0</v>
      </c>
      <c r="D465" s="4">
        <v>42641.0</v>
      </c>
      <c r="E465" s="4">
        <v>42643.0</v>
      </c>
      <c r="F465" s="4">
        <v>42642.0</v>
      </c>
      <c r="G465" s="1">
        <v>2.0</v>
      </c>
      <c r="H465" s="1">
        <v>7.0</v>
      </c>
      <c r="I465" s="3" t="str">
        <f>VLOOKUP(B465,Customers!A:J, 10,FALSE)</f>
        <v>Georgeann Waller</v>
      </c>
      <c r="J465" s="3" t="str">
        <f>VLOOKUP(B465,Customers!A:J,8,FALSE)</f>
        <v>NY</v>
      </c>
      <c r="K465" s="3" t="str">
        <f>VLOOKUP(B465,Customers!A:J,7,FALSE)</f>
        <v>North Tonawanda</v>
      </c>
      <c r="L465" s="3" t="str">
        <f>VLOOKUP(H465,Staff!A:I,9,FALSE)</f>
        <v>Venita Daniel</v>
      </c>
      <c r="M465" s="3" t="str">
        <f>VLOOKUP(G465,Store!A:H,2,FALSE)</f>
        <v>Baldwin Bikes</v>
      </c>
      <c r="N465" s="3" t="str">
        <f>VLOOKUP(G465,Store!A:H,6,FALSE)</f>
        <v>Baldwin</v>
      </c>
      <c r="O465" s="3" t="s">
        <v>16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>
        <v>465.0</v>
      </c>
      <c r="B466" s="1">
        <v>1198.0</v>
      </c>
      <c r="C466" s="1">
        <v>4.0</v>
      </c>
      <c r="D466" s="4">
        <v>42641.0</v>
      </c>
      <c r="E466" s="4">
        <v>42644.0</v>
      </c>
      <c r="F466" s="4">
        <v>42644.0</v>
      </c>
      <c r="G466" s="1">
        <v>2.0</v>
      </c>
      <c r="H466" s="1">
        <v>6.0</v>
      </c>
      <c r="I466" s="3" t="str">
        <f>VLOOKUP(B466,Customers!A:J, 10,FALSE)</f>
        <v>Cheryll Snyder</v>
      </c>
      <c r="J466" s="3" t="str">
        <f>VLOOKUP(B466,Customers!A:J,8,FALSE)</f>
        <v>NY</v>
      </c>
      <c r="K466" s="3" t="str">
        <f>VLOOKUP(B466,Customers!A:J,7,FALSE)</f>
        <v>Brooklyn</v>
      </c>
      <c r="L466" s="3" t="str">
        <f>VLOOKUP(H466,Staff!A:I,9,FALSE)</f>
        <v>Marcelene Boyer</v>
      </c>
      <c r="M466" s="3" t="str">
        <f>VLOOKUP(G466,Store!A:H,2,FALSE)</f>
        <v>Baldwin Bikes</v>
      </c>
      <c r="N466" s="3" t="str">
        <f>VLOOKUP(G466,Store!A:H,6,FALSE)</f>
        <v>Baldwin</v>
      </c>
      <c r="O466" s="3" t="s">
        <v>16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>
        <v>466.0</v>
      </c>
      <c r="B467" s="1">
        <v>1440.0</v>
      </c>
      <c r="C467" s="1">
        <v>4.0</v>
      </c>
      <c r="D467" s="4">
        <v>42641.0</v>
      </c>
      <c r="E467" s="4">
        <v>42642.0</v>
      </c>
      <c r="F467" s="4">
        <v>42644.0</v>
      </c>
      <c r="G467" s="1">
        <v>2.0</v>
      </c>
      <c r="H467" s="1">
        <v>7.0</v>
      </c>
      <c r="I467" s="3" t="str">
        <f>VLOOKUP(B467,Customers!A:J, 10,FALSE)</f>
        <v>Ernest Rollins</v>
      </c>
      <c r="J467" s="3" t="str">
        <f>VLOOKUP(B467,Customers!A:J,8,FALSE)</f>
        <v>NY</v>
      </c>
      <c r="K467" s="3" t="str">
        <f>VLOOKUP(B467,Customers!A:J,7,FALSE)</f>
        <v>Oakland Gardens</v>
      </c>
      <c r="L467" s="3" t="str">
        <f>VLOOKUP(H467,Staff!A:I,9,FALSE)</f>
        <v>Venita Daniel</v>
      </c>
      <c r="M467" s="3" t="str">
        <f>VLOOKUP(G467,Store!A:H,2,FALSE)</f>
        <v>Baldwin Bikes</v>
      </c>
      <c r="N467" s="3" t="str">
        <f>VLOOKUP(G467,Store!A:H,6,FALSE)</f>
        <v>Baldwin</v>
      </c>
      <c r="O467" s="3" t="s">
        <v>16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>
        <v>467.0</v>
      </c>
      <c r="B468" s="1">
        <v>555.0</v>
      </c>
      <c r="C468" s="1">
        <v>4.0</v>
      </c>
      <c r="D468" s="4">
        <v>42641.0</v>
      </c>
      <c r="E468" s="4">
        <v>42643.0</v>
      </c>
      <c r="F468" s="4">
        <v>42643.0</v>
      </c>
      <c r="G468" s="1">
        <v>3.0</v>
      </c>
      <c r="H468" s="1">
        <v>8.0</v>
      </c>
      <c r="I468" s="3" t="str">
        <f>VLOOKUP(B468,Customers!A:J, 10,FALSE)</f>
        <v>Marry Benjamin</v>
      </c>
      <c r="J468" s="3" t="str">
        <f>VLOOKUP(B468,Customers!A:J,8,FALSE)</f>
        <v>TX</v>
      </c>
      <c r="K468" s="3" t="str">
        <f>VLOOKUP(B468,Customers!A:J,7,FALSE)</f>
        <v>Forney</v>
      </c>
      <c r="L468" s="3" t="str">
        <f>VLOOKUP(H468,Staff!A:I,9,FALSE)</f>
        <v>Kali Vargas</v>
      </c>
      <c r="M468" s="3" t="str">
        <f>VLOOKUP(G468,Store!A:H,2,FALSE)</f>
        <v>Rowlett Bikes</v>
      </c>
      <c r="N468" s="3" t="str">
        <f>VLOOKUP(G468,Store!A:H,6,FALSE)</f>
        <v>Rowlett</v>
      </c>
      <c r="O468" s="3" t="s">
        <v>17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>
        <v>468.0</v>
      </c>
      <c r="B469" s="1">
        <v>1261.0</v>
      </c>
      <c r="C469" s="1">
        <v>4.0</v>
      </c>
      <c r="D469" s="4">
        <v>42642.0</v>
      </c>
      <c r="E469" s="4">
        <v>42645.0</v>
      </c>
      <c r="F469" s="4">
        <v>42643.0</v>
      </c>
      <c r="G469" s="1">
        <v>1.0</v>
      </c>
      <c r="H469" s="1">
        <v>3.0</v>
      </c>
      <c r="I469" s="3" t="str">
        <f>VLOOKUP(B469,Customers!A:J, 10,FALSE)</f>
        <v>Adelaida Hancock</v>
      </c>
      <c r="J469" s="3" t="str">
        <f>VLOOKUP(B469,Customers!A:J,8,FALSE)</f>
        <v>CA</v>
      </c>
      <c r="K469" s="3" t="str">
        <f>VLOOKUP(B469,Customers!A:J,7,FALSE)</f>
        <v>San Pablo</v>
      </c>
      <c r="L469" s="3" t="str">
        <f>VLOOKUP(H469,Staff!A:I,9,FALSE)</f>
        <v>Genna Serrano</v>
      </c>
      <c r="M469" s="3" t="str">
        <f>VLOOKUP(G469,Store!A:H,2,FALSE)</f>
        <v>Santa Cruz Bikes</v>
      </c>
      <c r="N469" s="3" t="str">
        <f>VLOOKUP(G469,Store!A:H,6,FALSE)</f>
        <v>Santa Cruz</v>
      </c>
      <c r="O469" s="3" t="s">
        <v>15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>
        <v>469.0</v>
      </c>
      <c r="B470" s="1">
        <v>1089.0</v>
      </c>
      <c r="C470" s="1">
        <v>4.0</v>
      </c>
      <c r="D470" s="4">
        <v>42642.0</v>
      </c>
      <c r="E470" s="4">
        <v>42645.0</v>
      </c>
      <c r="F470" s="4">
        <v>42645.0</v>
      </c>
      <c r="G470" s="1">
        <v>2.0</v>
      </c>
      <c r="H470" s="1">
        <v>7.0</v>
      </c>
      <c r="I470" s="3" t="str">
        <f>VLOOKUP(B470,Customers!A:J, 10,FALSE)</f>
        <v>Chere Mcfadden</v>
      </c>
      <c r="J470" s="3" t="str">
        <f>VLOOKUP(B470,Customers!A:J,8,FALSE)</f>
        <v>NY</v>
      </c>
      <c r="K470" s="3" t="str">
        <f>VLOOKUP(B470,Customers!A:J,7,FALSE)</f>
        <v>Orchard Park</v>
      </c>
      <c r="L470" s="3" t="str">
        <f>VLOOKUP(H470,Staff!A:I,9,FALSE)</f>
        <v>Venita Daniel</v>
      </c>
      <c r="M470" s="3" t="str">
        <f>VLOOKUP(G470,Store!A:H,2,FALSE)</f>
        <v>Baldwin Bikes</v>
      </c>
      <c r="N470" s="3" t="str">
        <f>VLOOKUP(G470,Store!A:H,6,FALSE)</f>
        <v>Baldwin</v>
      </c>
      <c r="O470" s="3" t="s">
        <v>16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>
        <v>470.0</v>
      </c>
      <c r="B471" s="1">
        <v>641.0</v>
      </c>
      <c r="C471" s="1">
        <v>4.0</v>
      </c>
      <c r="D471" s="4">
        <v>42643.0</v>
      </c>
      <c r="E471" s="4">
        <v>42645.0</v>
      </c>
      <c r="F471" s="4">
        <v>42645.0</v>
      </c>
      <c r="G471" s="1">
        <v>1.0</v>
      </c>
      <c r="H471" s="1">
        <v>3.0</v>
      </c>
      <c r="I471" s="3" t="str">
        <f>VLOOKUP(B471,Customers!A:J, 10,FALSE)</f>
        <v>Derrick Marks</v>
      </c>
      <c r="J471" s="3" t="str">
        <f>VLOOKUP(B471,Customers!A:J,8,FALSE)</f>
        <v>CA</v>
      </c>
      <c r="K471" s="3" t="str">
        <f>VLOOKUP(B471,Customers!A:J,7,FALSE)</f>
        <v>Glendora</v>
      </c>
      <c r="L471" s="3" t="str">
        <f>VLOOKUP(H471,Staff!A:I,9,FALSE)</f>
        <v>Genna Serrano</v>
      </c>
      <c r="M471" s="3" t="str">
        <f>VLOOKUP(G471,Store!A:H,2,FALSE)</f>
        <v>Santa Cruz Bikes</v>
      </c>
      <c r="N471" s="3" t="str">
        <f>VLOOKUP(G471,Store!A:H,6,FALSE)</f>
        <v>Santa Cruz</v>
      </c>
      <c r="O471" s="3" t="s">
        <v>15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>
        <v>471.0</v>
      </c>
      <c r="B472" s="1">
        <v>697.0</v>
      </c>
      <c r="C472" s="1">
        <v>4.0</v>
      </c>
      <c r="D472" s="4">
        <v>42643.0</v>
      </c>
      <c r="E472" s="4">
        <v>42645.0</v>
      </c>
      <c r="F472" s="4">
        <v>42644.0</v>
      </c>
      <c r="G472" s="1">
        <v>1.0</v>
      </c>
      <c r="H472" s="1">
        <v>3.0</v>
      </c>
      <c r="I472" s="3" t="str">
        <f>VLOOKUP(B472,Customers!A:J, 10,FALSE)</f>
        <v>Alane Mccarty</v>
      </c>
      <c r="J472" s="3" t="str">
        <f>VLOOKUP(B472,Customers!A:J,8,FALSE)</f>
        <v>CA</v>
      </c>
      <c r="K472" s="3" t="str">
        <f>VLOOKUP(B472,Customers!A:J,7,FALSE)</f>
        <v>San Diego</v>
      </c>
      <c r="L472" s="3" t="str">
        <f>VLOOKUP(H472,Staff!A:I,9,FALSE)</f>
        <v>Genna Serrano</v>
      </c>
      <c r="M472" s="3" t="str">
        <f>VLOOKUP(G472,Store!A:H,2,FALSE)</f>
        <v>Santa Cruz Bikes</v>
      </c>
      <c r="N472" s="3" t="str">
        <f>VLOOKUP(G472,Store!A:H,6,FALSE)</f>
        <v>Santa Cruz</v>
      </c>
      <c r="O472" s="3" t="s">
        <v>15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>
        <v>472.0</v>
      </c>
      <c r="B473" s="1">
        <v>468.0</v>
      </c>
      <c r="C473" s="1">
        <v>4.0</v>
      </c>
      <c r="D473" s="4">
        <v>42643.0</v>
      </c>
      <c r="E473" s="4">
        <v>42644.0</v>
      </c>
      <c r="F473" s="4">
        <v>42644.0</v>
      </c>
      <c r="G473" s="1">
        <v>2.0</v>
      </c>
      <c r="H473" s="1">
        <v>7.0</v>
      </c>
      <c r="I473" s="3" t="str">
        <f>VLOOKUP(B473,Customers!A:J, 10,FALSE)</f>
        <v>Jeanett Herman</v>
      </c>
      <c r="J473" s="3" t="str">
        <f>VLOOKUP(B473,Customers!A:J,8,FALSE)</f>
        <v>NY</v>
      </c>
      <c r="K473" s="3" t="str">
        <f>VLOOKUP(B473,Customers!A:J,7,FALSE)</f>
        <v>Lindenhurst</v>
      </c>
      <c r="L473" s="3" t="str">
        <f>VLOOKUP(H473,Staff!A:I,9,FALSE)</f>
        <v>Venita Daniel</v>
      </c>
      <c r="M473" s="3" t="str">
        <f>VLOOKUP(G473,Store!A:H,2,FALSE)</f>
        <v>Baldwin Bikes</v>
      </c>
      <c r="N473" s="3" t="str">
        <f>VLOOKUP(G473,Store!A:H,6,FALSE)</f>
        <v>Baldwin</v>
      </c>
      <c r="O473" s="3" t="s">
        <v>16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>
        <v>473.0</v>
      </c>
      <c r="B474" s="1">
        <v>549.0</v>
      </c>
      <c r="C474" s="1">
        <v>4.0</v>
      </c>
      <c r="D474" s="4">
        <v>42643.0</v>
      </c>
      <c r="E474" s="4">
        <v>42645.0</v>
      </c>
      <c r="F474" s="4">
        <v>42646.0</v>
      </c>
      <c r="G474" s="1">
        <v>2.0</v>
      </c>
      <c r="H474" s="1">
        <v>7.0</v>
      </c>
      <c r="I474" s="3" t="str">
        <f>VLOOKUP(B474,Customers!A:J, 10,FALSE)</f>
        <v>Elmo Arnold</v>
      </c>
      <c r="J474" s="3" t="str">
        <f>VLOOKUP(B474,Customers!A:J,8,FALSE)</f>
        <v>NY</v>
      </c>
      <c r="K474" s="3" t="str">
        <f>VLOOKUP(B474,Customers!A:J,7,FALSE)</f>
        <v>Long Beach</v>
      </c>
      <c r="L474" s="3" t="str">
        <f>VLOOKUP(H474,Staff!A:I,9,FALSE)</f>
        <v>Venita Daniel</v>
      </c>
      <c r="M474" s="3" t="str">
        <f>VLOOKUP(G474,Store!A:H,2,FALSE)</f>
        <v>Baldwin Bikes</v>
      </c>
      <c r="N474" s="3" t="str">
        <f>VLOOKUP(G474,Store!A:H,6,FALSE)</f>
        <v>Baldwin</v>
      </c>
      <c r="O474" s="3" t="s">
        <v>16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>
        <v>474.0</v>
      </c>
      <c r="B475" s="1">
        <v>553.0</v>
      </c>
      <c r="C475" s="1">
        <v>4.0</v>
      </c>
      <c r="D475" s="4">
        <v>42644.0</v>
      </c>
      <c r="E475" s="4">
        <v>42647.0</v>
      </c>
      <c r="F475" s="4">
        <v>42647.0</v>
      </c>
      <c r="G475" s="1">
        <v>1.0</v>
      </c>
      <c r="H475" s="1">
        <v>3.0</v>
      </c>
      <c r="I475" s="3" t="str">
        <f>VLOOKUP(B475,Customers!A:J, 10,FALSE)</f>
        <v>Rory Cooper</v>
      </c>
      <c r="J475" s="3" t="str">
        <f>VLOOKUP(B475,Customers!A:J,8,FALSE)</f>
        <v>CA</v>
      </c>
      <c r="K475" s="3" t="str">
        <f>VLOOKUP(B475,Customers!A:J,7,FALSE)</f>
        <v>Rocklin</v>
      </c>
      <c r="L475" s="3" t="str">
        <f>VLOOKUP(H475,Staff!A:I,9,FALSE)</f>
        <v>Genna Serrano</v>
      </c>
      <c r="M475" s="3" t="str">
        <f>VLOOKUP(G475,Store!A:H,2,FALSE)</f>
        <v>Santa Cruz Bikes</v>
      </c>
      <c r="N475" s="3" t="str">
        <f>VLOOKUP(G475,Store!A:H,6,FALSE)</f>
        <v>Santa Cruz</v>
      </c>
      <c r="O475" s="3" t="s">
        <v>15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>
        <v>475.0</v>
      </c>
      <c r="B476" s="1">
        <v>241.0</v>
      </c>
      <c r="C476" s="1">
        <v>4.0</v>
      </c>
      <c r="D476" s="4">
        <v>42644.0</v>
      </c>
      <c r="E476" s="4">
        <v>42647.0</v>
      </c>
      <c r="F476" s="4">
        <v>42646.0</v>
      </c>
      <c r="G476" s="1">
        <v>2.0</v>
      </c>
      <c r="H476" s="1">
        <v>7.0</v>
      </c>
      <c r="I476" s="3" t="str">
        <f>VLOOKUP(B476,Customers!A:J, 10,FALSE)</f>
        <v>Manie Sanchez</v>
      </c>
      <c r="J476" s="3" t="str">
        <f>VLOOKUP(B476,Customers!A:J,8,FALSE)</f>
        <v>NY</v>
      </c>
      <c r="K476" s="3" t="str">
        <f>VLOOKUP(B476,Customers!A:J,7,FALSE)</f>
        <v>Queensbury</v>
      </c>
      <c r="L476" s="3" t="str">
        <f>VLOOKUP(H476,Staff!A:I,9,FALSE)</f>
        <v>Venita Daniel</v>
      </c>
      <c r="M476" s="3" t="str">
        <f>VLOOKUP(G476,Store!A:H,2,FALSE)</f>
        <v>Baldwin Bikes</v>
      </c>
      <c r="N476" s="3" t="str">
        <f>VLOOKUP(G476,Store!A:H,6,FALSE)</f>
        <v>Baldwin</v>
      </c>
      <c r="O476" s="3" t="s">
        <v>16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>
        <v>476.0</v>
      </c>
      <c r="B477" s="1">
        <v>559.0</v>
      </c>
      <c r="C477" s="1">
        <v>4.0</v>
      </c>
      <c r="D477" s="4">
        <v>42644.0</v>
      </c>
      <c r="E477" s="4">
        <v>42647.0</v>
      </c>
      <c r="F477" s="4">
        <v>42645.0</v>
      </c>
      <c r="G477" s="1">
        <v>2.0</v>
      </c>
      <c r="H477" s="1">
        <v>6.0</v>
      </c>
      <c r="I477" s="3" t="str">
        <f>VLOOKUP(B477,Customers!A:J, 10,FALSE)</f>
        <v>Basilia Thornton</v>
      </c>
      <c r="J477" s="3" t="str">
        <f>VLOOKUP(B477,Customers!A:J,8,FALSE)</f>
        <v>NY</v>
      </c>
      <c r="K477" s="3" t="str">
        <f>VLOOKUP(B477,Customers!A:J,7,FALSE)</f>
        <v>Brentwood</v>
      </c>
      <c r="L477" s="3" t="str">
        <f>VLOOKUP(H477,Staff!A:I,9,FALSE)</f>
        <v>Marcelene Boyer</v>
      </c>
      <c r="M477" s="3" t="str">
        <f>VLOOKUP(G477,Store!A:H,2,FALSE)</f>
        <v>Baldwin Bikes</v>
      </c>
      <c r="N477" s="3" t="str">
        <f>VLOOKUP(G477,Store!A:H,6,FALSE)</f>
        <v>Baldwin</v>
      </c>
      <c r="O477" s="3" t="s">
        <v>16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>
        <v>477.0</v>
      </c>
      <c r="B478" s="1">
        <v>449.0</v>
      </c>
      <c r="C478" s="1">
        <v>4.0</v>
      </c>
      <c r="D478" s="4">
        <v>42645.0</v>
      </c>
      <c r="E478" s="4">
        <v>42648.0</v>
      </c>
      <c r="F478" s="4">
        <v>42647.0</v>
      </c>
      <c r="G478" s="1">
        <v>1.0</v>
      </c>
      <c r="H478" s="1">
        <v>2.0</v>
      </c>
      <c r="I478" s="3" t="str">
        <f>VLOOKUP(B478,Customers!A:J, 10,FALSE)</f>
        <v>Josie Schultz</v>
      </c>
      <c r="J478" s="3" t="str">
        <f>VLOOKUP(B478,Customers!A:J,8,FALSE)</f>
        <v>CA</v>
      </c>
      <c r="K478" s="3" t="str">
        <f>VLOOKUP(B478,Customers!A:J,7,FALSE)</f>
        <v>Canyon Country</v>
      </c>
      <c r="L478" s="3" t="str">
        <f>VLOOKUP(H478,Staff!A:I,9,FALSE)</f>
        <v>Mireya Copeland</v>
      </c>
      <c r="M478" s="3" t="str">
        <f>VLOOKUP(G478,Store!A:H,2,FALSE)</f>
        <v>Santa Cruz Bikes</v>
      </c>
      <c r="N478" s="3" t="str">
        <f>VLOOKUP(G478,Store!A:H,6,FALSE)</f>
        <v>Santa Cruz</v>
      </c>
      <c r="O478" s="3" t="s">
        <v>15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>
        <v>478.0</v>
      </c>
      <c r="B479" s="1">
        <v>304.0</v>
      </c>
      <c r="C479" s="1">
        <v>4.0</v>
      </c>
      <c r="D479" s="4">
        <v>42645.0</v>
      </c>
      <c r="E479" s="4">
        <v>42648.0</v>
      </c>
      <c r="F479" s="4">
        <v>42646.0</v>
      </c>
      <c r="G479" s="1">
        <v>2.0</v>
      </c>
      <c r="H479" s="1">
        <v>7.0</v>
      </c>
      <c r="I479" s="3" t="str">
        <f>VLOOKUP(B479,Customers!A:J, 10,FALSE)</f>
        <v>Jayme Zamora</v>
      </c>
      <c r="J479" s="3" t="str">
        <f>VLOOKUP(B479,Customers!A:J,8,FALSE)</f>
        <v>NY</v>
      </c>
      <c r="K479" s="3" t="str">
        <f>VLOOKUP(B479,Customers!A:J,7,FALSE)</f>
        <v>Springfield Gardens</v>
      </c>
      <c r="L479" s="3" t="str">
        <f>VLOOKUP(H479,Staff!A:I,9,FALSE)</f>
        <v>Venita Daniel</v>
      </c>
      <c r="M479" s="3" t="str">
        <f>VLOOKUP(G479,Store!A:H,2,FALSE)</f>
        <v>Baldwin Bikes</v>
      </c>
      <c r="N479" s="3" t="str">
        <f>VLOOKUP(G479,Store!A:H,6,FALSE)</f>
        <v>Baldwin</v>
      </c>
      <c r="O479" s="3" t="s">
        <v>16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>
        <v>479.0</v>
      </c>
      <c r="B480" s="1">
        <v>984.0</v>
      </c>
      <c r="C480" s="1">
        <v>4.0</v>
      </c>
      <c r="D480" s="4">
        <v>42646.0</v>
      </c>
      <c r="E480" s="4">
        <v>42647.0</v>
      </c>
      <c r="F480" s="4">
        <v>42647.0</v>
      </c>
      <c r="G480" s="1">
        <v>2.0</v>
      </c>
      <c r="H480" s="1">
        <v>6.0</v>
      </c>
      <c r="I480" s="3" t="str">
        <f>VLOOKUP(B480,Customers!A:J, 10,FALSE)</f>
        <v>Ivette Warren</v>
      </c>
      <c r="J480" s="3" t="str">
        <f>VLOOKUP(B480,Customers!A:J,8,FALSE)</f>
        <v>NY</v>
      </c>
      <c r="K480" s="3" t="str">
        <f>VLOOKUP(B480,Customers!A:J,7,FALSE)</f>
        <v>Franklin Square</v>
      </c>
      <c r="L480" s="3" t="str">
        <f>VLOOKUP(H480,Staff!A:I,9,FALSE)</f>
        <v>Marcelene Boyer</v>
      </c>
      <c r="M480" s="3" t="str">
        <f>VLOOKUP(G480,Store!A:H,2,FALSE)</f>
        <v>Baldwin Bikes</v>
      </c>
      <c r="N480" s="3" t="str">
        <f>VLOOKUP(G480,Store!A:H,6,FALSE)</f>
        <v>Baldwin</v>
      </c>
      <c r="O480" s="3" t="s">
        <v>16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>
        <v>480.0</v>
      </c>
      <c r="B481" s="1">
        <v>686.0</v>
      </c>
      <c r="C481" s="1">
        <v>4.0</v>
      </c>
      <c r="D481" s="4">
        <v>42647.0</v>
      </c>
      <c r="E481" s="4">
        <v>42650.0</v>
      </c>
      <c r="F481" s="4">
        <v>42648.0</v>
      </c>
      <c r="G481" s="1">
        <v>1.0</v>
      </c>
      <c r="H481" s="1">
        <v>3.0</v>
      </c>
      <c r="I481" s="3" t="str">
        <f>VLOOKUP(B481,Customers!A:J, 10,FALSE)</f>
        <v>Darcel Harmon</v>
      </c>
      <c r="J481" s="3" t="str">
        <f>VLOOKUP(B481,Customers!A:J,8,FALSE)</f>
        <v>CA</v>
      </c>
      <c r="K481" s="3" t="str">
        <f>VLOOKUP(B481,Customers!A:J,7,FALSE)</f>
        <v>Santa Clara</v>
      </c>
      <c r="L481" s="3" t="str">
        <f>VLOOKUP(H481,Staff!A:I,9,FALSE)</f>
        <v>Genna Serrano</v>
      </c>
      <c r="M481" s="3" t="str">
        <f>VLOOKUP(G481,Store!A:H,2,FALSE)</f>
        <v>Santa Cruz Bikes</v>
      </c>
      <c r="N481" s="3" t="str">
        <f>VLOOKUP(G481,Store!A:H,6,FALSE)</f>
        <v>Santa Cruz</v>
      </c>
      <c r="O481" s="3" t="s">
        <v>15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>
        <v>481.0</v>
      </c>
      <c r="B482" s="1">
        <v>481.0</v>
      </c>
      <c r="C482" s="1">
        <v>4.0</v>
      </c>
      <c r="D482" s="4">
        <v>42647.0</v>
      </c>
      <c r="E482" s="4">
        <v>42650.0</v>
      </c>
      <c r="F482" s="4">
        <v>42649.0</v>
      </c>
      <c r="G482" s="1">
        <v>3.0</v>
      </c>
      <c r="H482" s="1">
        <v>9.0</v>
      </c>
      <c r="I482" s="3" t="str">
        <f>VLOOKUP(B482,Customers!A:J, 10,FALSE)</f>
        <v>Jayson Rutledge</v>
      </c>
      <c r="J482" s="3" t="str">
        <f>VLOOKUP(B482,Customers!A:J,8,FALSE)</f>
        <v>TX</v>
      </c>
      <c r="K482" s="3" t="str">
        <f>VLOOKUP(B482,Customers!A:J,7,FALSE)</f>
        <v>Lake Jackson</v>
      </c>
      <c r="L482" s="3" t="str">
        <f>VLOOKUP(H482,Staff!A:I,9,FALSE)</f>
        <v>Layla Terrell</v>
      </c>
      <c r="M482" s="3" t="str">
        <f>VLOOKUP(G482,Store!A:H,2,FALSE)</f>
        <v>Rowlett Bikes</v>
      </c>
      <c r="N482" s="3" t="str">
        <f>VLOOKUP(G482,Store!A:H,6,FALSE)</f>
        <v>Rowlett</v>
      </c>
      <c r="O482" s="3" t="s">
        <v>17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>
        <v>482.0</v>
      </c>
      <c r="B483" s="1">
        <v>513.0</v>
      </c>
      <c r="C483" s="1">
        <v>4.0</v>
      </c>
      <c r="D483" s="4">
        <v>42648.0</v>
      </c>
      <c r="E483" s="4">
        <v>42649.0</v>
      </c>
      <c r="F483" s="4">
        <v>42649.0</v>
      </c>
      <c r="G483" s="1">
        <v>2.0</v>
      </c>
      <c r="H483" s="1">
        <v>6.0</v>
      </c>
      <c r="I483" s="3" t="str">
        <f>VLOOKUP(B483,Customers!A:J, 10,FALSE)</f>
        <v>Whitney Cash</v>
      </c>
      <c r="J483" s="3" t="str">
        <f>VLOOKUP(B483,Customers!A:J,8,FALSE)</f>
        <v>NY</v>
      </c>
      <c r="K483" s="3" t="str">
        <f>VLOOKUP(B483,Customers!A:J,7,FALSE)</f>
        <v>Hamburg</v>
      </c>
      <c r="L483" s="3" t="str">
        <f>VLOOKUP(H483,Staff!A:I,9,FALSE)</f>
        <v>Marcelene Boyer</v>
      </c>
      <c r="M483" s="3" t="str">
        <f>VLOOKUP(G483,Store!A:H,2,FALSE)</f>
        <v>Baldwin Bikes</v>
      </c>
      <c r="N483" s="3" t="str">
        <f>VLOOKUP(G483,Store!A:H,6,FALSE)</f>
        <v>Baldwin</v>
      </c>
      <c r="O483" s="3" t="s">
        <v>16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>
        <v>483.0</v>
      </c>
      <c r="B484" s="1">
        <v>703.0</v>
      </c>
      <c r="C484" s="1">
        <v>4.0</v>
      </c>
      <c r="D484" s="4">
        <v>42649.0</v>
      </c>
      <c r="E484" s="4">
        <v>42650.0</v>
      </c>
      <c r="F484" s="4">
        <v>42652.0</v>
      </c>
      <c r="G484" s="1">
        <v>1.0</v>
      </c>
      <c r="H484" s="1">
        <v>2.0</v>
      </c>
      <c r="I484" s="3" t="str">
        <f>VLOOKUP(B484,Customers!A:J, 10,FALSE)</f>
        <v>Diana Cobb</v>
      </c>
      <c r="J484" s="3" t="str">
        <f>VLOOKUP(B484,Customers!A:J,8,FALSE)</f>
        <v>CA</v>
      </c>
      <c r="K484" s="3" t="str">
        <f>VLOOKUP(B484,Customers!A:J,7,FALSE)</f>
        <v>Fullerton</v>
      </c>
      <c r="L484" s="3" t="str">
        <f>VLOOKUP(H484,Staff!A:I,9,FALSE)</f>
        <v>Mireya Copeland</v>
      </c>
      <c r="M484" s="3" t="str">
        <f>VLOOKUP(G484,Store!A:H,2,FALSE)</f>
        <v>Santa Cruz Bikes</v>
      </c>
      <c r="N484" s="3" t="str">
        <f>VLOOKUP(G484,Store!A:H,6,FALSE)</f>
        <v>Santa Cruz</v>
      </c>
      <c r="O484" s="3" t="s">
        <v>15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>
        <v>484.0</v>
      </c>
      <c r="B485" s="1">
        <v>421.0</v>
      </c>
      <c r="C485" s="1">
        <v>4.0</v>
      </c>
      <c r="D485" s="4">
        <v>42649.0</v>
      </c>
      <c r="E485" s="4">
        <v>42652.0</v>
      </c>
      <c r="F485" s="4">
        <v>42650.0</v>
      </c>
      <c r="G485" s="1">
        <v>2.0</v>
      </c>
      <c r="H485" s="1">
        <v>7.0</v>
      </c>
      <c r="I485" s="3" t="str">
        <f>VLOOKUP(B485,Customers!A:J, 10,FALSE)</f>
        <v>Iola Rasmussen</v>
      </c>
      <c r="J485" s="3" t="str">
        <f>VLOOKUP(B485,Customers!A:J,8,FALSE)</f>
        <v>NY</v>
      </c>
      <c r="K485" s="3" t="str">
        <f>VLOOKUP(B485,Customers!A:J,7,FALSE)</f>
        <v>Monroe</v>
      </c>
      <c r="L485" s="3" t="str">
        <f>VLOOKUP(H485,Staff!A:I,9,FALSE)</f>
        <v>Venita Daniel</v>
      </c>
      <c r="M485" s="3" t="str">
        <f>VLOOKUP(G485,Store!A:H,2,FALSE)</f>
        <v>Baldwin Bikes</v>
      </c>
      <c r="N485" s="3" t="str">
        <f>VLOOKUP(G485,Store!A:H,6,FALSE)</f>
        <v>Baldwin</v>
      </c>
      <c r="O485" s="3" t="s">
        <v>16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>
        <v>485.0</v>
      </c>
      <c r="B486" s="1">
        <v>465.0</v>
      </c>
      <c r="C486" s="1">
        <v>4.0</v>
      </c>
      <c r="D486" s="4">
        <v>42649.0</v>
      </c>
      <c r="E486" s="4">
        <v>42651.0</v>
      </c>
      <c r="F486" s="4">
        <v>42650.0</v>
      </c>
      <c r="G486" s="1">
        <v>2.0</v>
      </c>
      <c r="H486" s="1">
        <v>7.0</v>
      </c>
      <c r="I486" s="3" t="str">
        <f>VLOOKUP(B486,Customers!A:J, 10,FALSE)</f>
        <v>Birdie Kramer</v>
      </c>
      <c r="J486" s="3" t="str">
        <f>VLOOKUP(B486,Customers!A:J,8,FALSE)</f>
        <v>NY</v>
      </c>
      <c r="K486" s="3" t="str">
        <f>VLOOKUP(B486,Customers!A:J,7,FALSE)</f>
        <v>Troy</v>
      </c>
      <c r="L486" s="3" t="str">
        <f>VLOOKUP(H486,Staff!A:I,9,FALSE)</f>
        <v>Venita Daniel</v>
      </c>
      <c r="M486" s="3" t="str">
        <f>VLOOKUP(G486,Store!A:H,2,FALSE)</f>
        <v>Baldwin Bikes</v>
      </c>
      <c r="N486" s="3" t="str">
        <f>VLOOKUP(G486,Store!A:H,6,FALSE)</f>
        <v>Baldwin</v>
      </c>
      <c r="O486" s="3" t="s">
        <v>16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>
        <v>486.0</v>
      </c>
      <c r="B487" s="1">
        <v>709.0</v>
      </c>
      <c r="C487" s="1">
        <v>4.0</v>
      </c>
      <c r="D487" s="4">
        <v>42649.0</v>
      </c>
      <c r="E487" s="4">
        <v>42651.0</v>
      </c>
      <c r="F487" s="4">
        <v>42652.0</v>
      </c>
      <c r="G487" s="1">
        <v>2.0</v>
      </c>
      <c r="H487" s="1">
        <v>7.0</v>
      </c>
      <c r="I487" s="3" t="str">
        <f>VLOOKUP(B487,Customers!A:J, 10,FALSE)</f>
        <v>Vinnie Chan</v>
      </c>
      <c r="J487" s="3" t="str">
        <f>VLOOKUP(B487,Customers!A:J,8,FALSE)</f>
        <v>NY</v>
      </c>
      <c r="K487" s="3" t="str">
        <f>VLOOKUP(B487,Customers!A:J,7,FALSE)</f>
        <v>Forest Hills</v>
      </c>
      <c r="L487" s="3" t="str">
        <f>VLOOKUP(H487,Staff!A:I,9,FALSE)</f>
        <v>Venita Daniel</v>
      </c>
      <c r="M487" s="3" t="str">
        <f>VLOOKUP(G487,Store!A:H,2,FALSE)</f>
        <v>Baldwin Bikes</v>
      </c>
      <c r="N487" s="3" t="str">
        <f>VLOOKUP(G487,Store!A:H,6,FALSE)</f>
        <v>Baldwin</v>
      </c>
      <c r="O487" s="3" t="s">
        <v>16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>
        <v>487.0</v>
      </c>
      <c r="B488" s="1">
        <v>827.0</v>
      </c>
      <c r="C488" s="1">
        <v>4.0</v>
      </c>
      <c r="D488" s="4">
        <v>42649.0</v>
      </c>
      <c r="E488" s="4">
        <v>42652.0</v>
      </c>
      <c r="F488" s="4">
        <v>42652.0</v>
      </c>
      <c r="G488" s="1">
        <v>2.0</v>
      </c>
      <c r="H488" s="1">
        <v>6.0</v>
      </c>
      <c r="I488" s="3" t="str">
        <f>VLOOKUP(B488,Customers!A:J, 10,FALSE)</f>
        <v>George Pickett</v>
      </c>
      <c r="J488" s="3" t="str">
        <f>VLOOKUP(B488,Customers!A:J,8,FALSE)</f>
        <v>NY</v>
      </c>
      <c r="K488" s="3" t="str">
        <f>VLOOKUP(B488,Customers!A:J,7,FALSE)</f>
        <v>Sunnyside</v>
      </c>
      <c r="L488" s="3" t="str">
        <f>VLOOKUP(H488,Staff!A:I,9,FALSE)</f>
        <v>Marcelene Boyer</v>
      </c>
      <c r="M488" s="3" t="str">
        <f>VLOOKUP(G488,Store!A:H,2,FALSE)</f>
        <v>Baldwin Bikes</v>
      </c>
      <c r="N488" s="3" t="str">
        <f>VLOOKUP(G488,Store!A:H,6,FALSE)</f>
        <v>Baldwin</v>
      </c>
      <c r="O488" s="3" t="s">
        <v>16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>
        <v>488.0</v>
      </c>
      <c r="B489" s="1">
        <v>921.0</v>
      </c>
      <c r="C489" s="1">
        <v>4.0</v>
      </c>
      <c r="D489" s="4">
        <v>42649.0</v>
      </c>
      <c r="E489" s="4">
        <v>42652.0</v>
      </c>
      <c r="F489" s="4">
        <v>42651.0</v>
      </c>
      <c r="G489" s="1">
        <v>2.0</v>
      </c>
      <c r="H489" s="1">
        <v>6.0</v>
      </c>
      <c r="I489" s="3" t="str">
        <f>VLOOKUP(B489,Customers!A:J, 10,FALSE)</f>
        <v>Evelin Vargas</v>
      </c>
      <c r="J489" s="3" t="str">
        <f>VLOOKUP(B489,Customers!A:J,8,FALSE)</f>
        <v>NY</v>
      </c>
      <c r="K489" s="3" t="str">
        <f>VLOOKUP(B489,Customers!A:J,7,FALSE)</f>
        <v>Webster</v>
      </c>
      <c r="L489" s="3" t="str">
        <f>VLOOKUP(H489,Staff!A:I,9,FALSE)</f>
        <v>Marcelene Boyer</v>
      </c>
      <c r="M489" s="3" t="str">
        <f>VLOOKUP(G489,Store!A:H,2,FALSE)</f>
        <v>Baldwin Bikes</v>
      </c>
      <c r="N489" s="3" t="str">
        <f>VLOOKUP(G489,Store!A:H,6,FALSE)</f>
        <v>Baldwin</v>
      </c>
      <c r="O489" s="3" t="s">
        <v>16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>
        <v>489.0</v>
      </c>
      <c r="B490" s="1">
        <v>899.0</v>
      </c>
      <c r="C490" s="1">
        <v>4.0</v>
      </c>
      <c r="D490" s="4">
        <v>42649.0</v>
      </c>
      <c r="E490" s="4">
        <v>42651.0</v>
      </c>
      <c r="F490" s="4">
        <v>42651.0</v>
      </c>
      <c r="G490" s="1">
        <v>3.0</v>
      </c>
      <c r="H490" s="1">
        <v>8.0</v>
      </c>
      <c r="I490" s="3" t="str">
        <f>VLOOKUP(B490,Customers!A:J, 10,FALSE)</f>
        <v>Carisa Carpenter</v>
      </c>
      <c r="J490" s="3" t="str">
        <f>VLOOKUP(B490,Customers!A:J,8,FALSE)</f>
        <v>TX</v>
      </c>
      <c r="K490" s="3" t="str">
        <f>VLOOKUP(B490,Customers!A:J,7,FALSE)</f>
        <v>Victoria</v>
      </c>
      <c r="L490" s="3" t="str">
        <f>VLOOKUP(H490,Staff!A:I,9,FALSE)</f>
        <v>Kali Vargas</v>
      </c>
      <c r="M490" s="3" t="str">
        <f>VLOOKUP(G490,Store!A:H,2,FALSE)</f>
        <v>Rowlett Bikes</v>
      </c>
      <c r="N490" s="3" t="str">
        <f>VLOOKUP(G490,Store!A:H,6,FALSE)</f>
        <v>Rowlett</v>
      </c>
      <c r="O490" s="3" t="s">
        <v>17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>
        <v>490.0</v>
      </c>
      <c r="B491" s="1">
        <v>876.0</v>
      </c>
      <c r="C491" s="1">
        <v>4.0</v>
      </c>
      <c r="D491" s="4">
        <v>42650.0</v>
      </c>
      <c r="E491" s="4">
        <v>42653.0</v>
      </c>
      <c r="F491" s="4">
        <v>42652.0</v>
      </c>
      <c r="G491" s="1">
        <v>2.0</v>
      </c>
      <c r="H491" s="1">
        <v>6.0</v>
      </c>
      <c r="I491" s="3" t="str">
        <f>VLOOKUP(B491,Customers!A:J, 10,FALSE)</f>
        <v>Onita Macdonald</v>
      </c>
      <c r="J491" s="3" t="str">
        <f>VLOOKUP(B491,Customers!A:J,8,FALSE)</f>
        <v>NY</v>
      </c>
      <c r="K491" s="3" t="str">
        <f>VLOOKUP(B491,Customers!A:J,7,FALSE)</f>
        <v>Glen Cove</v>
      </c>
      <c r="L491" s="3" t="str">
        <f>VLOOKUP(H491,Staff!A:I,9,FALSE)</f>
        <v>Marcelene Boyer</v>
      </c>
      <c r="M491" s="3" t="str">
        <f>VLOOKUP(G491,Store!A:H,2,FALSE)</f>
        <v>Baldwin Bikes</v>
      </c>
      <c r="N491" s="3" t="str">
        <f>VLOOKUP(G491,Store!A:H,6,FALSE)</f>
        <v>Baldwin</v>
      </c>
      <c r="O491" s="3" t="s">
        <v>16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>
        <v>491.0</v>
      </c>
      <c r="B492" s="1">
        <v>1048.0</v>
      </c>
      <c r="C492" s="1">
        <v>4.0</v>
      </c>
      <c r="D492" s="4">
        <v>42651.0</v>
      </c>
      <c r="E492" s="4">
        <v>42653.0</v>
      </c>
      <c r="F492" s="4">
        <v>42654.0</v>
      </c>
      <c r="G492" s="1">
        <v>1.0</v>
      </c>
      <c r="H492" s="1">
        <v>2.0</v>
      </c>
      <c r="I492" s="3" t="str">
        <f>VLOOKUP(B492,Customers!A:J, 10,FALSE)</f>
        <v>Ji Burt</v>
      </c>
      <c r="J492" s="3" t="str">
        <f>VLOOKUP(B492,Customers!A:J,8,FALSE)</f>
        <v>CA</v>
      </c>
      <c r="K492" s="3" t="str">
        <f>VLOOKUP(B492,Customers!A:J,7,FALSE)</f>
        <v>Apple Valley</v>
      </c>
      <c r="L492" s="3" t="str">
        <f>VLOOKUP(H492,Staff!A:I,9,FALSE)</f>
        <v>Mireya Copeland</v>
      </c>
      <c r="M492" s="3" t="str">
        <f>VLOOKUP(G492,Store!A:H,2,FALSE)</f>
        <v>Santa Cruz Bikes</v>
      </c>
      <c r="N492" s="3" t="str">
        <f>VLOOKUP(G492,Store!A:H,6,FALSE)</f>
        <v>Santa Cruz</v>
      </c>
      <c r="O492" s="3" t="s">
        <v>15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>
        <v>492.0</v>
      </c>
      <c r="B493" s="1">
        <v>191.0</v>
      </c>
      <c r="C493" s="1">
        <v>4.0</v>
      </c>
      <c r="D493" s="4">
        <v>42652.0</v>
      </c>
      <c r="E493" s="4">
        <v>42653.0</v>
      </c>
      <c r="F493" s="4">
        <v>42655.0</v>
      </c>
      <c r="G493" s="1">
        <v>1.0</v>
      </c>
      <c r="H493" s="1">
        <v>2.0</v>
      </c>
      <c r="I493" s="3" t="str">
        <f>VLOOKUP(B493,Customers!A:J, 10,FALSE)</f>
        <v>Graciela Barber</v>
      </c>
      <c r="J493" s="3" t="str">
        <f>VLOOKUP(B493,Customers!A:J,8,FALSE)</f>
        <v>CA</v>
      </c>
      <c r="K493" s="3" t="str">
        <f>VLOOKUP(B493,Customers!A:J,7,FALSE)</f>
        <v>Oxnard</v>
      </c>
      <c r="L493" s="3" t="str">
        <f>VLOOKUP(H493,Staff!A:I,9,FALSE)</f>
        <v>Mireya Copeland</v>
      </c>
      <c r="M493" s="3" t="str">
        <f>VLOOKUP(G493,Store!A:H,2,FALSE)</f>
        <v>Santa Cruz Bikes</v>
      </c>
      <c r="N493" s="3" t="str">
        <f>VLOOKUP(G493,Store!A:H,6,FALSE)</f>
        <v>Santa Cruz</v>
      </c>
      <c r="O493" s="3" t="s">
        <v>15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>
        <v>493.0</v>
      </c>
      <c r="B494" s="1">
        <v>796.0</v>
      </c>
      <c r="C494" s="1">
        <v>4.0</v>
      </c>
      <c r="D494" s="4">
        <v>42652.0</v>
      </c>
      <c r="E494" s="4">
        <v>42655.0</v>
      </c>
      <c r="F494" s="4">
        <v>42654.0</v>
      </c>
      <c r="G494" s="1">
        <v>1.0</v>
      </c>
      <c r="H494" s="1">
        <v>3.0</v>
      </c>
      <c r="I494" s="3" t="str">
        <f>VLOOKUP(B494,Customers!A:J, 10,FALSE)</f>
        <v>Rosalie Coffey</v>
      </c>
      <c r="J494" s="3" t="str">
        <f>VLOOKUP(B494,Customers!A:J,8,FALSE)</f>
        <v>CA</v>
      </c>
      <c r="K494" s="3" t="str">
        <f>VLOOKUP(B494,Customers!A:J,7,FALSE)</f>
        <v>Upland</v>
      </c>
      <c r="L494" s="3" t="str">
        <f>VLOOKUP(H494,Staff!A:I,9,FALSE)</f>
        <v>Genna Serrano</v>
      </c>
      <c r="M494" s="3" t="str">
        <f>VLOOKUP(G494,Store!A:H,2,FALSE)</f>
        <v>Santa Cruz Bikes</v>
      </c>
      <c r="N494" s="3" t="str">
        <f>VLOOKUP(G494,Store!A:H,6,FALSE)</f>
        <v>Santa Cruz</v>
      </c>
      <c r="O494" s="3" t="s">
        <v>15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>
        <v>494.0</v>
      </c>
      <c r="B495" s="1">
        <v>875.0</v>
      </c>
      <c r="C495" s="1">
        <v>4.0</v>
      </c>
      <c r="D495" s="4">
        <v>42652.0</v>
      </c>
      <c r="E495" s="4">
        <v>42653.0</v>
      </c>
      <c r="F495" s="4">
        <v>42654.0</v>
      </c>
      <c r="G495" s="1">
        <v>2.0</v>
      </c>
      <c r="H495" s="1">
        <v>6.0</v>
      </c>
      <c r="I495" s="3" t="str">
        <f>VLOOKUP(B495,Customers!A:J, 10,FALSE)</f>
        <v>Tanesha Sawyer</v>
      </c>
      <c r="J495" s="3" t="str">
        <f>VLOOKUP(B495,Customers!A:J,8,FALSE)</f>
        <v>NY</v>
      </c>
      <c r="K495" s="3" t="str">
        <f>VLOOKUP(B495,Customers!A:J,7,FALSE)</f>
        <v>Rosedale</v>
      </c>
      <c r="L495" s="3" t="str">
        <f>VLOOKUP(H495,Staff!A:I,9,FALSE)</f>
        <v>Marcelene Boyer</v>
      </c>
      <c r="M495" s="3" t="str">
        <f>VLOOKUP(G495,Store!A:H,2,FALSE)</f>
        <v>Baldwin Bikes</v>
      </c>
      <c r="N495" s="3" t="str">
        <f>VLOOKUP(G495,Store!A:H,6,FALSE)</f>
        <v>Baldwin</v>
      </c>
      <c r="O495" s="3" t="s">
        <v>16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>
        <v>495.0</v>
      </c>
      <c r="B496" s="1">
        <v>712.0</v>
      </c>
      <c r="C496" s="1">
        <v>4.0</v>
      </c>
      <c r="D496" s="4">
        <v>42653.0</v>
      </c>
      <c r="E496" s="4">
        <v>42655.0</v>
      </c>
      <c r="F496" s="4">
        <v>42656.0</v>
      </c>
      <c r="G496" s="1">
        <v>1.0</v>
      </c>
      <c r="H496" s="1">
        <v>3.0</v>
      </c>
      <c r="I496" s="3" t="str">
        <f>VLOOKUP(B496,Customers!A:J, 10,FALSE)</f>
        <v>Kecia Olsen</v>
      </c>
      <c r="J496" s="3" t="str">
        <f>VLOOKUP(B496,Customers!A:J,8,FALSE)</f>
        <v>CA</v>
      </c>
      <c r="K496" s="3" t="str">
        <f>VLOOKUP(B496,Customers!A:J,7,FALSE)</f>
        <v>Santa Cruz</v>
      </c>
      <c r="L496" s="3" t="str">
        <f>VLOOKUP(H496,Staff!A:I,9,FALSE)</f>
        <v>Genna Serrano</v>
      </c>
      <c r="M496" s="3" t="str">
        <f>VLOOKUP(G496,Store!A:H,2,FALSE)</f>
        <v>Santa Cruz Bikes</v>
      </c>
      <c r="N496" s="3" t="str">
        <f>VLOOKUP(G496,Store!A:H,6,FALSE)</f>
        <v>Santa Cruz</v>
      </c>
      <c r="O496" s="3" t="s">
        <v>15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>
        <v>496.0</v>
      </c>
      <c r="B497" s="1">
        <v>193.0</v>
      </c>
      <c r="C497" s="1">
        <v>4.0</v>
      </c>
      <c r="D497" s="4">
        <v>42653.0</v>
      </c>
      <c r="E497" s="4">
        <v>42655.0</v>
      </c>
      <c r="F497" s="4">
        <v>42654.0</v>
      </c>
      <c r="G497" s="1">
        <v>2.0</v>
      </c>
      <c r="H497" s="1">
        <v>6.0</v>
      </c>
      <c r="I497" s="3" t="str">
        <f>VLOOKUP(B497,Customers!A:J, 10,FALSE)</f>
        <v>Ayanna Rhodes</v>
      </c>
      <c r="J497" s="3" t="str">
        <f>VLOOKUP(B497,Customers!A:J,8,FALSE)</f>
        <v>NY</v>
      </c>
      <c r="K497" s="3" t="str">
        <f>VLOOKUP(B497,Customers!A:J,7,FALSE)</f>
        <v>Hicksville</v>
      </c>
      <c r="L497" s="3" t="str">
        <f>VLOOKUP(H497,Staff!A:I,9,FALSE)</f>
        <v>Marcelene Boyer</v>
      </c>
      <c r="M497" s="3" t="str">
        <f>VLOOKUP(G497,Store!A:H,2,FALSE)</f>
        <v>Baldwin Bikes</v>
      </c>
      <c r="N497" s="3" t="str">
        <f>VLOOKUP(G497,Store!A:H,6,FALSE)</f>
        <v>Baldwin</v>
      </c>
      <c r="O497" s="3" t="s">
        <v>16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>
        <v>497.0</v>
      </c>
      <c r="B498" s="1">
        <v>785.0</v>
      </c>
      <c r="C498" s="1">
        <v>4.0</v>
      </c>
      <c r="D498" s="4">
        <v>42653.0</v>
      </c>
      <c r="E498" s="4">
        <v>42654.0</v>
      </c>
      <c r="F498" s="4">
        <v>42654.0</v>
      </c>
      <c r="G498" s="1">
        <v>2.0</v>
      </c>
      <c r="H498" s="1">
        <v>6.0</v>
      </c>
      <c r="I498" s="3" t="str">
        <f>VLOOKUP(B498,Customers!A:J, 10,FALSE)</f>
        <v>Kandis Mills</v>
      </c>
      <c r="J498" s="3" t="str">
        <f>VLOOKUP(B498,Customers!A:J,8,FALSE)</f>
        <v>NY</v>
      </c>
      <c r="K498" s="3" t="str">
        <f>VLOOKUP(B498,Customers!A:J,7,FALSE)</f>
        <v>Hamburg</v>
      </c>
      <c r="L498" s="3" t="str">
        <f>VLOOKUP(H498,Staff!A:I,9,FALSE)</f>
        <v>Marcelene Boyer</v>
      </c>
      <c r="M498" s="3" t="str">
        <f>VLOOKUP(G498,Store!A:H,2,FALSE)</f>
        <v>Baldwin Bikes</v>
      </c>
      <c r="N498" s="3" t="str">
        <f>VLOOKUP(G498,Store!A:H,6,FALSE)</f>
        <v>Baldwin</v>
      </c>
      <c r="O498" s="3" t="s">
        <v>16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>
        <v>498.0</v>
      </c>
      <c r="B499" s="1">
        <v>1331.0</v>
      </c>
      <c r="C499" s="1">
        <v>4.0</v>
      </c>
      <c r="D499" s="4">
        <v>42653.0</v>
      </c>
      <c r="E499" s="4">
        <v>42655.0</v>
      </c>
      <c r="F499" s="4">
        <v>42654.0</v>
      </c>
      <c r="G499" s="1">
        <v>2.0</v>
      </c>
      <c r="H499" s="1">
        <v>6.0</v>
      </c>
      <c r="I499" s="3" t="str">
        <f>VLOOKUP(B499,Customers!A:J, 10,FALSE)</f>
        <v>Divina Reeves</v>
      </c>
      <c r="J499" s="3" t="str">
        <f>VLOOKUP(B499,Customers!A:J,8,FALSE)</f>
        <v>NY</v>
      </c>
      <c r="K499" s="3" t="str">
        <f>VLOOKUP(B499,Customers!A:J,7,FALSE)</f>
        <v>Newburgh</v>
      </c>
      <c r="L499" s="3" t="str">
        <f>VLOOKUP(H499,Staff!A:I,9,FALSE)</f>
        <v>Marcelene Boyer</v>
      </c>
      <c r="M499" s="3" t="str">
        <f>VLOOKUP(G499,Store!A:H,2,FALSE)</f>
        <v>Baldwin Bikes</v>
      </c>
      <c r="N499" s="3" t="str">
        <f>VLOOKUP(G499,Store!A:H,6,FALSE)</f>
        <v>Baldwin</v>
      </c>
      <c r="O499" s="3" t="s">
        <v>16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>
        <v>499.0</v>
      </c>
      <c r="B500" s="1">
        <v>260.0</v>
      </c>
      <c r="C500" s="1">
        <v>4.0</v>
      </c>
      <c r="D500" s="4">
        <v>42654.0</v>
      </c>
      <c r="E500" s="4">
        <v>42657.0</v>
      </c>
      <c r="F500" s="4">
        <v>42656.0</v>
      </c>
      <c r="G500" s="1">
        <v>1.0</v>
      </c>
      <c r="H500" s="1">
        <v>2.0</v>
      </c>
      <c r="I500" s="3" t="str">
        <f>VLOOKUP(B500,Customers!A:J, 10,FALSE)</f>
        <v>Rodrick Shelton</v>
      </c>
      <c r="J500" s="3" t="str">
        <f>VLOOKUP(B500,Customers!A:J,8,FALSE)</f>
        <v>CA</v>
      </c>
      <c r="K500" s="3" t="str">
        <f>VLOOKUP(B500,Customers!A:J,7,FALSE)</f>
        <v>Canyon Country</v>
      </c>
      <c r="L500" s="3" t="str">
        <f>VLOOKUP(H500,Staff!A:I,9,FALSE)</f>
        <v>Mireya Copeland</v>
      </c>
      <c r="M500" s="3" t="str">
        <f>VLOOKUP(G500,Store!A:H,2,FALSE)</f>
        <v>Santa Cruz Bikes</v>
      </c>
      <c r="N500" s="3" t="str">
        <f>VLOOKUP(G500,Store!A:H,6,FALSE)</f>
        <v>Santa Cruz</v>
      </c>
      <c r="O500" s="3" t="s">
        <v>15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>
        <v>500.0</v>
      </c>
      <c r="B501" s="1">
        <v>148.0</v>
      </c>
      <c r="C501" s="1">
        <v>4.0</v>
      </c>
      <c r="D501" s="4">
        <v>42654.0</v>
      </c>
      <c r="E501" s="4">
        <v>42655.0</v>
      </c>
      <c r="F501" s="4">
        <v>42656.0</v>
      </c>
      <c r="G501" s="1">
        <v>2.0</v>
      </c>
      <c r="H501" s="1">
        <v>6.0</v>
      </c>
      <c r="I501" s="3" t="str">
        <f>VLOOKUP(B501,Customers!A:J, 10,FALSE)</f>
        <v>Julee Woodard</v>
      </c>
      <c r="J501" s="3" t="str">
        <f>VLOOKUP(B501,Customers!A:J,8,FALSE)</f>
        <v>NY</v>
      </c>
      <c r="K501" s="3" t="str">
        <f>VLOOKUP(B501,Customers!A:J,7,FALSE)</f>
        <v>Richmond Hill</v>
      </c>
      <c r="L501" s="3" t="str">
        <f>VLOOKUP(H501,Staff!A:I,9,FALSE)</f>
        <v>Marcelene Boyer</v>
      </c>
      <c r="M501" s="3" t="str">
        <f>VLOOKUP(G501,Store!A:H,2,FALSE)</f>
        <v>Baldwin Bikes</v>
      </c>
      <c r="N501" s="3" t="str">
        <f>VLOOKUP(G501,Store!A:H,6,FALSE)</f>
        <v>Baldwin</v>
      </c>
      <c r="O501" s="3" t="s">
        <v>16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>
        <v>501.0</v>
      </c>
      <c r="B502" s="1">
        <v>977.0</v>
      </c>
      <c r="C502" s="1">
        <v>4.0</v>
      </c>
      <c r="D502" s="4">
        <v>42654.0</v>
      </c>
      <c r="E502" s="4">
        <v>42655.0</v>
      </c>
      <c r="F502" s="4">
        <v>42656.0</v>
      </c>
      <c r="G502" s="1">
        <v>2.0</v>
      </c>
      <c r="H502" s="1">
        <v>7.0</v>
      </c>
      <c r="I502" s="3" t="str">
        <f>VLOOKUP(B502,Customers!A:J, 10,FALSE)</f>
        <v>Barton Cox</v>
      </c>
      <c r="J502" s="3" t="str">
        <f>VLOOKUP(B502,Customers!A:J,8,FALSE)</f>
        <v>NY</v>
      </c>
      <c r="K502" s="3" t="str">
        <f>VLOOKUP(B502,Customers!A:J,7,FALSE)</f>
        <v>Amityville</v>
      </c>
      <c r="L502" s="3" t="str">
        <f>VLOOKUP(H502,Staff!A:I,9,FALSE)</f>
        <v>Venita Daniel</v>
      </c>
      <c r="M502" s="3" t="str">
        <f>VLOOKUP(G502,Store!A:H,2,FALSE)</f>
        <v>Baldwin Bikes</v>
      </c>
      <c r="N502" s="3" t="str">
        <f>VLOOKUP(G502,Store!A:H,6,FALSE)</f>
        <v>Baldwin</v>
      </c>
      <c r="O502" s="3" t="s">
        <v>16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>
        <v>502.0</v>
      </c>
      <c r="B503" s="1">
        <v>401.0</v>
      </c>
      <c r="C503" s="1">
        <v>4.0</v>
      </c>
      <c r="D503" s="4">
        <v>42655.0</v>
      </c>
      <c r="E503" s="4">
        <v>42656.0</v>
      </c>
      <c r="F503" s="4">
        <v>42656.0</v>
      </c>
      <c r="G503" s="1">
        <v>3.0</v>
      </c>
      <c r="H503" s="1">
        <v>9.0</v>
      </c>
      <c r="I503" s="3" t="str">
        <f>VLOOKUP(B503,Customers!A:J, 10,FALSE)</f>
        <v>Shaunda Barnett</v>
      </c>
      <c r="J503" s="3" t="str">
        <f>VLOOKUP(B503,Customers!A:J,8,FALSE)</f>
        <v>TX</v>
      </c>
      <c r="K503" s="3" t="str">
        <f>VLOOKUP(B503,Customers!A:J,7,FALSE)</f>
        <v>Longview</v>
      </c>
      <c r="L503" s="3" t="str">
        <f>VLOOKUP(H503,Staff!A:I,9,FALSE)</f>
        <v>Layla Terrell</v>
      </c>
      <c r="M503" s="3" t="str">
        <f>VLOOKUP(G503,Store!A:H,2,FALSE)</f>
        <v>Rowlett Bikes</v>
      </c>
      <c r="N503" s="3" t="str">
        <f>VLOOKUP(G503,Store!A:H,6,FALSE)</f>
        <v>Rowlett</v>
      </c>
      <c r="O503" s="3" t="s">
        <v>17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>
        <v>503.0</v>
      </c>
      <c r="B504" s="1">
        <v>932.0</v>
      </c>
      <c r="C504" s="1">
        <v>4.0</v>
      </c>
      <c r="D504" s="4">
        <v>42656.0</v>
      </c>
      <c r="E504" s="4">
        <v>42659.0</v>
      </c>
      <c r="F504" s="4">
        <v>42657.0</v>
      </c>
      <c r="G504" s="1">
        <v>2.0</v>
      </c>
      <c r="H504" s="1">
        <v>6.0</v>
      </c>
      <c r="I504" s="3" t="str">
        <f>VLOOKUP(B504,Customers!A:J, 10,FALSE)</f>
        <v>Yvonne Bean</v>
      </c>
      <c r="J504" s="3" t="str">
        <f>VLOOKUP(B504,Customers!A:J,8,FALSE)</f>
        <v>NY</v>
      </c>
      <c r="K504" s="3" t="str">
        <f>VLOOKUP(B504,Customers!A:J,7,FALSE)</f>
        <v>Wappingers Falls</v>
      </c>
      <c r="L504" s="3" t="str">
        <f>VLOOKUP(H504,Staff!A:I,9,FALSE)</f>
        <v>Marcelene Boyer</v>
      </c>
      <c r="M504" s="3" t="str">
        <f>VLOOKUP(G504,Store!A:H,2,FALSE)</f>
        <v>Baldwin Bikes</v>
      </c>
      <c r="N504" s="3" t="str">
        <f>VLOOKUP(G504,Store!A:H,6,FALSE)</f>
        <v>Baldwin</v>
      </c>
      <c r="O504" s="3" t="s">
        <v>16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>
        <v>504.0</v>
      </c>
      <c r="B505" s="1">
        <v>1381.0</v>
      </c>
      <c r="C505" s="1">
        <v>4.0</v>
      </c>
      <c r="D505" s="4">
        <v>42657.0</v>
      </c>
      <c r="E505" s="4">
        <v>42658.0</v>
      </c>
      <c r="F505" s="4">
        <v>42658.0</v>
      </c>
      <c r="G505" s="1">
        <v>1.0</v>
      </c>
      <c r="H505" s="1">
        <v>2.0</v>
      </c>
      <c r="I505" s="3" t="str">
        <f>VLOOKUP(B505,Customers!A:J, 10,FALSE)</f>
        <v>Mercedez Brooks</v>
      </c>
      <c r="J505" s="3" t="str">
        <f>VLOOKUP(B505,Customers!A:J,8,FALSE)</f>
        <v>CA</v>
      </c>
      <c r="K505" s="3" t="str">
        <f>VLOOKUP(B505,Customers!A:J,7,FALSE)</f>
        <v>Duarte</v>
      </c>
      <c r="L505" s="3" t="str">
        <f>VLOOKUP(H505,Staff!A:I,9,FALSE)</f>
        <v>Mireya Copeland</v>
      </c>
      <c r="M505" s="3" t="str">
        <f>VLOOKUP(G505,Store!A:H,2,FALSE)</f>
        <v>Santa Cruz Bikes</v>
      </c>
      <c r="N505" s="3" t="str">
        <f>VLOOKUP(G505,Store!A:H,6,FALSE)</f>
        <v>Santa Cruz</v>
      </c>
      <c r="O505" s="3" t="s">
        <v>15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>
        <v>505.0</v>
      </c>
      <c r="B506" s="1">
        <v>721.0</v>
      </c>
      <c r="C506" s="1">
        <v>4.0</v>
      </c>
      <c r="D506" s="4">
        <v>42657.0</v>
      </c>
      <c r="E506" s="4">
        <v>42659.0</v>
      </c>
      <c r="F506" s="4">
        <v>42660.0</v>
      </c>
      <c r="G506" s="1">
        <v>2.0</v>
      </c>
      <c r="H506" s="1">
        <v>6.0</v>
      </c>
      <c r="I506" s="3" t="str">
        <f>VLOOKUP(B506,Customers!A:J, 10,FALSE)</f>
        <v>Erlinda Osborne</v>
      </c>
      <c r="J506" s="3" t="str">
        <f>VLOOKUP(B506,Customers!A:J,8,FALSE)</f>
        <v>NY</v>
      </c>
      <c r="K506" s="3" t="str">
        <f>VLOOKUP(B506,Customers!A:J,7,FALSE)</f>
        <v>West Islip</v>
      </c>
      <c r="L506" s="3" t="str">
        <f>VLOOKUP(H506,Staff!A:I,9,FALSE)</f>
        <v>Marcelene Boyer</v>
      </c>
      <c r="M506" s="3" t="str">
        <f>VLOOKUP(G506,Store!A:H,2,FALSE)</f>
        <v>Baldwin Bikes</v>
      </c>
      <c r="N506" s="3" t="str">
        <f>VLOOKUP(G506,Store!A:H,6,FALSE)</f>
        <v>Baldwin</v>
      </c>
      <c r="O506" s="3" t="s">
        <v>16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>
        <v>506.0</v>
      </c>
      <c r="B507" s="1">
        <v>831.0</v>
      </c>
      <c r="C507" s="1">
        <v>4.0</v>
      </c>
      <c r="D507" s="4">
        <v>42657.0</v>
      </c>
      <c r="E507" s="4">
        <v>42659.0</v>
      </c>
      <c r="F507" s="4">
        <v>42659.0</v>
      </c>
      <c r="G507" s="1">
        <v>2.0</v>
      </c>
      <c r="H507" s="1">
        <v>6.0</v>
      </c>
      <c r="I507" s="3" t="str">
        <f>VLOOKUP(B507,Customers!A:J, 10,FALSE)</f>
        <v>Lory Berg</v>
      </c>
      <c r="J507" s="3" t="str">
        <f>VLOOKUP(B507,Customers!A:J,8,FALSE)</f>
        <v>NY</v>
      </c>
      <c r="K507" s="3" t="str">
        <f>VLOOKUP(B507,Customers!A:J,7,FALSE)</f>
        <v>Oswego</v>
      </c>
      <c r="L507" s="3" t="str">
        <f>VLOOKUP(H507,Staff!A:I,9,FALSE)</f>
        <v>Marcelene Boyer</v>
      </c>
      <c r="M507" s="3" t="str">
        <f>VLOOKUP(G507,Store!A:H,2,FALSE)</f>
        <v>Baldwin Bikes</v>
      </c>
      <c r="N507" s="3" t="str">
        <f>VLOOKUP(G507,Store!A:H,6,FALSE)</f>
        <v>Baldwin</v>
      </c>
      <c r="O507" s="3" t="s">
        <v>16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>
        <v>507.0</v>
      </c>
      <c r="B508" s="1">
        <v>1378.0</v>
      </c>
      <c r="C508" s="1">
        <v>4.0</v>
      </c>
      <c r="D508" s="4">
        <v>42658.0</v>
      </c>
      <c r="E508" s="4">
        <v>42660.0</v>
      </c>
      <c r="F508" s="4">
        <v>42660.0</v>
      </c>
      <c r="G508" s="1">
        <v>1.0</v>
      </c>
      <c r="H508" s="1">
        <v>3.0</v>
      </c>
      <c r="I508" s="3" t="str">
        <f>VLOOKUP(B508,Customers!A:J, 10,FALSE)</f>
        <v>Enoch Rosario</v>
      </c>
      <c r="J508" s="3" t="str">
        <f>VLOOKUP(B508,Customers!A:J,8,FALSE)</f>
        <v>CA</v>
      </c>
      <c r="K508" s="3" t="str">
        <f>VLOOKUP(B508,Customers!A:J,7,FALSE)</f>
        <v>Fresno</v>
      </c>
      <c r="L508" s="3" t="str">
        <f>VLOOKUP(H508,Staff!A:I,9,FALSE)</f>
        <v>Genna Serrano</v>
      </c>
      <c r="M508" s="3" t="str">
        <f>VLOOKUP(G508,Store!A:H,2,FALSE)</f>
        <v>Santa Cruz Bikes</v>
      </c>
      <c r="N508" s="3" t="str">
        <f>VLOOKUP(G508,Store!A:H,6,FALSE)</f>
        <v>Santa Cruz</v>
      </c>
      <c r="O508" s="3" t="s">
        <v>15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>
        <v>508.0</v>
      </c>
      <c r="B509" s="1">
        <v>1359.0</v>
      </c>
      <c r="C509" s="1">
        <v>4.0</v>
      </c>
      <c r="D509" s="4">
        <v>42658.0</v>
      </c>
      <c r="E509" s="4">
        <v>42661.0</v>
      </c>
      <c r="F509" s="4">
        <v>42661.0</v>
      </c>
      <c r="G509" s="1">
        <v>2.0</v>
      </c>
      <c r="H509" s="1">
        <v>6.0</v>
      </c>
      <c r="I509" s="3" t="str">
        <f>VLOOKUP(B509,Customers!A:J, 10,FALSE)</f>
        <v>Octavia Donaldson</v>
      </c>
      <c r="J509" s="3" t="str">
        <f>VLOOKUP(B509,Customers!A:J,8,FALSE)</f>
        <v>NY</v>
      </c>
      <c r="K509" s="3" t="str">
        <f>VLOOKUP(B509,Customers!A:J,7,FALSE)</f>
        <v>Levittown</v>
      </c>
      <c r="L509" s="3" t="str">
        <f>VLOOKUP(H509,Staff!A:I,9,FALSE)</f>
        <v>Marcelene Boyer</v>
      </c>
      <c r="M509" s="3" t="str">
        <f>VLOOKUP(G509,Store!A:H,2,FALSE)</f>
        <v>Baldwin Bikes</v>
      </c>
      <c r="N509" s="3" t="str">
        <f>VLOOKUP(G509,Store!A:H,6,FALSE)</f>
        <v>Baldwin</v>
      </c>
      <c r="O509" s="3" t="s">
        <v>16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>
        <v>509.0</v>
      </c>
      <c r="B510" s="1">
        <v>235.0</v>
      </c>
      <c r="C510" s="1">
        <v>4.0</v>
      </c>
      <c r="D510" s="4">
        <v>42659.0</v>
      </c>
      <c r="E510" s="4">
        <v>42660.0</v>
      </c>
      <c r="F510" s="4">
        <v>42660.0</v>
      </c>
      <c r="G510" s="1">
        <v>2.0</v>
      </c>
      <c r="H510" s="1">
        <v>7.0</v>
      </c>
      <c r="I510" s="3" t="str">
        <f>VLOOKUP(B510,Customers!A:J, 10,FALSE)</f>
        <v>Jeromy Elliott</v>
      </c>
      <c r="J510" s="3" t="str">
        <f>VLOOKUP(B510,Customers!A:J,8,FALSE)</f>
        <v>NY</v>
      </c>
      <c r="K510" s="3" t="str">
        <f>VLOOKUP(B510,Customers!A:J,7,FALSE)</f>
        <v>Bay Shore</v>
      </c>
      <c r="L510" s="3" t="str">
        <f>VLOOKUP(H510,Staff!A:I,9,FALSE)</f>
        <v>Venita Daniel</v>
      </c>
      <c r="M510" s="3" t="str">
        <f>VLOOKUP(G510,Store!A:H,2,FALSE)</f>
        <v>Baldwin Bikes</v>
      </c>
      <c r="N510" s="3" t="str">
        <f>VLOOKUP(G510,Store!A:H,6,FALSE)</f>
        <v>Baldwin</v>
      </c>
      <c r="O510" s="3" t="s">
        <v>16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>
        <v>510.0</v>
      </c>
      <c r="B511" s="1">
        <v>586.0</v>
      </c>
      <c r="C511" s="1">
        <v>4.0</v>
      </c>
      <c r="D511" s="4">
        <v>42660.0</v>
      </c>
      <c r="E511" s="4">
        <v>42661.0</v>
      </c>
      <c r="F511" s="4">
        <v>42661.0</v>
      </c>
      <c r="G511" s="1">
        <v>2.0</v>
      </c>
      <c r="H511" s="1">
        <v>7.0</v>
      </c>
      <c r="I511" s="3" t="str">
        <f>VLOOKUP(B511,Customers!A:J, 10,FALSE)</f>
        <v>Ulysses Gaines</v>
      </c>
      <c r="J511" s="3" t="str">
        <f>VLOOKUP(B511,Customers!A:J,8,FALSE)</f>
        <v>NY</v>
      </c>
      <c r="K511" s="3" t="str">
        <f>VLOOKUP(B511,Customers!A:J,7,FALSE)</f>
        <v>Monsey</v>
      </c>
      <c r="L511" s="3" t="str">
        <f>VLOOKUP(H511,Staff!A:I,9,FALSE)</f>
        <v>Venita Daniel</v>
      </c>
      <c r="M511" s="3" t="str">
        <f>VLOOKUP(G511,Store!A:H,2,FALSE)</f>
        <v>Baldwin Bikes</v>
      </c>
      <c r="N511" s="3" t="str">
        <f>VLOOKUP(G511,Store!A:H,6,FALSE)</f>
        <v>Baldwin</v>
      </c>
      <c r="O511" s="3" t="s">
        <v>16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>
        <v>511.0</v>
      </c>
      <c r="B512" s="1">
        <v>377.0</v>
      </c>
      <c r="C512" s="1">
        <v>4.0</v>
      </c>
      <c r="D512" s="4">
        <v>42661.0</v>
      </c>
      <c r="E512" s="4">
        <v>42663.0</v>
      </c>
      <c r="F512" s="4">
        <v>42662.0</v>
      </c>
      <c r="G512" s="1">
        <v>2.0</v>
      </c>
      <c r="H512" s="1">
        <v>7.0</v>
      </c>
      <c r="I512" s="3" t="str">
        <f>VLOOKUP(B512,Customers!A:J, 10,FALSE)</f>
        <v>Klara Mosley</v>
      </c>
      <c r="J512" s="3" t="str">
        <f>VLOOKUP(B512,Customers!A:J,8,FALSE)</f>
        <v>NY</v>
      </c>
      <c r="K512" s="3" t="str">
        <f>VLOOKUP(B512,Customers!A:J,7,FALSE)</f>
        <v>Port Chester</v>
      </c>
      <c r="L512" s="3" t="str">
        <f>VLOOKUP(H512,Staff!A:I,9,FALSE)</f>
        <v>Venita Daniel</v>
      </c>
      <c r="M512" s="3" t="str">
        <f>VLOOKUP(G512,Store!A:H,2,FALSE)</f>
        <v>Baldwin Bikes</v>
      </c>
      <c r="N512" s="3" t="str">
        <f>VLOOKUP(G512,Store!A:H,6,FALSE)</f>
        <v>Baldwin</v>
      </c>
      <c r="O512" s="3" t="s">
        <v>16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>
        <v>512.0</v>
      </c>
      <c r="B513" s="1">
        <v>8.0</v>
      </c>
      <c r="C513" s="1">
        <v>4.0</v>
      </c>
      <c r="D513" s="4">
        <v>42662.0</v>
      </c>
      <c r="E513" s="4">
        <v>42665.0</v>
      </c>
      <c r="F513" s="4">
        <v>42663.0</v>
      </c>
      <c r="G513" s="1">
        <v>2.0</v>
      </c>
      <c r="H513" s="1">
        <v>7.0</v>
      </c>
      <c r="I513" s="3" t="str">
        <f>VLOOKUP(B513,Customers!A:J, 10,FALSE)</f>
        <v>Jacquline Duncan</v>
      </c>
      <c r="J513" s="3" t="str">
        <f>VLOOKUP(B513,Customers!A:J,8,FALSE)</f>
        <v>NY</v>
      </c>
      <c r="K513" s="3" t="str">
        <f>VLOOKUP(B513,Customers!A:J,7,FALSE)</f>
        <v>Jackson Heights</v>
      </c>
      <c r="L513" s="3" t="str">
        <f>VLOOKUP(H513,Staff!A:I,9,FALSE)</f>
        <v>Venita Daniel</v>
      </c>
      <c r="M513" s="3" t="str">
        <f>VLOOKUP(G513,Store!A:H,2,FALSE)</f>
        <v>Baldwin Bikes</v>
      </c>
      <c r="N513" s="3" t="str">
        <f>VLOOKUP(G513,Store!A:H,6,FALSE)</f>
        <v>Baldwin</v>
      </c>
      <c r="O513" s="3" t="s">
        <v>16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>
        <v>513.0</v>
      </c>
      <c r="B514" s="1">
        <v>155.0</v>
      </c>
      <c r="C514" s="1">
        <v>4.0</v>
      </c>
      <c r="D514" s="4">
        <v>42662.0</v>
      </c>
      <c r="E514" s="4">
        <v>42664.0</v>
      </c>
      <c r="F514" s="4">
        <v>42664.0</v>
      </c>
      <c r="G514" s="1">
        <v>2.0</v>
      </c>
      <c r="H514" s="1">
        <v>6.0</v>
      </c>
      <c r="I514" s="3" t="str">
        <f>VLOOKUP(B514,Customers!A:J, 10,FALSE)</f>
        <v>Lory Page</v>
      </c>
      <c r="J514" s="3" t="str">
        <f>VLOOKUP(B514,Customers!A:J,8,FALSE)</f>
        <v>NY</v>
      </c>
      <c r="K514" s="3" t="str">
        <f>VLOOKUP(B514,Customers!A:J,7,FALSE)</f>
        <v>Bay Shore</v>
      </c>
      <c r="L514" s="3" t="str">
        <f>VLOOKUP(H514,Staff!A:I,9,FALSE)</f>
        <v>Marcelene Boyer</v>
      </c>
      <c r="M514" s="3" t="str">
        <f>VLOOKUP(G514,Store!A:H,2,FALSE)</f>
        <v>Baldwin Bikes</v>
      </c>
      <c r="N514" s="3" t="str">
        <f>VLOOKUP(G514,Store!A:H,6,FALSE)</f>
        <v>Baldwin</v>
      </c>
      <c r="O514" s="3" t="s">
        <v>16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>
        <v>514.0</v>
      </c>
      <c r="B515" s="1">
        <v>927.0</v>
      </c>
      <c r="C515" s="1">
        <v>4.0</v>
      </c>
      <c r="D515" s="4">
        <v>42662.0</v>
      </c>
      <c r="E515" s="4">
        <v>42664.0</v>
      </c>
      <c r="F515" s="4">
        <v>42663.0</v>
      </c>
      <c r="G515" s="1">
        <v>2.0</v>
      </c>
      <c r="H515" s="1">
        <v>7.0</v>
      </c>
      <c r="I515" s="3" t="str">
        <f>VLOOKUP(B515,Customers!A:J, 10,FALSE)</f>
        <v>Guillermo Hart</v>
      </c>
      <c r="J515" s="3" t="str">
        <f>VLOOKUP(B515,Customers!A:J,8,FALSE)</f>
        <v>NY</v>
      </c>
      <c r="K515" s="3" t="str">
        <f>VLOOKUP(B515,Customers!A:J,7,FALSE)</f>
        <v>New York</v>
      </c>
      <c r="L515" s="3" t="str">
        <f>VLOOKUP(H515,Staff!A:I,9,FALSE)</f>
        <v>Venita Daniel</v>
      </c>
      <c r="M515" s="3" t="str">
        <f>VLOOKUP(G515,Store!A:H,2,FALSE)</f>
        <v>Baldwin Bikes</v>
      </c>
      <c r="N515" s="3" t="str">
        <f>VLOOKUP(G515,Store!A:H,6,FALSE)</f>
        <v>Baldwin</v>
      </c>
      <c r="O515" s="3" t="s">
        <v>16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>
        <v>515.0</v>
      </c>
      <c r="B516" s="1">
        <v>986.0</v>
      </c>
      <c r="C516" s="1">
        <v>4.0</v>
      </c>
      <c r="D516" s="4">
        <v>42662.0</v>
      </c>
      <c r="E516" s="4">
        <v>42663.0</v>
      </c>
      <c r="F516" s="4">
        <v>42665.0</v>
      </c>
      <c r="G516" s="1">
        <v>2.0</v>
      </c>
      <c r="H516" s="1">
        <v>6.0</v>
      </c>
      <c r="I516" s="3" t="str">
        <f>VLOOKUP(B516,Customers!A:J, 10,FALSE)</f>
        <v>Marcel Lindsay</v>
      </c>
      <c r="J516" s="3" t="str">
        <f>VLOOKUP(B516,Customers!A:J,8,FALSE)</f>
        <v>NY</v>
      </c>
      <c r="K516" s="3" t="str">
        <f>VLOOKUP(B516,Customers!A:J,7,FALSE)</f>
        <v>Ossining</v>
      </c>
      <c r="L516" s="3" t="str">
        <f>VLOOKUP(H516,Staff!A:I,9,FALSE)</f>
        <v>Marcelene Boyer</v>
      </c>
      <c r="M516" s="3" t="str">
        <f>VLOOKUP(G516,Store!A:H,2,FALSE)</f>
        <v>Baldwin Bikes</v>
      </c>
      <c r="N516" s="3" t="str">
        <f>VLOOKUP(G516,Store!A:H,6,FALSE)</f>
        <v>Baldwin</v>
      </c>
      <c r="O516" s="3" t="s">
        <v>16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>
        <v>516.0</v>
      </c>
      <c r="B517" s="1">
        <v>111.0</v>
      </c>
      <c r="C517" s="1">
        <v>4.0</v>
      </c>
      <c r="D517" s="4">
        <v>42664.0</v>
      </c>
      <c r="E517" s="4">
        <v>42666.0</v>
      </c>
      <c r="F517" s="4">
        <v>42667.0</v>
      </c>
      <c r="G517" s="1">
        <v>2.0</v>
      </c>
      <c r="H517" s="1">
        <v>6.0</v>
      </c>
      <c r="I517" s="3" t="str">
        <f>VLOOKUP(B517,Customers!A:J, 10,FALSE)</f>
        <v>Shila White</v>
      </c>
      <c r="J517" s="3" t="str">
        <f>VLOOKUP(B517,Customers!A:J,8,FALSE)</f>
        <v>NY</v>
      </c>
      <c r="K517" s="3" t="str">
        <f>VLOOKUP(B517,Customers!A:J,7,FALSE)</f>
        <v>Orchard Park</v>
      </c>
      <c r="L517" s="3" t="str">
        <f>VLOOKUP(H517,Staff!A:I,9,FALSE)</f>
        <v>Marcelene Boyer</v>
      </c>
      <c r="M517" s="3" t="str">
        <f>VLOOKUP(G517,Store!A:H,2,FALSE)</f>
        <v>Baldwin Bikes</v>
      </c>
      <c r="N517" s="3" t="str">
        <f>VLOOKUP(G517,Store!A:H,6,FALSE)</f>
        <v>Baldwin</v>
      </c>
      <c r="O517" s="3" t="s">
        <v>16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>
        <v>517.0</v>
      </c>
      <c r="B518" s="1">
        <v>613.0</v>
      </c>
      <c r="C518" s="1">
        <v>4.0</v>
      </c>
      <c r="D518" s="4">
        <v>42664.0</v>
      </c>
      <c r="E518" s="4">
        <v>42665.0</v>
      </c>
      <c r="F518" s="4">
        <v>42667.0</v>
      </c>
      <c r="G518" s="1">
        <v>2.0</v>
      </c>
      <c r="H518" s="1">
        <v>6.0</v>
      </c>
      <c r="I518" s="3" t="str">
        <f>VLOOKUP(B518,Customers!A:J, 10,FALSE)</f>
        <v>Margene Eaton</v>
      </c>
      <c r="J518" s="3" t="str">
        <f>VLOOKUP(B518,Customers!A:J,8,FALSE)</f>
        <v>NY</v>
      </c>
      <c r="K518" s="3" t="str">
        <f>VLOOKUP(B518,Customers!A:J,7,FALSE)</f>
        <v>Wantagh</v>
      </c>
      <c r="L518" s="3" t="str">
        <f>VLOOKUP(H518,Staff!A:I,9,FALSE)</f>
        <v>Marcelene Boyer</v>
      </c>
      <c r="M518" s="3" t="str">
        <f>VLOOKUP(G518,Store!A:H,2,FALSE)</f>
        <v>Baldwin Bikes</v>
      </c>
      <c r="N518" s="3" t="str">
        <f>VLOOKUP(G518,Store!A:H,6,FALSE)</f>
        <v>Baldwin</v>
      </c>
      <c r="O518" s="3" t="s">
        <v>16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>
        <v>518.0</v>
      </c>
      <c r="B519" s="1">
        <v>1374.0</v>
      </c>
      <c r="C519" s="1">
        <v>4.0</v>
      </c>
      <c r="D519" s="4">
        <v>42665.0</v>
      </c>
      <c r="E519" s="4">
        <v>42667.0</v>
      </c>
      <c r="F519" s="4">
        <v>42668.0</v>
      </c>
      <c r="G519" s="1">
        <v>1.0</v>
      </c>
      <c r="H519" s="1">
        <v>2.0</v>
      </c>
      <c r="I519" s="3" t="str">
        <f>VLOOKUP(B519,Customers!A:J, 10,FALSE)</f>
        <v>Juliane Dillard</v>
      </c>
      <c r="J519" s="3" t="str">
        <f>VLOOKUP(B519,Customers!A:J,8,FALSE)</f>
        <v>CA</v>
      </c>
      <c r="K519" s="3" t="str">
        <f>VLOOKUP(B519,Customers!A:J,7,FALSE)</f>
        <v>Glendora</v>
      </c>
      <c r="L519" s="3" t="str">
        <f>VLOOKUP(H519,Staff!A:I,9,FALSE)</f>
        <v>Mireya Copeland</v>
      </c>
      <c r="M519" s="3" t="str">
        <f>VLOOKUP(G519,Store!A:H,2,FALSE)</f>
        <v>Santa Cruz Bikes</v>
      </c>
      <c r="N519" s="3" t="str">
        <f>VLOOKUP(G519,Store!A:H,6,FALSE)</f>
        <v>Santa Cruz</v>
      </c>
      <c r="O519" s="3" t="s">
        <v>15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>
        <v>519.0</v>
      </c>
      <c r="B520" s="1">
        <v>54.0</v>
      </c>
      <c r="C520" s="1">
        <v>4.0</v>
      </c>
      <c r="D520" s="4">
        <v>42665.0</v>
      </c>
      <c r="E520" s="4">
        <v>42666.0</v>
      </c>
      <c r="F520" s="4">
        <v>42667.0</v>
      </c>
      <c r="G520" s="1">
        <v>2.0</v>
      </c>
      <c r="H520" s="1">
        <v>7.0</v>
      </c>
      <c r="I520" s="3" t="str">
        <f>VLOOKUP(B520,Customers!A:J, 10,FALSE)</f>
        <v>Fran Yang</v>
      </c>
      <c r="J520" s="3" t="str">
        <f>VLOOKUP(B520,Customers!A:J,8,FALSE)</f>
        <v>NY</v>
      </c>
      <c r="K520" s="3" t="str">
        <f>VLOOKUP(B520,Customers!A:J,7,FALSE)</f>
        <v>Utica</v>
      </c>
      <c r="L520" s="3" t="str">
        <f>VLOOKUP(H520,Staff!A:I,9,FALSE)</f>
        <v>Venita Daniel</v>
      </c>
      <c r="M520" s="3" t="str">
        <f>VLOOKUP(G520,Store!A:H,2,FALSE)</f>
        <v>Baldwin Bikes</v>
      </c>
      <c r="N520" s="3" t="str">
        <f>VLOOKUP(G520,Store!A:H,6,FALSE)</f>
        <v>Baldwin</v>
      </c>
      <c r="O520" s="3" t="s">
        <v>16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>
        <v>520.0</v>
      </c>
      <c r="B521" s="1">
        <v>639.0</v>
      </c>
      <c r="C521" s="1">
        <v>4.0</v>
      </c>
      <c r="D521" s="4">
        <v>42666.0</v>
      </c>
      <c r="E521" s="4">
        <v>42669.0</v>
      </c>
      <c r="F521" s="4">
        <v>42667.0</v>
      </c>
      <c r="G521" s="1">
        <v>2.0</v>
      </c>
      <c r="H521" s="1">
        <v>7.0</v>
      </c>
      <c r="I521" s="3" t="str">
        <f>VLOOKUP(B521,Customers!A:J, 10,FALSE)</f>
        <v>Ronald Parsons</v>
      </c>
      <c r="J521" s="3" t="str">
        <f>VLOOKUP(B521,Customers!A:J,8,FALSE)</f>
        <v>NY</v>
      </c>
      <c r="K521" s="3" t="str">
        <f>VLOOKUP(B521,Customers!A:J,7,FALSE)</f>
        <v>Maspeth</v>
      </c>
      <c r="L521" s="3" t="str">
        <f>VLOOKUP(H521,Staff!A:I,9,FALSE)</f>
        <v>Venita Daniel</v>
      </c>
      <c r="M521" s="3" t="str">
        <f>VLOOKUP(G521,Store!A:H,2,FALSE)</f>
        <v>Baldwin Bikes</v>
      </c>
      <c r="N521" s="3" t="str">
        <f>VLOOKUP(G521,Store!A:H,6,FALSE)</f>
        <v>Baldwin</v>
      </c>
      <c r="O521" s="3" t="s">
        <v>16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>
        <v>521.0</v>
      </c>
      <c r="B522" s="1">
        <v>664.0</v>
      </c>
      <c r="C522" s="1">
        <v>4.0</v>
      </c>
      <c r="D522" s="4">
        <v>42666.0</v>
      </c>
      <c r="E522" s="4">
        <v>42668.0</v>
      </c>
      <c r="F522" s="4">
        <v>42668.0</v>
      </c>
      <c r="G522" s="1">
        <v>2.0</v>
      </c>
      <c r="H522" s="1">
        <v>6.0</v>
      </c>
      <c r="I522" s="3" t="str">
        <f>VLOOKUP(B522,Customers!A:J, 10,FALSE)</f>
        <v>Augustus Schmidt</v>
      </c>
      <c r="J522" s="3" t="str">
        <f>VLOOKUP(B522,Customers!A:J,8,FALSE)</f>
        <v>NY</v>
      </c>
      <c r="K522" s="3" t="str">
        <f>VLOOKUP(B522,Customers!A:J,7,FALSE)</f>
        <v>Corona</v>
      </c>
      <c r="L522" s="3" t="str">
        <f>VLOOKUP(H522,Staff!A:I,9,FALSE)</f>
        <v>Marcelene Boyer</v>
      </c>
      <c r="M522" s="3" t="str">
        <f>VLOOKUP(G522,Store!A:H,2,FALSE)</f>
        <v>Baldwin Bikes</v>
      </c>
      <c r="N522" s="3" t="str">
        <f>VLOOKUP(G522,Store!A:H,6,FALSE)</f>
        <v>Baldwin</v>
      </c>
      <c r="O522" s="3" t="s">
        <v>16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>
        <v>522.0</v>
      </c>
      <c r="B523" s="1">
        <v>724.0</v>
      </c>
      <c r="C523" s="1">
        <v>4.0</v>
      </c>
      <c r="D523" s="4">
        <v>42666.0</v>
      </c>
      <c r="E523" s="4">
        <v>42667.0</v>
      </c>
      <c r="F523" s="4">
        <v>42667.0</v>
      </c>
      <c r="G523" s="1">
        <v>2.0</v>
      </c>
      <c r="H523" s="1">
        <v>7.0</v>
      </c>
      <c r="I523" s="3" t="str">
        <f>VLOOKUP(B523,Customers!A:J, 10,FALSE)</f>
        <v>Lois Steele</v>
      </c>
      <c r="J523" s="3" t="str">
        <f>VLOOKUP(B523,Customers!A:J,8,FALSE)</f>
        <v>NY</v>
      </c>
      <c r="K523" s="3" t="str">
        <f>VLOOKUP(B523,Customers!A:J,7,FALSE)</f>
        <v>Ossining</v>
      </c>
      <c r="L523" s="3" t="str">
        <f>VLOOKUP(H523,Staff!A:I,9,FALSE)</f>
        <v>Venita Daniel</v>
      </c>
      <c r="M523" s="3" t="str">
        <f>VLOOKUP(G523,Store!A:H,2,FALSE)</f>
        <v>Baldwin Bikes</v>
      </c>
      <c r="N523" s="3" t="str">
        <f>VLOOKUP(G523,Store!A:H,6,FALSE)</f>
        <v>Baldwin</v>
      </c>
      <c r="O523" s="3" t="s">
        <v>16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>
        <v>523.0</v>
      </c>
      <c r="B524" s="1">
        <v>1056.0</v>
      </c>
      <c r="C524" s="1">
        <v>4.0</v>
      </c>
      <c r="D524" s="4">
        <v>42667.0</v>
      </c>
      <c r="E524" s="4">
        <v>42669.0</v>
      </c>
      <c r="F524" s="4">
        <v>42670.0</v>
      </c>
      <c r="G524" s="1">
        <v>2.0</v>
      </c>
      <c r="H524" s="1">
        <v>6.0</v>
      </c>
      <c r="I524" s="3" t="str">
        <f>VLOOKUP(B524,Customers!A:J, 10,FALSE)</f>
        <v>Rebbecca Espinoza</v>
      </c>
      <c r="J524" s="3" t="str">
        <f>VLOOKUP(B524,Customers!A:J,8,FALSE)</f>
        <v>NY</v>
      </c>
      <c r="K524" s="3" t="str">
        <f>VLOOKUP(B524,Customers!A:J,7,FALSE)</f>
        <v>Mount Vernon</v>
      </c>
      <c r="L524" s="3" t="str">
        <f>VLOOKUP(H524,Staff!A:I,9,FALSE)</f>
        <v>Marcelene Boyer</v>
      </c>
      <c r="M524" s="3" t="str">
        <f>VLOOKUP(G524,Store!A:H,2,FALSE)</f>
        <v>Baldwin Bikes</v>
      </c>
      <c r="N524" s="3" t="str">
        <f>VLOOKUP(G524,Store!A:H,6,FALSE)</f>
        <v>Baldwin</v>
      </c>
      <c r="O524" s="3" t="s">
        <v>16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>
        <v>524.0</v>
      </c>
      <c r="B525" s="1">
        <v>569.0</v>
      </c>
      <c r="C525" s="1">
        <v>4.0</v>
      </c>
      <c r="D525" s="4">
        <v>42668.0</v>
      </c>
      <c r="E525" s="4">
        <v>42669.0</v>
      </c>
      <c r="F525" s="4">
        <v>42670.0</v>
      </c>
      <c r="G525" s="1">
        <v>1.0</v>
      </c>
      <c r="H525" s="1">
        <v>2.0</v>
      </c>
      <c r="I525" s="3" t="str">
        <f>VLOOKUP(B525,Customers!A:J, 10,FALSE)</f>
        <v>Lucas Estes</v>
      </c>
      <c r="J525" s="3" t="str">
        <f>VLOOKUP(B525,Customers!A:J,8,FALSE)</f>
        <v>CA</v>
      </c>
      <c r="K525" s="3" t="str">
        <f>VLOOKUP(B525,Customers!A:J,7,FALSE)</f>
        <v>Santa Monica</v>
      </c>
      <c r="L525" s="3" t="str">
        <f>VLOOKUP(H525,Staff!A:I,9,FALSE)</f>
        <v>Mireya Copeland</v>
      </c>
      <c r="M525" s="3" t="str">
        <f>VLOOKUP(G525,Store!A:H,2,FALSE)</f>
        <v>Santa Cruz Bikes</v>
      </c>
      <c r="N525" s="3" t="str">
        <f>VLOOKUP(G525,Store!A:H,6,FALSE)</f>
        <v>Santa Cruz</v>
      </c>
      <c r="O525" s="3" t="s">
        <v>15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>
        <v>525.0</v>
      </c>
      <c r="B526" s="1">
        <v>1315.0</v>
      </c>
      <c r="C526" s="1">
        <v>4.0</v>
      </c>
      <c r="D526" s="4">
        <v>42669.0</v>
      </c>
      <c r="E526" s="4">
        <v>42671.0</v>
      </c>
      <c r="F526" s="4">
        <v>42672.0</v>
      </c>
      <c r="G526" s="1">
        <v>1.0</v>
      </c>
      <c r="H526" s="1">
        <v>3.0</v>
      </c>
      <c r="I526" s="3" t="str">
        <f>VLOOKUP(B526,Customers!A:J, 10,FALSE)</f>
        <v>Omega Johnston</v>
      </c>
      <c r="J526" s="3" t="str">
        <f>VLOOKUP(B526,Customers!A:J,8,FALSE)</f>
        <v>CA</v>
      </c>
      <c r="K526" s="3" t="str">
        <f>VLOOKUP(B526,Customers!A:J,7,FALSE)</f>
        <v>Canyon Country</v>
      </c>
      <c r="L526" s="3" t="str">
        <f>VLOOKUP(H526,Staff!A:I,9,FALSE)</f>
        <v>Genna Serrano</v>
      </c>
      <c r="M526" s="3" t="str">
        <f>VLOOKUP(G526,Store!A:H,2,FALSE)</f>
        <v>Santa Cruz Bikes</v>
      </c>
      <c r="N526" s="3" t="str">
        <f>VLOOKUP(G526,Store!A:H,6,FALSE)</f>
        <v>Santa Cruz</v>
      </c>
      <c r="O526" s="3" t="s">
        <v>15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>
        <v>526.0</v>
      </c>
      <c r="B527" s="1">
        <v>1096.0</v>
      </c>
      <c r="C527" s="1">
        <v>4.0</v>
      </c>
      <c r="D527" s="4">
        <v>42669.0</v>
      </c>
      <c r="E527" s="4">
        <v>42671.0</v>
      </c>
      <c r="F527" s="4">
        <v>42671.0</v>
      </c>
      <c r="G527" s="1">
        <v>2.0</v>
      </c>
      <c r="H527" s="1">
        <v>6.0</v>
      </c>
      <c r="I527" s="3" t="str">
        <f>VLOOKUP(B527,Customers!A:J, 10,FALSE)</f>
        <v>Tonda Webb</v>
      </c>
      <c r="J527" s="3" t="str">
        <f>VLOOKUP(B527,Customers!A:J,8,FALSE)</f>
        <v>NY</v>
      </c>
      <c r="K527" s="3" t="str">
        <f>VLOOKUP(B527,Customers!A:J,7,FALSE)</f>
        <v>Baldwinsville</v>
      </c>
      <c r="L527" s="3" t="str">
        <f>VLOOKUP(H527,Staff!A:I,9,FALSE)</f>
        <v>Marcelene Boyer</v>
      </c>
      <c r="M527" s="3" t="str">
        <f>VLOOKUP(G527,Store!A:H,2,FALSE)</f>
        <v>Baldwin Bikes</v>
      </c>
      <c r="N527" s="3" t="str">
        <f>VLOOKUP(G527,Store!A:H,6,FALSE)</f>
        <v>Baldwin</v>
      </c>
      <c r="O527" s="3" t="s">
        <v>16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>
        <v>527.0</v>
      </c>
      <c r="B528" s="1">
        <v>506.0</v>
      </c>
      <c r="C528" s="1">
        <v>4.0</v>
      </c>
      <c r="D528" s="4">
        <v>42670.0</v>
      </c>
      <c r="E528" s="4">
        <v>42672.0</v>
      </c>
      <c r="F528" s="4">
        <v>42671.0</v>
      </c>
      <c r="G528" s="1">
        <v>1.0</v>
      </c>
      <c r="H528" s="1">
        <v>2.0</v>
      </c>
      <c r="I528" s="3" t="str">
        <f>VLOOKUP(B528,Customers!A:J, 10,FALSE)</f>
        <v>Irving Pitts</v>
      </c>
      <c r="J528" s="3" t="str">
        <f>VLOOKUP(B528,Customers!A:J,8,FALSE)</f>
        <v>CA</v>
      </c>
      <c r="K528" s="3" t="str">
        <f>VLOOKUP(B528,Customers!A:J,7,FALSE)</f>
        <v>Torrance</v>
      </c>
      <c r="L528" s="3" t="str">
        <f>VLOOKUP(H528,Staff!A:I,9,FALSE)</f>
        <v>Mireya Copeland</v>
      </c>
      <c r="M528" s="3" t="str">
        <f>VLOOKUP(G528,Store!A:H,2,FALSE)</f>
        <v>Santa Cruz Bikes</v>
      </c>
      <c r="N528" s="3" t="str">
        <f>VLOOKUP(G528,Store!A:H,6,FALSE)</f>
        <v>Santa Cruz</v>
      </c>
      <c r="O528" s="3" t="s">
        <v>15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>
        <v>528.0</v>
      </c>
      <c r="B529" s="1">
        <v>676.0</v>
      </c>
      <c r="C529" s="1">
        <v>4.0</v>
      </c>
      <c r="D529" s="4">
        <v>42671.0</v>
      </c>
      <c r="E529" s="4">
        <v>42674.0</v>
      </c>
      <c r="F529" s="4">
        <v>42674.0</v>
      </c>
      <c r="G529" s="1">
        <v>2.0</v>
      </c>
      <c r="H529" s="1">
        <v>7.0</v>
      </c>
      <c r="I529" s="3" t="str">
        <f>VLOOKUP(B529,Customers!A:J, 10,FALSE)</f>
        <v>Gayle Wilkinson</v>
      </c>
      <c r="J529" s="3" t="str">
        <f>VLOOKUP(B529,Customers!A:J,8,FALSE)</f>
        <v>NY</v>
      </c>
      <c r="K529" s="3" t="str">
        <f>VLOOKUP(B529,Customers!A:J,7,FALSE)</f>
        <v>Lindenhurst</v>
      </c>
      <c r="L529" s="3" t="str">
        <f>VLOOKUP(H529,Staff!A:I,9,FALSE)</f>
        <v>Venita Daniel</v>
      </c>
      <c r="M529" s="3" t="str">
        <f>VLOOKUP(G529,Store!A:H,2,FALSE)</f>
        <v>Baldwin Bikes</v>
      </c>
      <c r="N529" s="3" t="str">
        <f>VLOOKUP(G529,Store!A:H,6,FALSE)</f>
        <v>Baldwin</v>
      </c>
      <c r="O529" s="3" t="s">
        <v>16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>
        <v>529.0</v>
      </c>
      <c r="B530" s="1">
        <v>753.0</v>
      </c>
      <c r="C530" s="1">
        <v>4.0</v>
      </c>
      <c r="D530" s="4">
        <v>42671.0</v>
      </c>
      <c r="E530" s="4">
        <v>42673.0</v>
      </c>
      <c r="F530" s="4">
        <v>42674.0</v>
      </c>
      <c r="G530" s="1">
        <v>2.0</v>
      </c>
      <c r="H530" s="1">
        <v>7.0</v>
      </c>
      <c r="I530" s="3" t="str">
        <f>VLOOKUP(B530,Customers!A:J, 10,FALSE)</f>
        <v>Mandi Gibbs</v>
      </c>
      <c r="J530" s="3" t="str">
        <f>VLOOKUP(B530,Customers!A:J,8,FALSE)</f>
        <v>NY</v>
      </c>
      <c r="K530" s="3" t="str">
        <f>VLOOKUP(B530,Customers!A:J,7,FALSE)</f>
        <v>East Elmhurst</v>
      </c>
      <c r="L530" s="3" t="str">
        <f>VLOOKUP(H530,Staff!A:I,9,FALSE)</f>
        <v>Venita Daniel</v>
      </c>
      <c r="M530" s="3" t="str">
        <f>VLOOKUP(G530,Store!A:H,2,FALSE)</f>
        <v>Baldwin Bikes</v>
      </c>
      <c r="N530" s="3" t="str">
        <f>VLOOKUP(G530,Store!A:H,6,FALSE)</f>
        <v>Baldwin</v>
      </c>
      <c r="O530" s="3" t="s">
        <v>16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>
        <v>530.0</v>
      </c>
      <c r="B531" s="1">
        <v>773.0</v>
      </c>
      <c r="C531" s="1">
        <v>4.0</v>
      </c>
      <c r="D531" s="4">
        <v>42671.0</v>
      </c>
      <c r="E531" s="4">
        <v>42674.0</v>
      </c>
      <c r="F531" s="4">
        <v>42674.0</v>
      </c>
      <c r="G531" s="1">
        <v>2.0</v>
      </c>
      <c r="H531" s="1">
        <v>6.0</v>
      </c>
      <c r="I531" s="3" t="str">
        <f>VLOOKUP(B531,Customers!A:J, 10,FALSE)</f>
        <v>Yolando Wade</v>
      </c>
      <c r="J531" s="3" t="str">
        <f>VLOOKUP(B531,Customers!A:J,8,FALSE)</f>
        <v>NY</v>
      </c>
      <c r="K531" s="3" t="str">
        <f>VLOOKUP(B531,Customers!A:J,7,FALSE)</f>
        <v>Massapequa</v>
      </c>
      <c r="L531" s="3" t="str">
        <f>VLOOKUP(H531,Staff!A:I,9,FALSE)</f>
        <v>Marcelene Boyer</v>
      </c>
      <c r="M531" s="3" t="str">
        <f>VLOOKUP(G531,Store!A:H,2,FALSE)</f>
        <v>Baldwin Bikes</v>
      </c>
      <c r="N531" s="3" t="str">
        <f>VLOOKUP(G531,Store!A:H,6,FALSE)</f>
        <v>Baldwin</v>
      </c>
      <c r="O531" s="3" t="s">
        <v>16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>
        <v>531.0</v>
      </c>
      <c r="B532" s="1">
        <v>116.0</v>
      </c>
      <c r="C532" s="1">
        <v>4.0</v>
      </c>
      <c r="D532" s="4">
        <v>42671.0</v>
      </c>
      <c r="E532" s="4">
        <v>42672.0</v>
      </c>
      <c r="F532" s="4">
        <v>42673.0</v>
      </c>
      <c r="G532" s="1">
        <v>3.0</v>
      </c>
      <c r="H532" s="1">
        <v>8.0</v>
      </c>
      <c r="I532" s="3" t="str">
        <f>VLOOKUP(B532,Customers!A:J, 10,FALSE)</f>
        <v>Merlene Vinson</v>
      </c>
      <c r="J532" s="3" t="str">
        <f>VLOOKUP(B532,Customers!A:J,8,FALSE)</f>
        <v>TX</v>
      </c>
      <c r="K532" s="3" t="str">
        <f>VLOOKUP(B532,Customers!A:J,7,FALSE)</f>
        <v>Euless</v>
      </c>
      <c r="L532" s="3" t="str">
        <f>VLOOKUP(H532,Staff!A:I,9,FALSE)</f>
        <v>Kali Vargas</v>
      </c>
      <c r="M532" s="3" t="str">
        <f>VLOOKUP(G532,Store!A:H,2,FALSE)</f>
        <v>Rowlett Bikes</v>
      </c>
      <c r="N532" s="3" t="str">
        <f>VLOOKUP(G532,Store!A:H,6,FALSE)</f>
        <v>Rowlett</v>
      </c>
      <c r="O532" s="3" t="s">
        <v>17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>
        <v>532.0</v>
      </c>
      <c r="B533" s="1">
        <v>817.0</v>
      </c>
      <c r="C533" s="1">
        <v>4.0</v>
      </c>
      <c r="D533" s="4">
        <v>42672.0</v>
      </c>
      <c r="E533" s="4">
        <v>42674.0</v>
      </c>
      <c r="F533" s="4">
        <v>42673.0</v>
      </c>
      <c r="G533" s="1">
        <v>2.0</v>
      </c>
      <c r="H533" s="1">
        <v>7.0</v>
      </c>
      <c r="I533" s="3" t="str">
        <f>VLOOKUP(B533,Customers!A:J, 10,FALSE)</f>
        <v>Zelda Pratt</v>
      </c>
      <c r="J533" s="3" t="str">
        <f>VLOOKUP(B533,Customers!A:J,8,FALSE)</f>
        <v>NY</v>
      </c>
      <c r="K533" s="3" t="str">
        <f>VLOOKUP(B533,Customers!A:J,7,FALSE)</f>
        <v>Lancaster</v>
      </c>
      <c r="L533" s="3" t="str">
        <f>VLOOKUP(H533,Staff!A:I,9,FALSE)</f>
        <v>Venita Daniel</v>
      </c>
      <c r="M533" s="3" t="str">
        <f>VLOOKUP(G533,Store!A:H,2,FALSE)</f>
        <v>Baldwin Bikes</v>
      </c>
      <c r="N533" s="3" t="str">
        <f>VLOOKUP(G533,Store!A:H,6,FALSE)</f>
        <v>Baldwin</v>
      </c>
      <c r="O533" s="3" t="s">
        <v>16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>
        <v>533.0</v>
      </c>
      <c r="B534" s="1">
        <v>1334.0</v>
      </c>
      <c r="C534" s="1">
        <v>4.0</v>
      </c>
      <c r="D534" s="4">
        <v>42672.0</v>
      </c>
      <c r="E534" s="4">
        <v>42675.0</v>
      </c>
      <c r="F534" s="4">
        <v>42675.0</v>
      </c>
      <c r="G534" s="1">
        <v>2.0</v>
      </c>
      <c r="H534" s="1">
        <v>6.0</v>
      </c>
      <c r="I534" s="3" t="str">
        <f>VLOOKUP(B534,Customers!A:J, 10,FALSE)</f>
        <v>Ashleigh Finch</v>
      </c>
      <c r="J534" s="3" t="str">
        <f>VLOOKUP(B534,Customers!A:J,8,FALSE)</f>
        <v>NY</v>
      </c>
      <c r="K534" s="3" t="str">
        <f>VLOOKUP(B534,Customers!A:J,7,FALSE)</f>
        <v>Newburgh</v>
      </c>
      <c r="L534" s="3" t="str">
        <f>VLOOKUP(H534,Staff!A:I,9,FALSE)</f>
        <v>Marcelene Boyer</v>
      </c>
      <c r="M534" s="3" t="str">
        <f>VLOOKUP(G534,Store!A:H,2,FALSE)</f>
        <v>Baldwin Bikes</v>
      </c>
      <c r="N534" s="3" t="str">
        <f>VLOOKUP(G534,Store!A:H,6,FALSE)</f>
        <v>Baldwin</v>
      </c>
      <c r="O534" s="3" t="s">
        <v>16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>
        <v>534.0</v>
      </c>
      <c r="B535" s="1">
        <v>1406.0</v>
      </c>
      <c r="C535" s="1">
        <v>4.0</v>
      </c>
      <c r="D535" s="4">
        <v>42672.0</v>
      </c>
      <c r="E535" s="4">
        <v>42673.0</v>
      </c>
      <c r="F535" s="4">
        <v>42674.0</v>
      </c>
      <c r="G535" s="1">
        <v>2.0</v>
      </c>
      <c r="H535" s="1">
        <v>7.0</v>
      </c>
      <c r="I535" s="3" t="str">
        <f>VLOOKUP(B535,Customers!A:J, 10,FALSE)</f>
        <v>Farrah Orr</v>
      </c>
      <c r="J535" s="3" t="str">
        <f>VLOOKUP(B535,Customers!A:J,8,FALSE)</f>
        <v>NY</v>
      </c>
      <c r="K535" s="3" t="str">
        <f>VLOOKUP(B535,Customers!A:J,7,FALSE)</f>
        <v>New Hyde Park</v>
      </c>
      <c r="L535" s="3" t="str">
        <f>VLOOKUP(H535,Staff!A:I,9,FALSE)</f>
        <v>Venita Daniel</v>
      </c>
      <c r="M535" s="3" t="str">
        <f>VLOOKUP(G535,Store!A:H,2,FALSE)</f>
        <v>Baldwin Bikes</v>
      </c>
      <c r="N535" s="3" t="str">
        <f>VLOOKUP(G535,Store!A:H,6,FALSE)</f>
        <v>Baldwin</v>
      </c>
      <c r="O535" s="3" t="s">
        <v>16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>
        <v>535.0</v>
      </c>
      <c r="B536" s="1">
        <v>835.0</v>
      </c>
      <c r="C536" s="1">
        <v>4.0</v>
      </c>
      <c r="D536" s="4">
        <v>42672.0</v>
      </c>
      <c r="E536" s="4">
        <v>42674.0</v>
      </c>
      <c r="F536" s="4">
        <v>42675.0</v>
      </c>
      <c r="G536" s="1">
        <v>3.0</v>
      </c>
      <c r="H536" s="1">
        <v>9.0</v>
      </c>
      <c r="I536" s="3" t="str">
        <f>VLOOKUP(B536,Customers!A:J, 10,FALSE)</f>
        <v>Roseanne Maynard</v>
      </c>
      <c r="J536" s="3" t="str">
        <f>VLOOKUP(B536,Customers!A:J,8,FALSE)</f>
        <v>TX</v>
      </c>
      <c r="K536" s="3" t="str">
        <f>VLOOKUP(B536,Customers!A:J,7,FALSE)</f>
        <v>Euless</v>
      </c>
      <c r="L536" s="3" t="str">
        <f>VLOOKUP(H536,Staff!A:I,9,FALSE)</f>
        <v>Layla Terrell</v>
      </c>
      <c r="M536" s="3" t="str">
        <f>VLOOKUP(G536,Store!A:H,2,FALSE)</f>
        <v>Rowlett Bikes</v>
      </c>
      <c r="N536" s="3" t="str">
        <f>VLOOKUP(G536,Store!A:H,6,FALSE)</f>
        <v>Rowlett</v>
      </c>
      <c r="O536" s="3" t="s">
        <v>17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>
        <v>536.0</v>
      </c>
      <c r="B537" s="1">
        <v>759.0</v>
      </c>
      <c r="C537" s="1">
        <v>4.0</v>
      </c>
      <c r="D537" s="4">
        <v>42674.0</v>
      </c>
      <c r="E537" s="4">
        <v>42676.0</v>
      </c>
      <c r="F537" s="4">
        <v>42675.0</v>
      </c>
      <c r="G537" s="1">
        <v>1.0</v>
      </c>
      <c r="H537" s="1">
        <v>3.0</v>
      </c>
      <c r="I537" s="3" t="str">
        <f>VLOOKUP(B537,Customers!A:J, 10,FALSE)</f>
        <v>Cira Downs</v>
      </c>
      <c r="J537" s="3" t="str">
        <f>VLOOKUP(B537,Customers!A:J,8,FALSE)</f>
        <v>CA</v>
      </c>
      <c r="K537" s="3" t="str">
        <f>VLOOKUP(B537,Customers!A:J,7,FALSE)</f>
        <v>Oakland</v>
      </c>
      <c r="L537" s="3" t="str">
        <f>VLOOKUP(H537,Staff!A:I,9,FALSE)</f>
        <v>Genna Serrano</v>
      </c>
      <c r="M537" s="3" t="str">
        <f>VLOOKUP(G537,Store!A:H,2,FALSE)</f>
        <v>Santa Cruz Bikes</v>
      </c>
      <c r="N537" s="3" t="str">
        <f>VLOOKUP(G537,Store!A:H,6,FALSE)</f>
        <v>Santa Cruz</v>
      </c>
      <c r="O537" s="3" t="s">
        <v>15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>
        <v>537.0</v>
      </c>
      <c r="B538" s="1">
        <v>1353.0</v>
      </c>
      <c r="C538" s="1">
        <v>4.0</v>
      </c>
      <c r="D538" s="4">
        <v>42674.0</v>
      </c>
      <c r="E538" s="4">
        <v>42675.0</v>
      </c>
      <c r="F538" s="4">
        <v>42677.0</v>
      </c>
      <c r="G538" s="1">
        <v>1.0</v>
      </c>
      <c r="H538" s="1">
        <v>2.0</v>
      </c>
      <c r="I538" s="3" t="str">
        <f>VLOOKUP(B538,Customers!A:J, 10,FALSE)</f>
        <v>Agatha Daniels</v>
      </c>
      <c r="J538" s="3" t="str">
        <f>VLOOKUP(B538,Customers!A:J,8,FALSE)</f>
        <v>CA</v>
      </c>
      <c r="K538" s="3" t="str">
        <f>VLOOKUP(B538,Customers!A:J,7,FALSE)</f>
        <v>South El Monte</v>
      </c>
      <c r="L538" s="3" t="str">
        <f>VLOOKUP(H538,Staff!A:I,9,FALSE)</f>
        <v>Mireya Copeland</v>
      </c>
      <c r="M538" s="3" t="str">
        <f>VLOOKUP(G538,Store!A:H,2,FALSE)</f>
        <v>Santa Cruz Bikes</v>
      </c>
      <c r="N538" s="3" t="str">
        <f>VLOOKUP(G538,Store!A:H,6,FALSE)</f>
        <v>Santa Cruz</v>
      </c>
      <c r="O538" s="3" t="s">
        <v>15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>
        <v>538.0</v>
      </c>
      <c r="B539" s="1">
        <v>341.0</v>
      </c>
      <c r="C539" s="1">
        <v>4.0</v>
      </c>
      <c r="D539" s="4">
        <v>42676.0</v>
      </c>
      <c r="E539" s="4">
        <v>42679.0</v>
      </c>
      <c r="F539" s="4">
        <v>42679.0</v>
      </c>
      <c r="G539" s="1">
        <v>2.0</v>
      </c>
      <c r="H539" s="1">
        <v>6.0</v>
      </c>
      <c r="I539" s="3" t="str">
        <f>VLOOKUP(B539,Customers!A:J, 10,FALSE)</f>
        <v>Delana Scott</v>
      </c>
      <c r="J539" s="3" t="str">
        <f>VLOOKUP(B539,Customers!A:J,8,FALSE)</f>
        <v>NY</v>
      </c>
      <c r="K539" s="3" t="str">
        <f>VLOOKUP(B539,Customers!A:J,7,FALSE)</f>
        <v>Mount Vernon</v>
      </c>
      <c r="L539" s="3" t="str">
        <f>VLOOKUP(H539,Staff!A:I,9,FALSE)</f>
        <v>Marcelene Boyer</v>
      </c>
      <c r="M539" s="3" t="str">
        <f>VLOOKUP(G539,Store!A:H,2,FALSE)</f>
        <v>Baldwin Bikes</v>
      </c>
      <c r="N539" s="3" t="str">
        <f>VLOOKUP(G539,Store!A:H,6,FALSE)</f>
        <v>Baldwin</v>
      </c>
      <c r="O539" s="3" t="s">
        <v>16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>
        <v>539.0</v>
      </c>
      <c r="B540" s="1">
        <v>1144.0</v>
      </c>
      <c r="C540" s="1">
        <v>4.0</v>
      </c>
      <c r="D540" s="4">
        <v>42676.0</v>
      </c>
      <c r="E540" s="4">
        <v>42678.0</v>
      </c>
      <c r="F540" s="4">
        <v>42677.0</v>
      </c>
      <c r="G540" s="1">
        <v>2.0</v>
      </c>
      <c r="H540" s="1">
        <v>7.0</v>
      </c>
      <c r="I540" s="3" t="str">
        <f>VLOOKUP(B540,Customers!A:J, 10,FALSE)</f>
        <v>Jewel Sparks</v>
      </c>
      <c r="J540" s="3" t="str">
        <f>VLOOKUP(B540,Customers!A:J,8,FALSE)</f>
        <v>NY</v>
      </c>
      <c r="K540" s="3" t="str">
        <f>VLOOKUP(B540,Customers!A:J,7,FALSE)</f>
        <v>Oakland Gardens</v>
      </c>
      <c r="L540" s="3" t="str">
        <f>VLOOKUP(H540,Staff!A:I,9,FALSE)</f>
        <v>Venita Daniel</v>
      </c>
      <c r="M540" s="3" t="str">
        <f>VLOOKUP(G540,Store!A:H,2,FALSE)</f>
        <v>Baldwin Bikes</v>
      </c>
      <c r="N540" s="3" t="str">
        <f>VLOOKUP(G540,Store!A:H,6,FALSE)</f>
        <v>Baldwin</v>
      </c>
      <c r="O540" s="3" t="s">
        <v>16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>
        <v>540.0</v>
      </c>
      <c r="B541" s="1">
        <v>1429.0</v>
      </c>
      <c r="C541" s="1">
        <v>4.0</v>
      </c>
      <c r="D541" s="4">
        <v>42677.0</v>
      </c>
      <c r="E541" s="4">
        <v>42679.0</v>
      </c>
      <c r="F541" s="4">
        <v>42680.0</v>
      </c>
      <c r="G541" s="1">
        <v>1.0</v>
      </c>
      <c r="H541" s="1">
        <v>3.0</v>
      </c>
      <c r="I541" s="3" t="str">
        <f>VLOOKUP(B541,Customers!A:J, 10,FALSE)</f>
        <v>Lorrie Justice</v>
      </c>
      <c r="J541" s="3" t="str">
        <f>VLOOKUP(B541,Customers!A:J,8,FALSE)</f>
        <v>CA</v>
      </c>
      <c r="K541" s="3" t="str">
        <f>VLOOKUP(B541,Customers!A:J,7,FALSE)</f>
        <v>Pomona</v>
      </c>
      <c r="L541" s="3" t="str">
        <f>VLOOKUP(H541,Staff!A:I,9,FALSE)</f>
        <v>Genna Serrano</v>
      </c>
      <c r="M541" s="3" t="str">
        <f>VLOOKUP(G541,Store!A:H,2,FALSE)</f>
        <v>Santa Cruz Bikes</v>
      </c>
      <c r="N541" s="3" t="str">
        <f>VLOOKUP(G541,Store!A:H,6,FALSE)</f>
        <v>Santa Cruz</v>
      </c>
      <c r="O541" s="3" t="s">
        <v>15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>
        <v>541.0</v>
      </c>
      <c r="B542" s="1">
        <v>1228.0</v>
      </c>
      <c r="C542" s="1">
        <v>4.0</v>
      </c>
      <c r="D542" s="4">
        <v>42678.0</v>
      </c>
      <c r="E542" s="4">
        <v>42681.0</v>
      </c>
      <c r="F542" s="4">
        <v>42681.0</v>
      </c>
      <c r="G542" s="1">
        <v>1.0</v>
      </c>
      <c r="H542" s="1">
        <v>3.0</v>
      </c>
      <c r="I542" s="3" t="str">
        <f>VLOOKUP(B542,Customers!A:J, 10,FALSE)</f>
        <v>Zulema Clemons</v>
      </c>
      <c r="J542" s="3" t="str">
        <f>VLOOKUP(B542,Customers!A:J,8,FALSE)</f>
        <v>CA</v>
      </c>
      <c r="K542" s="3" t="str">
        <f>VLOOKUP(B542,Customers!A:J,7,FALSE)</f>
        <v>Oakland</v>
      </c>
      <c r="L542" s="3" t="str">
        <f>VLOOKUP(H542,Staff!A:I,9,FALSE)</f>
        <v>Genna Serrano</v>
      </c>
      <c r="M542" s="3" t="str">
        <f>VLOOKUP(G542,Store!A:H,2,FALSE)</f>
        <v>Santa Cruz Bikes</v>
      </c>
      <c r="N542" s="3" t="str">
        <f>VLOOKUP(G542,Store!A:H,6,FALSE)</f>
        <v>Santa Cruz</v>
      </c>
      <c r="O542" s="3" t="s">
        <v>15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>
        <v>542.0</v>
      </c>
      <c r="B543" s="1">
        <v>313.0</v>
      </c>
      <c r="C543" s="1">
        <v>4.0</v>
      </c>
      <c r="D543" s="4">
        <v>42678.0</v>
      </c>
      <c r="E543" s="4">
        <v>42680.0</v>
      </c>
      <c r="F543" s="4">
        <v>42679.0</v>
      </c>
      <c r="G543" s="1">
        <v>2.0</v>
      </c>
      <c r="H543" s="1">
        <v>7.0</v>
      </c>
      <c r="I543" s="3" t="str">
        <f>VLOOKUP(B543,Customers!A:J, 10,FALSE)</f>
        <v>Melani Jarvis</v>
      </c>
      <c r="J543" s="3" t="str">
        <f>VLOOKUP(B543,Customers!A:J,8,FALSE)</f>
        <v>NY</v>
      </c>
      <c r="K543" s="3" t="str">
        <f>VLOOKUP(B543,Customers!A:J,7,FALSE)</f>
        <v>Maspeth</v>
      </c>
      <c r="L543" s="3" t="str">
        <f>VLOOKUP(H543,Staff!A:I,9,FALSE)</f>
        <v>Venita Daniel</v>
      </c>
      <c r="M543" s="3" t="str">
        <f>VLOOKUP(G543,Store!A:H,2,FALSE)</f>
        <v>Baldwin Bikes</v>
      </c>
      <c r="N543" s="3" t="str">
        <f>VLOOKUP(G543,Store!A:H,6,FALSE)</f>
        <v>Baldwin</v>
      </c>
      <c r="O543" s="3" t="s">
        <v>16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>
        <v>543.0</v>
      </c>
      <c r="B544" s="1">
        <v>62.0</v>
      </c>
      <c r="C544" s="1">
        <v>4.0</v>
      </c>
      <c r="D544" s="4">
        <v>42680.0</v>
      </c>
      <c r="E544" s="4">
        <v>42683.0</v>
      </c>
      <c r="F544" s="4">
        <v>42682.0</v>
      </c>
      <c r="G544" s="1">
        <v>2.0</v>
      </c>
      <c r="H544" s="1">
        <v>6.0</v>
      </c>
      <c r="I544" s="3" t="str">
        <f>VLOOKUP(B544,Customers!A:J, 10,FALSE)</f>
        <v>Alica Hunter</v>
      </c>
      <c r="J544" s="3" t="str">
        <f>VLOOKUP(B544,Customers!A:J,8,FALSE)</f>
        <v>NY</v>
      </c>
      <c r="K544" s="3" t="str">
        <f>VLOOKUP(B544,Customers!A:J,7,FALSE)</f>
        <v>East Elmhurst</v>
      </c>
      <c r="L544" s="3" t="str">
        <f>VLOOKUP(H544,Staff!A:I,9,FALSE)</f>
        <v>Marcelene Boyer</v>
      </c>
      <c r="M544" s="3" t="str">
        <f>VLOOKUP(G544,Store!A:H,2,FALSE)</f>
        <v>Baldwin Bikes</v>
      </c>
      <c r="N544" s="3" t="str">
        <f>VLOOKUP(G544,Store!A:H,6,FALSE)</f>
        <v>Baldwin</v>
      </c>
      <c r="O544" s="3" t="s">
        <v>16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>
        <v>544.0</v>
      </c>
      <c r="B545" s="1">
        <v>321.0</v>
      </c>
      <c r="C545" s="1">
        <v>4.0</v>
      </c>
      <c r="D545" s="4">
        <v>42680.0</v>
      </c>
      <c r="E545" s="4">
        <v>42681.0</v>
      </c>
      <c r="F545" s="4">
        <v>42682.0</v>
      </c>
      <c r="G545" s="1">
        <v>2.0</v>
      </c>
      <c r="H545" s="1">
        <v>7.0</v>
      </c>
      <c r="I545" s="3" t="str">
        <f>VLOOKUP(B545,Customers!A:J, 10,FALSE)</f>
        <v>Chere Hardin</v>
      </c>
      <c r="J545" s="3" t="str">
        <f>VLOOKUP(B545,Customers!A:J,8,FALSE)</f>
        <v>NY</v>
      </c>
      <c r="K545" s="3" t="str">
        <f>VLOOKUP(B545,Customers!A:J,7,FALSE)</f>
        <v>Brooklyn</v>
      </c>
      <c r="L545" s="3" t="str">
        <f>VLOOKUP(H545,Staff!A:I,9,FALSE)</f>
        <v>Venita Daniel</v>
      </c>
      <c r="M545" s="3" t="str">
        <f>VLOOKUP(G545,Store!A:H,2,FALSE)</f>
        <v>Baldwin Bikes</v>
      </c>
      <c r="N545" s="3" t="str">
        <f>VLOOKUP(G545,Store!A:H,6,FALSE)</f>
        <v>Baldwin</v>
      </c>
      <c r="O545" s="3" t="s">
        <v>16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>
        <v>545.0</v>
      </c>
      <c r="B546" s="1">
        <v>1108.0</v>
      </c>
      <c r="C546" s="1">
        <v>4.0</v>
      </c>
      <c r="D546" s="4">
        <v>42682.0</v>
      </c>
      <c r="E546" s="4">
        <v>42684.0</v>
      </c>
      <c r="F546" s="4">
        <v>42683.0</v>
      </c>
      <c r="G546" s="1">
        <v>3.0</v>
      </c>
      <c r="H546" s="1">
        <v>9.0</v>
      </c>
      <c r="I546" s="3" t="str">
        <f>VLOOKUP(B546,Customers!A:J, 10,FALSE)</f>
        <v>Bao Wade</v>
      </c>
      <c r="J546" s="3" t="str">
        <f>VLOOKUP(B546,Customers!A:J,8,FALSE)</f>
        <v>TX</v>
      </c>
      <c r="K546" s="3" t="str">
        <f>VLOOKUP(B546,Customers!A:J,7,FALSE)</f>
        <v>Desoto</v>
      </c>
      <c r="L546" s="3" t="str">
        <f>VLOOKUP(H546,Staff!A:I,9,FALSE)</f>
        <v>Layla Terrell</v>
      </c>
      <c r="M546" s="3" t="str">
        <f>VLOOKUP(G546,Store!A:H,2,FALSE)</f>
        <v>Rowlett Bikes</v>
      </c>
      <c r="N546" s="3" t="str">
        <f>VLOOKUP(G546,Store!A:H,6,FALSE)</f>
        <v>Rowlett</v>
      </c>
      <c r="O546" s="3" t="s">
        <v>17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>
        <v>546.0</v>
      </c>
      <c r="B547" s="1">
        <v>470.0</v>
      </c>
      <c r="C547" s="1">
        <v>4.0</v>
      </c>
      <c r="D547" s="4">
        <v>42683.0</v>
      </c>
      <c r="E547" s="4">
        <v>42686.0</v>
      </c>
      <c r="F547" s="4">
        <v>42684.0</v>
      </c>
      <c r="G547" s="1">
        <v>2.0</v>
      </c>
      <c r="H547" s="1">
        <v>7.0</v>
      </c>
      <c r="I547" s="3" t="str">
        <f>VLOOKUP(B547,Customers!A:J, 10,FALSE)</f>
        <v>Loise Walker</v>
      </c>
      <c r="J547" s="3" t="str">
        <f>VLOOKUP(B547,Customers!A:J,8,FALSE)</f>
        <v>NY</v>
      </c>
      <c r="K547" s="3" t="str">
        <f>VLOOKUP(B547,Customers!A:J,7,FALSE)</f>
        <v>Shirley</v>
      </c>
      <c r="L547" s="3" t="str">
        <f>VLOOKUP(H547,Staff!A:I,9,FALSE)</f>
        <v>Venita Daniel</v>
      </c>
      <c r="M547" s="3" t="str">
        <f>VLOOKUP(G547,Store!A:H,2,FALSE)</f>
        <v>Baldwin Bikes</v>
      </c>
      <c r="N547" s="3" t="str">
        <f>VLOOKUP(G547,Store!A:H,6,FALSE)</f>
        <v>Baldwin</v>
      </c>
      <c r="O547" s="3" t="s">
        <v>16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>
        <v>547.0</v>
      </c>
      <c r="B548" s="1">
        <v>20.0</v>
      </c>
      <c r="C548" s="1">
        <v>4.0</v>
      </c>
      <c r="D548" s="4">
        <v>42683.0</v>
      </c>
      <c r="E548" s="4">
        <v>42685.0</v>
      </c>
      <c r="F548" s="4">
        <v>42684.0</v>
      </c>
      <c r="G548" s="1">
        <v>3.0</v>
      </c>
      <c r="H548" s="1">
        <v>8.0</v>
      </c>
      <c r="I548" s="3" t="str">
        <f>VLOOKUP(B548,Customers!A:J, 10,FALSE)</f>
        <v>Aleta Shepard</v>
      </c>
      <c r="J548" s="3" t="str">
        <f>VLOOKUP(B548,Customers!A:J,8,FALSE)</f>
        <v>TX</v>
      </c>
      <c r="K548" s="3" t="str">
        <f>VLOOKUP(B548,Customers!A:J,7,FALSE)</f>
        <v>Sugar Land</v>
      </c>
      <c r="L548" s="3" t="str">
        <f>VLOOKUP(H548,Staff!A:I,9,FALSE)</f>
        <v>Kali Vargas</v>
      </c>
      <c r="M548" s="3" t="str">
        <f>VLOOKUP(G548,Store!A:H,2,FALSE)</f>
        <v>Rowlett Bikes</v>
      </c>
      <c r="N548" s="3" t="str">
        <f>VLOOKUP(G548,Store!A:H,6,FALSE)</f>
        <v>Rowlett</v>
      </c>
      <c r="O548" s="3" t="s">
        <v>17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>
        <v>548.0</v>
      </c>
      <c r="B549" s="1">
        <v>739.0</v>
      </c>
      <c r="C549" s="1">
        <v>4.0</v>
      </c>
      <c r="D549" s="4">
        <v>42685.0</v>
      </c>
      <c r="E549" s="4">
        <v>42687.0</v>
      </c>
      <c r="F549" s="4">
        <v>42687.0</v>
      </c>
      <c r="G549" s="1">
        <v>2.0</v>
      </c>
      <c r="H549" s="1">
        <v>7.0</v>
      </c>
      <c r="I549" s="3" t="str">
        <f>VLOOKUP(B549,Customers!A:J, 10,FALSE)</f>
        <v>Bobbi Banks</v>
      </c>
      <c r="J549" s="3" t="str">
        <f>VLOOKUP(B549,Customers!A:J,8,FALSE)</f>
        <v>NY</v>
      </c>
      <c r="K549" s="3" t="str">
        <f>VLOOKUP(B549,Customers!A:J,7,FALSE)</f>
        <v>Bayside</v>
      </c>
      <c r="L549" s="3" t="str">
        <f>VLOOKUP(H549,Staff!A:I,9,FALSE)</f>
        <v>Venita Daniel</v>
      </c>
      <c r="M549" s="3" t="str">
        <f>VLOOKUP(G549,Store!A:H,2,FALSE)</f>
        <v>Baldwin Bikes</v>
      </c>
      <c r="N549" s="3" t="str">
        <f>VLOOKUP(G549,Store!A:H,6,FALSE)</f>
        <v>Baldwin</v>
      </c>
      <c r="O549" s="3" t="s">
        <v>16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>
        <v>549.0</v>
      </c>
      <c r="B550" s="1">
        <v>64.0</v>
      </c>
      <c r="C550" s="1">
        <v>3.0</v>
      </c>
      <c r="D550" s="4">
        <v>42686.0</v>
      </c>
      <c r="E550" s="4">
        <v>42686.0</v>
      </c>
      <c r="F550" s="1" t="s">
        <v>18</v>
      </c>
      <c r="G550" s="1">
        <v>3.0</v>
      </c>
      <c r="H550" s="1">
        <v>9.0</v>
      </c>
      <c r="I550" s="3" t="str">
        <f>VLOOKUP(B550,Customers!A:J, 10,FALSE)</f>
        <v>Bobbie Foster</v>
      </c>
      <c r="J550" s="3" t="str">
        <f>VLOOKUP(B550,Customers!A:J,8,FALSE)</f>
        <v>TX</v>
      </c>
      <c r="K550" s="3" t="str">
        <f>VLOOKUP(B550,Customers!A:J,7,FALSE)</f>
        <v>Desoto</v>
      </c>
      <c r="L550" s="3" t="str">
        <f>VLOOKUP(H550,Staff!A:I,9,FALSE)</f>
        <v>Layla Terrell</v>
      </c>
      <c r="M550" s="3" t="str">
        <f>VLOOKUP(G550,Store!A:H,2,FALSE)</f>
        <v>Rowlett Bikes</v>
      </c>
      <c r="N550" s="3" t="str">
        <f>VLOOKUP(G550,Store!A:H,6,FALSE)</f>
        <v>Rowlett</v>
      </c>
      <c r="O550" s="3" t="s">
        <v>17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>
        <v>550.0</v>
      </c>
      <c r="B551" s="1">
        <v>892.0</v>
      </c>
      <c r="C551" s="1">
        <v>4.0</v>
      </c>
      <c r="D551" s="4">
        <v>42686.0</v>
      </c>
      <c r="E551" s="4">
        <v>42688.0</v>
      </c>
      <c r="F551" s="4">
        <v>42689.0</v>
      </c>
      <c r="G551" s="1">
        <v>2.0</v>
      </c>
      <c r="H551" s="1">
        <v>7.0</v>
      </c>
      <c r="I551" s="3" t="str">
        <f>VLOOKUP(B551,Customers!A:J, 10,FALSE)</f>
        <v>Alissa Craft</v>
      </c>
      <c r="J551" s="3" t="str">
        <f>VLOOKUP(B551,Customers!A:J,8,FALSE)</f>
        <v>NY</v>
      </c>
      <c r="K551" s="3" t="str">
        <f>VLOOKUP(B551,Customers!A:J,7,FALSE)</f>
        <v>Ossining</v>
      </c>
      <c r="L551" s="3" t="str">
        <f>VLOOKUP(H551,Staff!A:I,9,FALSE)</f>
        <v>Venita Daniel</v>
      </c>
      <c r="M551" s="3" t="str">
        <f>VLOOKUP(G551,Store!A:H,2,FALSE)</f>
        <v>Baldwin Bikes</v>
      </c>
      <c r="N551" s="3" t="str">
        <f>VLOOKUP(G551,Store!A:H,6,FALSE)</f>
        <v>Baldwin</v>
      </c>
      <c r="O551" s="3" t="s">
        <v>16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>
        <v>551.0</v>
      </c>
      <c r="B552" s="1">
        <v>1169.0</v>
      </c>
      <c r="C552" s="1">
        <v>4.0</v>
      </c>
      <c r="D552" s="4">
        <v>42686.0</v>
      </c>
      <c r="E552" s="4">
        <v>42687.0</v>
      </c>
      <c r="F552" s="4">
        <v>42687.0</v>
      </c>
      <c r="G552" s="1">
        <v>2.0</v>
      </c>
      <c r="H552" s="1">
        <v>6.0</v>
      </c>
      <c r="I552" s="3" t="str">
        <f>VLOOKUP(B552,Customers!A:J, 10,FALSE)</f>
        <v>Beatris Joyner</v>
      </c>
      <c r="J552" s="3" t="str">
        <f>VLOOKUP(B552,Customers!A:J,8,FALSE)</f>
        <v>NY</v>
      </c>
      <c r="K552" s="3" t="str">
        <f>VLOOKUP(B552,Customers!A:J,7,FALSE)</f>
        <v>Spring Valley</v>
      </c>
      <c r="L552" s="3" t="str">
        <f>VLOOKUP(H552,Staff!A:I,9,FALSE)</f>
        <v>Marcelene Boyer</v>
      </c>
      <c r="M552" s="3" t="str">
        <f>VLOOKUP(G552,Store!A:H,2,FALSE)</f>
        <v>Baldwin Bikes</v>
      </c>
      <c r="N552" s="3" t="str">
        <f>VLOOKUP(G552,Store!A:H,6,FALSE)</f>
        <v>Baldwin</v>
      </c>
      <c r="O552" s="3" t="s">
        <v>16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>
        <v>552.0</v>
      </c>
      <c r="B553" s="1">
        <v>1282.0</v>
      </c>
      <c r="C553" s="1">
        <v>4.0</v>
      </c>
      <c r="D553" s="4">
        <v>42686.0</v>
      </c>
      <c r="E553" s="4">
        <v>42689.0</v>
      </c>
      <c r="F553" s="4">
        <v>42687.0</v>
      </c>
      <c r="G553" s="1">
        <v>2.0</v>
      </c>
      <c r="H553" s="1">
        <v>7.0</v>
      </c>
      <c r="I553" s="3" t="str">
        <f>VLOOKUP(B553,Customers!A:J, 10,FALSE)</f>
        <v>Alexis Mack</v>
      </c>
      <c r="J553" s="3" t="str">
        <f>VLOOKUP(B553,Customers!A:J,8,FALSE)</f>
        <v>NY</v>
      </c>
      <c r="K553" s="3" t="str">
        <f>VLOOKUP(B553,Customers!A:J,7,FALSE)</f>
        <v>New City</v>
      </c>
      <c r="L553" s="3" t="str">
        <f>VLOOKUP(H553,Staff!A:I,9,FALSE)</f>
        <v>Venita Daniel</v>
      </c>
      <c r="M553" s="3" t="str">
        <f>VLOOKUP(G553,Store!A:H,2,FALSE)</f>
        <v>Baldwin Bikes</v>
      </c>
      <c r="N553" s="3" t="str">
        <f>VLOOKUP(G553,Store!A:H,6,FALSE)</f>
        <v>Baldwin</v>
      </c>
      <c r="O553" s="3" t="s">
        <v>16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>
        <v>553.0</v>
      </c>
      <c r="B554" s="1">
        <v>913.0</v>
      </c>
      <c r="C554" s="1">
        <v>4.0</v>
      </c>
      <c r="D554" s="4">
        <v>42686.0</v>
      </c>
      <c r="E554" s="4">
        <v>42687.0</v>
      </c>
      <c r="F554" s="4">
        <v>42689.0</v>
      </c>
      <c r="G554" s="1">
        <v>3.0</v>
      </c>
      <c r="H554" s="1">
        <v>9.0</v>
      </c>
      <c r="I554" s="3" t="str">
        <f>VLOOKUP(B554,Customers!A:J, 10,FALSE)</f>
        <v>Liliana Kerr</v>
      </c>
      <c r="J554" s="3" t="str">
        <f>VLOOKUP(B554,Customers!A:J,8,FALSE)</f>
        <v>TX</v>
      </c>
      <c r="K554" s="3" t="str">
        <f>VLOOKUP(B554,Customers!A:J,7,FALSE)</f>
        <v>Desoto</v>
      </c>
      <c r="L554" s="3" t="str">
        <f>VLOOKUP(H554,Staff!A:I,9,FALSE)</f>
        <v>Layla Terrell</v>
      </c>
      <c r="M554" s="3" t="str">
        <f>VLOOKUP(G554,Store!A:H,2,FALSE)</f>
        <v>Rowlett Bikes</v>
      </c>
      <c r="N554" s="3" t="str">
        <f>VLOOKUP(G554,Store!A:H,6,FALSE)</f>
        <v>Rowlett</v>
      </c>
      <c r="O554" s="3" t="s">
        <v>17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>
        <v>554.0</v>
      </c>
      <c r="B555" s="1">
        <v>104.0</v>
      </c>
      <c r="C555" s="1">
        <v>4.0</v>
      </c>
      <c r="D555" s="4">
        <v>42687.0</v>
      </c>
      <c r="E555" s="4">
        <v>42688.0</v>
      </c>
      <c r="F555" s="4">
        <v>42690.0</v>
      </c>
      <c r="G555" s="1">
        <v>1.0</v>
      </c>
      <c r="H555" s="1">
        <v>3.0</v>
      </c>
      <c r="I555" s="3" t="str">
        <f>VLOOKUP(B555,Customers!A:J, 10,FALSE)</f>
        <v>Katharina Bates</v>
      </c>
      <c r="J555" s="3" t="str">
        <f>VLOOKUP(B555,Customers!A:J,8,FALSE)</f>
        <v>CA</v>
      </c>
      <c r="K555" s="3" t="str">
        <f>VLOOKUP(B555,Customers!A:J,7,FALSE)</f>
        <v>Campbell</v>
      </c>
      <c r="L555" s="3" t="str">
        <f>VLOOKUP(H555,Staff!A:I,9,FALSE)</f>
        <v>Genna Serrano</v>
      </c>
      <c r="M555" s="3" t="str">
        <f>VLOOKUP(G555,Store!A:H,2,FALSE)</f>
        <v>Santa Cruz Bikes</v>
      </c>
      <c r="N555" s="3" t="str">
        <f>VLOOKUP(G555,Store!A:H,6,FALSE)</f>
        <v>Santa Cruz</v>
      </c>
      <c r="O555" s="3" t="s">
        <v>15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>
        <v>555.0</v>
      </c>
      <c r="B556" s="1">
        <v>212.0</v>
      </c>
      <c r="C556" s="1">
        <v>4.0</v>
      </c>
      <c r="D556" s="4">
        <v>42687.0</v>
      </c>
      <c r="E556" s="4">
        <v>42688.0</v>
      </c>
      <c r="F556" s="4">
        <v>42690.0</v>
      </c>
      <c r="G556" s="1">
        <v>2.0</v>
      </c>
      <c r="H556" s="1">
        <v>7.0</v>
      </c>
      <c r="I556" s="3" t="str">
        <f>VLOOKUP(B556,Customers!A:J, 10,FALSE)</f>
        <v>Buford Bridges</v>
      </c>
      <c r="J556" s="3" t="str">
        <f>VLOOKUP(B556,Customers!A:J,8,FALSE)</f>
        <v>NY</v>
      </c>
      <c r="K556" s="3" t="str">
        <f>VLOOKUP(B556,Customers!A:J,7,FALSE)</f>
        <v>Troy</v>
      </c>
      <c r="L556" s="3" t="str">
        <f>VLOOKUP(H556,Staff!A:I,9,FALSE)</f>
        <v>Venita Daniel</v>
      </c>
      <c r="M556" s="3" t="str">
        <f>VLOOKUP(G556,Store!A:H,2,FALSE)</f>
        <v>Baldwin Bikes</v>
      </c>
      <c r="N556" s="3" t="str">
        <f>VLOOKUP(G556,Store!A:H,6,FALSE)</f>
        <v>Baldwin</v>
      </c>
      <c r="O556" s="3" t="s">
        <v>16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>
        <v>556.0</v>
      </c>
      <c r="B557" s="1">
        <v>61.0</v>
      </c>
      <c r="C557" s="1">
        <v>4.0</v>
      </c>
      <c r="D557" s="4">
        <v>42687.0</v>
      </c>
      <c r="E557" s="4">
        <v>42688.0</v>
      </c>
      <c r="F557" s="4">
        <v>42689.0</v>
      </c>
      <c r="G557" s="1">
        <v>3.0</v>
      </c>
      <c r="H557" s="1">
        <v>9.0</v>
      </c>
      <c r="I557" s="3" t="str">
        <f>VLOOKUP(B557,Customers!A:J, 10,FALSE)</f>
        <v>Elinore Aguilar</v>
      </c>
      <c r="J557" s="3" t="str">
        <f>VLOOKUP(B557,Customers!A:J,8,FALSE)</f>
        <v>TX</v>
      </c>
      <c r="K557" s="3" t="str">
        <f>VLOOKUP(B557,Customers!A:J,7,FALSE)</f>
        <v>San Angelo</v>
      </c>
      <c r="L557" s="3" t="str">
        <f>VLOOKUP(H557,Staff!A:I,9,FALSE)</f>
        <v>Layla Terrell</v>
      </c>
      <c r="M557" s="3" t="str">
        <f>VLOOKUP(G557,Store!A:H,2,FALSE)</f>
        <v>Rowlett Bikes</v>
      </c>
      <c r="N557" s="3" t="str">
        <f>VLOOKUP(G557,Store!A:H,6,FALSE)</f>
        <v>Rowlett</v>
      </c>
      <c r="O557" s="3" t="s">
        <v>17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>
        <v>557.0</v>
      </c>
      <c r="B558" s="1">
        <v>1248.0</v>
      </c>
      <c r="C558" s="1">
        <v>4.0</v>
      </c>
      <c r="D558" s="4">
        <v>42688.0</v>
      </c>
      <c r="E558" s="4">
        <v>42691.0</v>
      </c>
      <c r="F558" s="4">
        <v>42689.0</v>
      </c>
      <c r="G558" s="1">
        <v>2.0</v>
      </c>
      <c r="H558" s="1">
        <v>6.0</v>
      </c>
      <c r="I558" s="3" t="str">
        <f>VLOOKUP(B558,Customers!A:J, 10,FALSE)</f>
        <v>Bethany Herring</v>
      </c>
      <c r="J558" s="3" t="str">
        <f>VLOOKUP(B558,Customers!A:J,8,FALSE)</f>
        <v>NY</v>
      </c>
      <c r="K558" s="3" t="str">
        <f>VLOOKUP(B558,Customers!A:J,7,FALSE)</f>
        <v>Port Jefferson Station</v>
      </c>
      <c r="L558" s="3" t="str">
        <f>VLOOKUP(H558,Staff!A:I,9,FALSE)</f>
        <v>Marcelene Boyer</v>
      </c>
      <c r="M558" s="3" t="str">
        <f>VLOOKUP(G558,Store!A:H,2,FALSE)</f>
        <v>Baldwin Bikes</v>
      </c>
      <c r="N558" s="3" t="str">
        <f>VLOOKUP(G558,Store!A:H,6,FALSE)</f>
        <v>Baldwin</v>
      </c>
      <c r="O558" s="3" t="s">
        <v>16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>
        <v>558.0</v>
      </c>
      <c r="B559" s="1">
        <v>1443.0</v>
      </c>
      <c r="C559" s="1">
        <v>4.0</v>
      </c>
      <c r="D559" s="4">
        <v>42689.0</v>
      </c>
      <c r="E559" s="4">
        <v>42690.0</v>
      </c>
      <c r="F559" s="4">
        <v>42691.0</v>
      </c>
      <c r="G559" s="1">
        <v>2.0</v>
      </c>
      <c r="H559" s="1">
        <v>7.0</v>
      </c>
      <c r="I559" s="3" t="str">
        <f>VLOOKUP(B559,Customers!A:J, 10,FALSE)</f>
        <v>Lezlie Lamb</v>
      </c>
      <c r="J559" s="3" t="str">
        <f>VLOOKUP(B559,Customers!A:J,8,FALSE)</f>
        <v>NY</v>
      </c>
      <c r="K559" s="3" t="str">
        <f>VLOOKUP(B559,Customers!A:J,7,FALSE)</f>
        <v>Central Islip</v>
      </c>
      <c r="L559" s="3" t="str">
        <f>VLOOKUP(H559,Staff!A:I,9,FALSE)</f>
        <v>Venita Daniel</v>
      </c>
      <c r="M559" s="3" t="str">
        <f>VLOOKUP(G559,Store!A:H,2,FALSE)</f>
        <v>Baldwin Bikes</v>
      </c>
      <c r="N559" s="3" t="str">
        <f>VLOOKUP(G559,Store!A:H,6,FALSE)</f>
        <v>Baldwin</v>
      </c>
      <c r="O559" s="3" t="s">
        <v>16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>
        <v>559.0</v>
      </c>
      <c r="B560" s="1">
        <v>959.0</v>
      </c>
      <c r="C560" s="1">
        <v>4.0</v>
      </c>
      <c r="D560" s="4">
        <v>42690.0</v>
      </c>
      <c r="E560" s="4">
        <v>42691.0</v>
      </c>
      <c r="F560" s="4">
        <v>42691.0</v>
      </c>
      <c r="G560" s="1">
        <v>1.0</v>
      </c>
      <c r="H560" s="1">
        <v>2.0</v>
      </c>
      <c r="I560" s="3" t="str">
        <f>VLOOKUP(B560,Customers!A:J, 10,FALSE)</f>
        <v>Christel Barber</v>
      </c>
      <c r="J560" s="3" t="str">
        <f>VLOOKUP(B560,Customers!A:J,8,FALSE)</f>
        <v>CA</v>
      </c>
      <c r="K560" s="3" t="str">
        <f>VLOOKUP(B560,Customers!A:J,7,FALSE)</f>
        <v>Sacramento</v>
      </c>
      <c r="L560" s="3" t="str">
        <f>VLOOKUP(H560,Staff!A:I,9,FALSE)</f>
        <v>Mireya Copeland</v>
      </c>
      <c r="M560" s="3" t="str">
        <f>VLOOKUP(G560,Store!A:H,2,FALSE)</f>
        <v>Santa Cruz Bikes</v>
      </c>
      <c r="N560" s="3" t="str">
        <f>VLOOKUP(G560,Store!A:H,6,FALSE)</f>
        <v>Santa Cruz</v>
      </c>
      <c r="O560" s="3" t="s">
        <v>15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>
        <v>560.0</v>
      </c>
      <c r="B561" s="1">
        <v>1405.0</v>
      </c>
      <c r="C561" s="1">
        <v>4.0</v>
      </c>
      <c r="D561" s="4">
        <v>42692.0</v>
      </c>
      <c r="E561" s="4">
        <v>42693.0</v>
      </c>
      <c r="F561" s="4">
        <v>42695.0</v>
      </c>
      <c r="G561" s="1">
        <v>2.0</v>
      </c>
      <c r="H561" s="1">
        <v>6.0</v>
      </c>
      <c r="I561" s="3" t="str">
        <f>VLOOKUP(B561,Customers!A:J, 10,FALSE)</f>
        <v>Thanh Figueroa</v>
      </c>
      <c r="J561" s="3" t="str">
        <f>VLOOKUP(B561,Customers!A:J,8,FALSE)</f>
        <v>NY</v>
      </c>
      <c r="K561" s="3" t="str">
        <f>VLOOKUP(B561,Customers!A:J,7,FALSE)</f>
        <v>Mount Vernon</v>
      </c>
      <c r="L561" s="3" t="str">
        <f>VLOOKUP(H561,Staff!A:I,9,FALSE)</f>
        <v>Marcelene Boyer</v>
      </c>
      <c r="M561" s="3" t="str">
        <f>VLOOKUP(G561,Store!A:H,2,FALSE)</f>
        <v>Baldwin Bikes</v>
      </c>
      <c r="N561" s="3" t="str">
        <f>VLOOKUP(G561,Store!A:H,6,FALSE)</f>
        <v>Baldwin</v>
      </c>
      <c r="O561" s="3" t="s">
        <v>16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>
        <v>561.0</v>
      </c>
      <c r="B562" s="1">
        <v>90.0</v>
      </c>
      <c r="C562" s="1">
        <v>4.0</v>
      </c>
      <c r="D562" s="4">
        <v>42693.0</v>
      </c>
      <c r="E562" s="4">
        <v>42696.0</v>
      </c>
      <c r="F562" s="4">
        <v>42696.0</v>
      </c>
      <c r="G562" s="1">
        <v>2.0</v>
      </c>
      <c r="H562" s="1">
        <v>6.0</v>
      </c>
      <c r="I562" s="3" t="str">
        <f>VLOOKUP(B562,Customers!A:J, 10,FALSE)</f>
        <v>Marjorie Logan</v>
      </c>
      <c r="J562" s="3" t="str">
        <f>VLOOKUP(B562,Customers!A:J,8,FALSE)</f>
        <v>NY</v>
      </c>
      <c r="K562" s="3" t="str">
        <f>VLOOKUP(B562,Customers!A:J,7,FALSE)</f>
        <v>Franklin Square</v>
      </c>
      <c r="L562" s="3" t="str">
        <f>VLOOKUP(H562,Staff!A:I,9,FALSE)</f>
        <v>Marcelene Boyer</v>
      </c>
      <c r="M562" s="3" t="str">
        <f>VLOOKUP(G562,Store!A:H,2,FALSE)</f>
        <v>Baldwin Bikes</v>
      </c>
      <c r="N562" s="3" t="str">
        <f>VLOOKUP(G562,Store!A:H,6,FALSE)</f>
        <v>Baldwin</v>
      </c>
      <c r="O562" s="3" t="s">
        <v>16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>
        <v>562.0</v>
      </c>
      <c r="B563" s="1">
        <v>942.0</v>
      </c>
      <c r="C563" s="1">
        <v>4.0</v>
      </c>
      <c r="D563" s="4">
        <v>42693.0</v>
      </c>
      <c r="E563" s="4">
        <v>42694.0</v>
      </c>
      <c r="F563" s="4">
        <v>42696.0</v>
      </c>
      <c r="G563" s="1">
        <v>2.0</v>
      </c>
      <c r="H563" s="1">
        <v>7.0</v>
      </c>
      <c r="I563" s="3" t="str">
        <f>VLOOKUP(B563,Customers!A:J, 10,FALSE)</f>
        <v>Davis Long</v>
      </c>
      <c r="J563" s="3" t="str">
        <f>VLOOKUP(B563,Customers!A:J,8,FALSE)</f>
        <v>NY</v>
      </c>
      <c r="K563" s="3" t="str">
        <f>VLOOKUP(B563,Customers!A:J,7,FALSE)</f>
        <v>Lancaster</v>
      </c>
      <c r="L563" s="3" t="str">
        <f>VLOOKUP(H563,Staff!A:I,9,FALSE)</f>
        <v>Venita Daniel</v>
      </c>
      <c r="M563" s="3" t="str">
        <f>VLOOKUP(G563,Store!A:H,2,FALSE)</f>
        <v>Baldwin Bikes</v>
      </c>
      <c r="N563" s="3" t="str">
        <f>VLOOKUP(G563,Store!A:H,6,FALSE)</f>
        <v>Baldwin</v>
      </c>
      <c r="O563" s="3" t="s">
        <v>16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>
        <v>563.0</v>
      </c>
      <c r="B564" s="1">
        <v>365.0</v>
      </c>
      <c r="C564" s="1">
        <v>4.0</v>
      </c>
      <c r="D564" s="4">
        <v>42694.0</v>
      </c>
      <c r="E564" s="4">
        <v>42696.0</v>
      </c>
      <c r="F564" s="4">
        <v>42695.0</v>
      </c>
      <c r="G564" s="1">
        <v>2.0</v>
      </c>
      <c r="H564" s="1">
        <v>6.0</v>
      </c>
      <c r="I564" s="3" t="str">
        <f>VLOOKUP(B564,Customers!A:J, 10,FALSE)</f>
        <v>Rodger Rojas</v>
      </c>
      <c r="J564" s="3" t="str">
        <f>VLOOKUP(B564,Customers!A:J,8,FALSE)</f>
        <v>NY</v>
      </c>
      <c r="K564" s="3" t="str">
        <f>VLOOKUP(B564,Customers!A:J,7,FALSE)</f>
        <v>Bayside</v>
      </c>
      <c r="L564" s="3" t="str">
        <f>VLOOKUP(H564,Staff!A:I,9,FALSE)</f>
        <v>Marcelene Boyer</v>
      </c>
      <c r="M564" s="3" t="str">
        <f>VLOOKUP(G564,Store!A:H,2,FALSE)</f>
        <v>Baldwin Bikes</v>
      </c>
      <c r="N564" s="3" t="str">
        <f>VLOOKUP(G564,Store!A:H,6,FALSE)</f>
        <v>Baldwin</v>
      </c>
      <c r="O564" s="3" t="s">
        <v>16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>
        <v>564.0</v>
      </c>
      <c r="B565" s="1">
        <v>1058.0</v>
      </c>
      <c r="C565" s="1">
        <v>4.0</v>
      </c>
      <c r="D565" s="4">
        <v>42694.0</v>
      </c>
      <c r="E565" s="4">
        <v>42697.0</v>
      </c>
      <c r="F565" s="4">
        <v>42696.0</v>
      </c>
      <c r="G565" s="1">
        <v>2.0</v>
      </c>
      <c r="H565" s="1">
        <v>7.0</v>
      </c>
      <c r="I565" s="3" t="str">
        <f>VLOOKUP(B565,Customers!A:J, 10,FALSE)</f>
        <v>Aisha Woods</v>
      </c>
      <c r="J565" s="3" t="str">
        <f>VLOOKUP(B565,Customers!A:J,8,FALSE)</f>
        <v>NY</v>
      </c>
      <c r="K565" s="3" t="str">
        <f>VLOOKUP(B565,Customers!A:J,7,FALSE)</f>
        <v>Webster</v>
      </c>
      <c r="L565" s="3" t="str">
        <f>VLOOKUP(H565,Staff!A:I,9,FALSE)</f>
        <v>Venita Daniel</v>
      </c>
      <c r="M565" s="3" t="str">
        <f>VLOOKUP(G565,Store!A:H,2,FALSE)</f>
        <v>Baldwin Bikes</v>
      </c>
      <c r="N565" s="3" t="str">
        <f>VLOOKUP(G565,Store!A:H,6,FALSE)</f>
        <v>Baldwin</v>
      </c>
      <c r="O565" s="3" t="s">
        <v>16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>
        <v>565.0</v>
      </c>
      <c r="B566" s="1">
        <v>894.0</v>
      </c>
      <c r="C566" s="1">
        <v>4.0</v>
      </c>
      <c r="D566" s="4">
        <v>42695.0</v>
      </c>
      <c r="E566" s="4">
        <v>42696.0</v>
      </c>
      <c r="F566" s="4">
        <v>42696.0</v>
      </c>
      <c r="G566" s="1">
        <v>2.0</v>
      </c>
      <c r="H566" s="1">
        <v>7.0</v>
      </c>
      <c r="I566" s="3" t="str">
        <f>VLOOKUP(B566,Customers!A:J, 10,FALSE)</f>
        <v>Nathaniel Richard</v>
      </c>
      <c r="J566" s="3" t="str">
        <f>VLOOKUP(B566,Customers!A:J,8,FALSE)</f>
        <v>NY</v>
      </c>
      <c r="K566" s="3" t="str">
        <f>VLOOKUP(B566,Customers!A:J,7,FALSE)</f>
        <v>New Windsor</v>
      </c>
      <c r="L566" s="3" t="str">
        <f>VLOOKUP(H566,Staff!A:I,9,FALSE)</f>
        <v>Venita Daniel</v>
      </c>
      <c r="M566" s="3" t="str">
        <f>VLOOKUP(G566,Store!A:H,2,FALSE)</f>
        <v>Baldwin Bikes</v>
      </c>
      <c r="N566" s="3" t="str">
        <f>VLOOKUP(G566,Store!A:H,6,FALSE)</f>
        <v>Baldwin</v>
      </c>
      <c r="O566" s="3" t="s">
        <v>16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>
        <v>566.0</v>
      </c>
      <c r="B567" s="1">
        <v>298.0</v>
      </c>
      <c r="C567" s="1">
        <v>4.0</v>
      </c>
      <c r="D567" s="4">
        <v>42696.0</v>
      </c>
      <c r="E567" s="4">
        <v>42699.0</v>
      </c>
      <c r="F567" s="4">
        <v>42697.0</v>
      </c>
      <c r="G567" s="1">
        <v>1.0</v>
      </c>
      <c r="H567" s="1">
        <v>3.0</v>
      </c>
      <c r="I567" s="3" t="str">
        <f>VLOOKUP(B567,Customers!A:J, 10,FALSE)</f>
        <v>Jennie Middleton</v>
      </c>
      <c r="J567" s="3" t="str">
        <f>VLOOKUP(B567,Customers!A:J,8,FALSE)</f>
        <v>CA</v>
      </c>
      <c r="K567" s="3" t="str">
        <f>VLOOKUP(B567,Customers!A:J,7,FALSE)</f>
        <v>Upland</v>
      </c>
      <c r="L567" s="3" t="str">
        <f>VLOOKUP(H567,Staff!A:I,9,FALSE)</f>
        <v>Genna Serrano</v>
      </c>
      <c r="M567" s="3" t="str">
        <f>VLOOKUP(G567,Store!A:H,2,FALSE)</f>
        <v>Santa Cruz Bikes</v>
      </c>
      <c r="N567" s="3" t="str">
        <f>VLOOKUP(G567,Store!A:H,6,FALSE)</f>
        <v>Santa Cruz</v>
      </c>
      <c r="O567" s="3" t="s">
        <v>15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>
        <v>567.0</v>
      </c>
      <c r="B568" s="1">
        <v>1430.0</v>
      </c>
      <c r="C568" s="1">
        <v>4.0</v>
      </c>
      <c r="D568" s="4">
        <v>42696.0</v>
      </c>
      <c r="E568" s="4">
        <v>42697.0</v>
      </c>
      <c r="F568" s="4">
        <v>42697.0</v>
      </c>
      <c r="G568" s="1">
        <v>1.0</v>
      </c>
      <c r="H568" s="1">
        <v>2.0</v>
      </c>
      <c r="I568" s="3" t="str">
        <f>VLOOKUP(B568,Customers!A:J, 10,FALSE)</f>
        <v>Tayna Wade</v>
      </c>
      <c r="J568" s="3" t="str">
        <f>VLOOKUP(B568,Customers!A:J,8,FALSE)</f>
        <v>CA</v>
      </c>
      <c r="K568" s="3" t="str">
        <f>VLOOKUP(B568,Customers!A:J,7,FALSE)</f>
        <v>Bakersfield</v>
      </c>
      <c r="L568" s="3" t="str">
        <f>VLOOKUP(H568,Staff!A:I,9,FALSE)</f>
        <v>Mireya Copeland</v>
      </c>
      <c r="M568" s="3" t="str">
        <f>VLOOKUP(G568,Store!A:H,2,FALSE)</f>
        <v>Santa Cruz Bikes</v>
      </c>
      <c r="N568" s="3" t="str">
        <f>VLOOKUP(G568,Store!A:H,6,FALSE)</f>
        <v>Santa Cruz</v>
      </c>
      <c r="O568" s="3" t="s">
        <v>15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>
        <v>568.0</v>
      </c>
      <c r="B569" s="1">
        <v>1275.0</v>
      </c>
      <c r="C569" s="1">
        <v>4.0</v>
      </c>
      <c r="D569" s="4">
        <v>42697.0</v>
      </c>
      <c r="E569" s="4">
        <v>42699.0</v>
      </c>
      <c r="F569" s="4">
        <v>42698.0</v>
      </c>
      <c r="G569" s="1">
        <v>1.0</v>
      </c>
      <c r="H569" s="1">
        <v>3.0</v>
      </c>
      <c r="I569" s="3" t="str">
        <f>VLOOKUP(B569,Customers!A:J, 10,FALSE)</f>
        <v>Lenita Bonner</v>
      </c>
      <c r="J569" s="3" t="str">
        <f>VLOOKUP(B569,Customers!A:J,8,FALSE)</f>
        <v>CA</v>
      </c>
      <c r="K569" s="3" t="str">
        <f>VLOOKUP(B569,Customers!A:J,7,FALSE)</f>
        <v>Los Banos</v>
      </c>
      <c r="L569" s="3" t="str">
        <f>VLOOKUP(H569,Staff!A:I,9,FALSE)</f>
        <v>Genna Serrano</v>
      </c>
      <c r="M569" s="3" t="str">
        <f>VLOOKUP(G569,Store!A:H,2,FALSE)</f>
        <v>Santa Cruz Bikes</v>
      </c>
      <c r="N569" s="3" t="str">
        <f>VLOOKUP(G569,Store!A:H,6,FALSE)</f>
        <v>Santa Cruz</v>
      </c>
      <c r="O569" s="3" t="s">
        <v>15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>
        <v>569.0</v>
      </c>
      <c r="B570" s="1">
        <v>707.0</v>
      </c>
      <c r="C570" s="1">
        <v>4.0</v>
      </c>
      <c r="D570" s="4">
        <v>42697.0</v>
      </c>
      <c r="E570" s="4">
        <v>42698.0</v>
      </c>
      <c r="F570" s="4">
        <v>42699.0</v>
      </c>
      <c r="G570" s="1">
        <v>2.0</v>
      </c>
      <c r="H570" s="1">
        <v>6.0</v>
      </c>
      <c r="I570" s="3" t="str">
        <f>VLOOKUP(B570,Customers!A:J, 10,FALSE)</f>
        <v>Terese Briggs</v>
      </c>
      <c r="J570" s="3" t="str">
        <f>VLOOKUP(B570,Customers!A:J,8,FALSE)</f>
        <v>NY</v>
      </c>
      <c r="K570" s="3" t="str">
        <f>VLOOKUP(B570,Customers!A:J,7,FALSE)</f>
        <v>Woodside</v>
      </c>
      <c r="L570" s="3" t="str">
        <f>VLOOKUP(H570,Staff!A:I,9,FALSE)</f>
        <v>Marcelene Boyer</v>
      </c>
      <c r="M570" s="3" t="str">
        <f>VLOOKUP(G570,Store!A:H,2,FALSE)</f>
        <v>Baldwin Bikes</v>
      </c>
      <c r="N570" s="3" t="str">
        <f>VLOOKUP(G570,Store!A:H,6,FALSE)</f>
        <v>Baldwin</v>
      </c>
      <c r="O570" s="3" t="s">
        <v>16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>
        <v>570.0</v>
      </c>
      <c r="B571" s="1">
        <v>989.0</v>
      </c>
      <c r="C571" s="1">
        <v>4.0</v>
      </c>
      <c r="D571" s="4">
        <v>42697.0</v>
      </c>
      <c r="E571" s="4">
        <v>42698.0</v>
      </c>
      <c r="F571" s="4">
        <v>42699.0</v>
      </c>
      <c r="G571" s="1">
        <v>2.0</v>
      </c>
      <c r="H571" s="1">
        <v>6.0</v>
      </c>
      <c r="I571" s="3" t="str">
        <f>VLOOKUP(B571,Customers!A:J, 10,FALSE)</f>
        <v>Loreen Byers</v>
      </c>
      <c r="J571" s="3" t="str">
        <f>VLOOKUP(B571,Customers!A:J,8,FALSE)</f>
        <v>NY</v>
      </c>
      <c r="K571" s="3" t="str">
        <f>VLOOKUP(B571,Customers!A:J,7,FALSE)</f>
        <v>South Ozone Park</v>
      </c>
      <c r="L571" s="3" t="str">
        <f>VLOOKUP(H571,Staff!A:I,9,FALSE)</f>
        <v>Marcelene Boyer</v>
      </c>
      <c r="M571" s="3" t="str">
        <f>VLOOKUP(G571,Store!A:H,2,FALSE)</f>
        <v>Baldwin Bikes</v>
      </c>
      <c r="N571" s="3" t="str">
        <f>VLOOKUP(G571,Store!A:H,6,FALSE)</f>
        <v>Baldwin</v>
      </c>
      <c r="O571" s="3" t="s">
        <v>16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>
        <v>571.0</v>
      </c>
      <c r="B572" s="1">
        <v>5.0</v>
      </c>
      <c r="C572" s="1">
        <v>4.0</v>
      </c>
      <c r="D572" s="4">
        <v>42698.0</v>
      </c>
      <c r="E572" s="4">
        <v>42699.0</v>
      </c>
      <c r="F572" s="4">
        <v>42701.0</v>
      </c>
      <c r="G572" s="1">
        <v>1.0</v>
      </c>
      <c r="H572" s="1">
        <v>2.0</v>
      </c>
      <c r="I572" s="3" t="str">
        <f>VLOOKUP(B572,Customers!A:J, 10,FALSE)</f>
        <v>Charolette Rice</v>
      </c>
      <c r="J572" s="3" t="str">
        <f>VLOOKUP(B572,Customers!A:J,8,FALSE)</f>
        <v>CA</v>
      </c>
      <c r="K572" s="3" t="str">
        <f>VLOOKUP(B572,Customers!A:J,7,FALSE)</f>
        <v>Sacramento</v>
      </c>
      <c r="L572" s="3" t="str">
        <f>VLOOKUP(H572,Staff!A:I,9,FALSE)</f>
        <v>Mireya Copeland</v>
      </c>
      <c r="M572" s="3" t="str">
        <f>VLOOKUP(G572,Store!A:H,2,FALSE)</f>
        <v>Santa Cruz Bikes</v>
      </c>
      <c r="N572" s="3" t="str">
        <f>VLOOKUP(G572,Store!A:H,6,FALSE)</f>
        <v>Santa Cruz</v>
      </c>
      <c r="O572" s="3" t="s">
        <v>15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>
        <v>572.0</v>
      </c>
      <c r="B573" s="1">
        <v>178.0</v>
      </c>
      <c r="C573" s="1">
        <v>4.0</v>
      </c>
      <c r="D573" s="4">
        <v>42698.0</v>
      </c>
      <c r="E573" s="4">
        <v>42700.0</v>
      </c>
      <c r="F573" s="4">
        <v>42700.0</v>
      </c>
      <c r="G573" s="1">
        <v>2.0</v>
      </c>
      <c r="H573" s="1">
        <v>6.0</v>
      </c>
      <c r="I573" s="3" t="str">
        <f>VLOOKUP(B573,Customers!A:J, 10,FALSE)</f>
        <v>Genoveva Tyler</v>
      </c>
      <c r="J573" s="3" t="str">
        <f>VLOOKUP(B573,Customers!A:J,8,FALSE)</f>
        <v>NY</v>
      </c>
      <c r="K573" s="3" t="str">
        <f>VLOOKUP(B573,Customers!A:J,7,FALSE)</f>
        <v>New York</v>
      </c>
      <c r="L573" s="3" t="str">
        <f>VLOOKUP(H573,Staff!A:I,9,FALSE)</f>
        <v>Marcelene Boyer</v>
      </c>
      <c r="M573" s="3" t="str">
        <f>VLOOKUP(G573,Store!A:H,2,FALSE)</f>
        <v>Baldwin Bikes</v>
      </c>
      <c r="N573" s="3" t="str">
        <f>VLOOKUP(G573,Store!A:H,6,FALSE)</f>
        <v>Baldwin</v>
      </c>
      <c r="O573" s="3" t="s">
        <v>16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>
        <v>573.0</v>
      </c>
      <c r="B574" s="1">
        <v>423.0</v>
      </c>
      <c r="C574" s="1">
        <v>4.0</v>
      </c>
      <c r="D574" s="4">
        <v>42698.0</v>
      </c>
      <c r="E574" s="4">
        <v>42700.0</v>
      </c>
      <c r="F574" s="4">
        <v>42701.0</v>
      </c>
      <c r="G574" s="1">
        <v>2.0</v>
      </c>
      <c r="H574" s="1">
        <v>6.0</v>
      </c>
      <c r="I574" s="3" t="str">
        <f>VLOOKUP(B574,Customers!A:J, 10,FALSE)</f>
        <v>Johna Powers</v>
      </c>
      <c r="J574" s="3" t="str">
        <f>VLOOKUP(B574,Customers!A:J,8,FALSE)</f>
        <v>NY</v>
      </c>
      <c r="K574" s="3" t="str">
        <f>VLOOKUP(B574,Customers!A:J,7,FALSE)</f>
        <v>Deer Park</v>
      </c>
      <c r="L574" s="3" t="str">
        <f>VLOOKUP(H574,Staff!A:I,9,FALSE)</f>
        <v>Marcelene Boyer</v>
      </c>
      <c r="M574" s="3" t="str">
        <f>VLOOKUP(G574,Store!A:H,2,FALSE)</f>
        <v>Baldwin Bikes</v>
      </c>
      <c r="N574" s="3" t="str">
        <f>VLOOKUP(G574,Store!A:H,6,FALSE)</f>
        <v>Baldwin</v>
      </c>
      <c r="O574" s="3" t="s">
        <v>16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>
        <v>574.0</v>
      </c>
      <c r="B575" s="1">
        <v>833.0</v>
      </c>
      <c r="C575" s="1">
        <v>4.0</v>
      </c>
      <c r="D575" s="4">
        <v>42700.0</v>
      </c>
      <c r="E575" s="4">
        <v>42701.0</v>
      </c>
      <c r="F575" s="4">
        <v>42703.0</v>
      </c>
      <c r="G575" s="1">
        <v>2.0</v>
      </c>
      <c r="H575" s="1">
        <v>7.0</v>
      </c>
      <c r="I575" s="3" t="str">
        <f>VLOOKUP(B575,Customers!A:J, 10,FALSE)</f>
        <v>Leone Emerson</v>
      </c>
      <c r="J575" s="3" t="str">
        <f>VLOOKUP(B575,Customers!A:J,8,FALSE)</f>
        <v>NY</v>
      </c>
      <c r="K575" s="3" t="str">
        <f>VLOOKUP(B575,Customers!A:J,7,FALSE)</f>
        <v>Whitestone</v>
      </c>
      <c r="L575" s="3" t="str">
        <f>VLOOKUP(H575,Staff!A:I,9,FALSE)</f>
        <v>Venita Daniel</v>
      </c>
      <c r="M575" s="3" t="str">
        <f>VLOOKUP(G575,Store!A:H,2,FALSE)</f>
        <v>Baldwin Bikes</v>
      </c>
      <c r="N575" s="3" t="str">
        <f>VLOOKUP(G575,Store!A:H,6,FALSE)</f>
        <v>Baldwin</v>
      </c>
      <c r="O575" s="3" t="s">
        <v>16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>
        <v>575.0</v>
      </c>
      <c r="B576" s="1">
        <v>33.0</v>
      </c>
      <c r="C576" s="1">
        <v>4.0</v>
      </c>
      <c r="D576" s="4">
        <v>42701.0</v>
      </c>
      <c r="E576" s="4">
        <v>42702.0</v>
      </c>
      <c r="F576" s="4">
        <v>42704.0</v>
      </c>
      <c r="G576" s="1">
        <v>1.0</v>
      </c>
      <c r="H576" s="1">
        <v>3.0</v>
      </c>
      <c r="I576" s="3" t="str">
        <f>VLOOKUP(B576,Customers!A:J, 10,FALSE)</f>
        <v>Deloris Burke</v>
      </c>
      <c r="J576" s="3" t="str">
        <f>VLOOKUP(B576,Customers!A:J,8,FALSE)</f>
        <v>CA</v>
      </c>
      <c r="K576" s="3" t="str">
        <f>VLOOKUP(B576,Customers!A:J,7,FALSE)</f>
        <v>Palos Verdes Peninsula</v>
      </c>
      <c r="L576" s="3" t="str">
        <f>VLOOKUP(H576,Staff!A:I,9,FALSE)</f>
        <v>Genna Serrano</v>
      </c>
      <c r="M576" s="3" t="str">
        <f>VLOOKUP(G576,Store!A:H,2,FALSE)</f>
        <v>Santa Cruz Bikes</v>
      </c>
      <c r="N576" s="3" t="str">
        <f>VLOOKUP(G576,Store!A:H,6,FALSE)</f>
        <v>Santa Cruz</v>
      </c>
      <c r="O576" s="3" t="s">
        <v>15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>
        <v>576.0</v>
      </c>
      <c r="B577" s="1">
        <v>1272.0</v>
      </c>
      <c r="C577" s="1">
        <v>4.0</v>
      </c>
      <c r="D577" s="4">
        <v>42701.0</v>
      </c>
      <c r="E577" s="4">
        <v>42704.0</v>
      </c>
      <c r="F577" s="4">
        <v>42702.0</v>
      </c>
      <c r="G577" s="1">
        <v>1.0</v>
      </c>
      <c r="H577" s="1">
        <v>3.0</v>
      </c>
      <c r="I577" s="3" t="str">
        <f>VLOOKUP(B577,Customers!A:J, 10,FALSE)</f>
        <v>Houston Vasquez</v>
      </c>
      <c r="J577" s="3" t="str">
        <f>VLOOKUP(B577,Customers!A:J,8,FALSE)</f>
        <v>CA</v>
      </c>
      <c r="K577" s="3" t="str">
        <f>VLOOKUP(B577,Customers!A:J,7,FALSE)</f>
        <v>Fullerton</v>
      </c>
      <c r="L577" s="3" t="str">
        <f>VLOOKUP(H577,Staff!A:I,9,FALSE)</f>
        <v>Genna Serrano</v>
      </c>
      <c r="M577" s="3" t="str">
        <f>VLOOKUP(G577,Store!A:H,2,FALSE)</f>
        <v>Santa Cruz Bikes</v>
      </c>
      <c r="N577" s="3" t="str">
        <f>VLOOKUP(G577,Store!A:H,6,FALSE)</f>
        <v>Santa Cruz</v>
      </c>
      <c r="O577" s="3" t="s">
        <v>15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>
        <v>577.0</v>
      </c>
      <c r="B578" s="1">
        <v>445.0</v>
      </c>
      <c r="C578" s="1">
        <v>4.0</v>
      </c>
      <c r="D578" s="4">
        <v>42701.0</v>
      </c>
      <c r="E578" s="4">
        <v>42704.0</v>
      </c>
      <c r="F578" s="4">
        <v>42703.0</v>
      </c>
      <c r="G578" s="1">
        <v>2.0</v>
      </c>
      <c r="H578" s="1">
        <v>6.0</v>
      </c>
      <c r="I578" s="3" t="str">
        <f>VLOOKUP(B578,Customers!A:J, 10,FALSE)</f>
        <v>Earline Ballard</v>
      </c>
      <c r="J578" s="3" t="str">
        <f>VLOOKUP(B578,Customers!A:J,8,FALSE)</f>
        <v>NY</v>
      </c>
      <c r="K578" s="3" t="str">
        <f>VLOOKUP(B578,Customers!A:J,7,FALSE)</f>
        <v>Mount Vernon</v>
      </c>
      <c r="L578" s="3" t="str">
        <f>VLOOKUP(H578,Staff!A:I,9,FALSE)</f>
        <v>Marcelene Boyer</v>
      </c>
      <c r="M578" s="3" t="str">
        <f>VLOOKUP(G578,Store!A:H,2,FALSE)</f>
        <v>Baldwin Bikes</v>
      </c>
      <c r="N578" s="3" t="str">
        <f>VLOOKUP(G578,Store!A:H,6,FALSE)</f>
        <v>Baldwin</v>
      </c>
      <c r="O578" s="3" t="s">
        <v>16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>
        <v>578.0</v>
      </c>
      <c r="B579" s="1">
        <v>819.0</v>
      </c>
      <c r="C579" s="1">
        <v>4.0</v>
      </c>
      <c r="D579" s="4">
        <v>42701.0</v>
      </c>
      <c r="E579" s="4">
        <v>42702.0</v>
      </c>
      <c r="F579" s="4">
        <v>42703.0</v>
      </c>
      <c r="G579" s="1">
        <v>2.0</v>
      </c>
      <c r="H579" s="1">
        <v>7.0</v>
      </c>
      <c r="I579" s="3" t="str">
        <f>VLOOKUP(B579,Customers!A:J, 10,FALSE)</f>
        <v>Yahaira Robertson</v>
      </c>
      <c r="J579" s="3" t="str">
        <f>VLOOKUP(B579,Customers!A:J,8,FALSE)</f>
        <v>NY</v>
      </c>
      <c r="K579" s="3" t="str">
        <f>VLOOKUP(B579,Customers!A:J,7,FALSE)</f>
        <v>Endicott</v>
      </c>
      <c r="L579" s="3" t="str">
        <f>VLOOKUP(H579,Staff!A:I,9,FALSE)</f>
        <v>Venita Daniel</v>
      </c>
      <c r="M579" s="3" t="str">
        <f>VLOOKUP(G579,Store!A:H,2,FALSE)</f>
        <v>Baldwin Bikes</v>
      </c>
      <c r="N579" s="3" t="str">
        <f>VLOOKUP(G579,Store!A:H,6,FALSE)</f>
        <v>Baldwin</v>
      </c>
      <c r="O579" s="3" t="s">
        <v>16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>
        <v>579.0</v>
      </c>
      <c r="B580" s="1">
        <v>160.0</v>
      </c>
      <c r="C580" s="1">
        <v>4.0</v>
      </c>
      <c r="D580" s="4">
        <v>42701.0</v>
      </c>
      <c r="E580" s="4">
        <v>42704.0</v>
      </c>
      <c r="F580" s="4">
        <v>42703.0</v>
      </c>
      <c r="G580" s="1">
        <v>3.0</v>
      </c>
      <c r="H580" s="1">
        <v>8.0</v>
      </c>
      <c r="I580" s="3" t="str">
        <f>VLOOKUP(B580,Customers!A:J, 10,FALSE)</f>
        <v>Omer Estrada</v>
      </c>
      <c r="J580" s="3" t="str">
        <f>VLOOKUP(B580,Customers!A:J,8,FALSE)</f>
        <v>TX</v>
      </c>
      <c r="K580" s="3" t="str">
        <f>VLOOKUP(B580,Customers!A:J,7,FALSE)</f>
        <v>Rowlett</v>
      </c>
      <c r="L580" s="3" t="str">
        <f>VLOOKUP(H580,Staff!A:I,9,FALSE)</f>
        <v>Kali Vargas</v>
      </c>
      <c r="M580" s="3" t="str">
        <f>VLOOKUP(G580,Store!A:H,2,FALSE)</f>
        <v>Rowlett Bikes</v>
      </c>
      <c r="N580" s="3" t="str">
        <f>VLOOKUP(G580,Store!A:H,6,FALSE)</f>
        <v>Rowlett</v>
      </c>
      <c r="O580" s="3" t="s">
        <v>17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>
        <v>580.0</v>
      </c>
      <c r="B581" s="1">
        <v>581.0</v>
      </c>
      <c r="C581" s="1">
        <v>4.0</v>
      </c>
      <c r="D581" s="4">
        <v>42704.0</v>
      </c>
      <c r="E581" s="4">
        <v>42706.0</v>
      </c>
      <c r="F581" s="4">
        <v>42706.0</v>
      </c>
      <c r="G581" s="1">
        <v>1.0</v>
      </c>
      <c r="H581" s="1">
        <v>3.0</v>
      </c>
      <c r="I581" s="3" t="str">
        <f>VLOOKUP(B581,Customers!A:J, 10,FALSE)</f>
        <v>Vonda Berger</v>
      </c>
      <c r="J581" s="3" t="str">
        <f>VLOOKUP(B581,Customers!A:J,8,FALSE)</f>
        <v>CA</v>
      </c>
      <c r="K581" s="3" t="str">
        <f>VLOOKUP(B581,Customers!A:J,7,FALSE)</f>
        <v>Santa Clara</v>
      </c>
      <c r="L581" s="3" t="str">
        <f>VLOOKUP(H581,Staff!A:I,9,FALSE)</f>
        <v>Genna Serrano</v>
      </c>
      <c r="M581" s="3" t="str">
        <f>VLOOKUP(G581,Store!A:H,2,FALSE)</f>
        <v>Santa Cruz Bikes</v>
      </c>
      <c r="N581" s="3" t="str">
        <f>VLOOKUP(G581,Store!A:H,6,FALSE)</f>
        <v>Santa Cruz</v>
      </c>
      <c r="O581" s="3" t="s">
        <v>15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>
        <v>581.0</v>
      </c>
      <c r="B582" s="1">
        <v>688.0</v>
      </c>
      <c r="C582" s="1">
        <v>4.0</v>
      </c>
      <c r="D582" s="4">
        <v>42707.0</v>
      </c>
      <c r="E582" s="4">
        <v>42709.0</v>
      </c>
      <c r="F582" s="4">
        <v>42710.0</v>
      </c>
      <c r="G582" s="1">
        <v>1.0</v>
      </c>
      <c r="H582" s="1">
        <v>3.0</v>
      </c>
      <c r="I582" s="3" t="str">
        <f>VLOOKUP(B582,Customers!A:J, 10,FALSE)</f>
        <v>Pearlie Cochran</v>
      </c>
      <c r="J582" s="3" t="str">
        <f>VLOOKUP(B582,Customers!A:J,8,FALSE)</f>
        <v>CA</v>
      </c>
      <c r="K582" s="3" t="str">
        <f>VLOOKUP(B582,Customers!A:J,7,FALSE)</f>
        <v>Campbell</v>
      </c>
      <c r="L582" s="3" t="str">
        <f>VLOOKUP(H582,Staff!A:I,9,FALSE)</f>
        <v>Genna Serrano</v>
      </c>
      <c r="M582" s="3" t="str">
        <f>VLOOKUP(G582,Store!A:H,2,FALSE)</f>
        <v>Santa Cruz Bikes</v>
      </c>
      <c r="N582" s="3" t="str">
        <f>VLOOKUP(G582,Store!A:H,6,FALSE)</f>
        <v>Santa Cruz</v>
      </c>
      <c r="O582" s="3" t="s">
        <v>15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>
        <v>582.0</v>
      </c>
      <c r="B583" s="1">
        <v>32.0</v>
      </c>
      <c r="C583" s="1">
        <v>3.0</v>
      </c>
      <c r="D583" s="4">
        <v>42708.0</v>
      </c>
      <c r="E583" s="4">
        <v>42708.0</v>
      </c>
      <c r="F583" s="1" t="s">
        <v>18</v>
      </c>
      <c r="G583" s="1">
        <v>1.0</v>
      </c>
      <c r="H583" s="1">
        <v>2.0</v>
      </c>
      <c r="I583" s="3" t="str">
        <f>VLOOKUP(B583,Customers!A:J, 10,FALSE)</f>
        <v>Araceli Golden</v>
      </c>
      <c r="J583" s="3" t="str">
        <f>VLOOKUP(B583,Customers!A:J,8,FALSE)</f>
        <v>CA</v>
      </c>
      <c r="K583" s="3" t="str">
        <f>VLOOKUP(B583,Customers!A:J,7,FALSE)</f>
        <v>Fullerton</v>
      </c>
      <c r="L583" s="3" t="str">
        <f>VLOOKUP(H583,Staff!A:I,9,FALSE)</f>
        <v>Mireya Copeland</v>
      </c>
      <c r="M583" s="3" t="str">
        <f>VLOOKUP(G583,Store!A:H,2,FALSE)</f>
        <v>Santa Cruz Bikes</v>
      </c>
      <c r="N583" s="3" t="str">
        <f>VLOOKUP(G583,Store!A:H,6,FALSE)</f>
        <v>Santa Cruz</v>
      </c>
      <c r="O583" s="3" t="s">
        <v>15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>
        <v>583.0</v>
      </c>
      <c r="B584" s="1">
        <v>792.0</v>
      </c>
      <c r="C584" s="1">
        <v>4.0</v>
      </c>
      <c r="D584" s="4">
        <v>42708.0</v>
      </c>
      <c r="E584" s="4">
        <v>42709.0</v>
      </c>
      <c r="F584" s="4">
        <v>42711.0</v>
      </c>
      <c r="G584" s="1">
        <v>2.0</v>
      </c>
      <c r="H584" s="1">
        <v>7.0</v>
      </c>
      <c r="I584" s="3" t="str">
        <f>VLOOKUP(B584,Customers!A:J, 10,FALSE)</f>
        <v>Edgar Horn</v>
      </c>
      <c r="J584" s="3" t="str">
        <f>VLOOKUP(B584,Customers!A:J,8,FALSE)</f>
        <v>NY</v>
      </c>
      <c r="K584" s="3" t="str">
        <f>VLOOKUP(B584,Customers!A:J,7,FALSE)</f>
        <v>West Babylon</v>
      </c>
      <c r="L584" s="3" t="str">
        <f>VLOOKUP(H584,Staff!A:I,9,FALSE)</f>
        <v>Venita Daniel</v>
      </c>
      <c r="M584" s="3" t="str">
        <f>VLOOKUP(G584,Store!A:H,2,FALSE)</f>
        <v>Baldwin Bikes</v>
      </c>
      <c r="N584" s="3" t="str">
        <f>VLOOKUP(G584,Store!A:H,6,FALSE)</f>
        <v>Baldwin</v>
      </c>
      <c r="O584" s="3" t="s">
        <v>16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>
        <v>584.0</v>
      </c>
      <c r="B585" s="1">
        <v>1209.0</v>
      </c>
      <c r="C585" s="1">
        <v>4.0</v>
      </c>
      <c r="D585" s="4">
        <v>42708.0</v>
      </c>
      <c r="E585" s="4">
        <v>42709.0</v>
      </c>
      <c r="F585" s="4">
        <v>42709.0</v>
      </c>
      <c r="G585" s="1">
        <v>2.0</v>
      </c>
      <c r="H585" s="1">
        <v>7.0</v>
      </c>
      <c r="I585" s="3" t="str">
        <f>VLOOKUP(B585,Customers!A:J, 10,FALSE)</f>
        <v>Deandrea Cox</v>
      </c>
      <c r="J585" s="3" t="str">
        <f>VLOOKUP(B585,Customers!A:J,8,FALSE)</f>
        <v>NY</v>
      </c>
      <c r="K585" s="3" t="str">
        <f>VLOOKUP(B585,Customers!A:J,7,FALSE)</f>
        <v>Huntington</v>
      </c>
      <c r="L585" s="3" t="str">
        <f>VLOOKUP(H585,Staff!A:I,9,FALSE)</f>
        <v>Venita Daniel</v>
      </c>
      <c r="M585" s="3" t="str">
        <f>VLOOKUP(G585,Store!A:H,2,FALSE)</f>
        <v>Baldwin Bikes</v>
      </c>
      <c r="N585" s="3" t="str">
        <f>VLOOKUP(G585,Store!A:H,6,FALSE)</f>
        <v>Baldwin</v>
      </c>
      <c r="O585" s="3" t="s">
        <v>16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>
        <v>585.0</v>
      </c>
      <c r="B586" s="1">
        <v>1219.0</v>
      </c>
      <c r="C586" s="1">
        <v>4.0</v>
      </c>
      <c r="D586" s="4">
        <v>42708.0</v>
      </c>
      <c r="E586" s="4">
        <v>42709.0</v>
      </c>
      <c r="F586" s="4">
        <v>42709.0</v>
      </c>
      <c r="G586" s="1">
        <v>2.0</v>
      </c>
      <c r="H586" s="1">
        <v>7.0</v>
      </c>
      <c r="I586" s="3" t="str">
        <f>VLOOKUP(B586,Customers!A:J, 10,FALSE)</f>
        <v>Alden Atkinson</v>
      </c>
      <c r="J586" s="3" t="str">
        <f>VLOOKUP(B586,Customers!A:J,8,FALSE)</f>
        <v>NY</v>
      </c>
      <c r="K586" s="3" t="str">
        <f>VLOOKUP(B586,Customers!A:J,7,FALSE)</f>
        <v>Shirley</v>
      </c>
      <c r="L586" s="3" t="str">
        <f>VLOOKUP(H586,Staff!A:I,9,FALSE)</f>
        <v>Venita Daniel</v>
      </c>
      <c r="M586" s="3" t="str">
        <f>VLOOKUP(G586,Store!A:H,2,FALSE)</f>
        <v>Baldwin Bikes</v>
      </c>
      <c r="N586" s="3" t="str">
        <f>VLOOKUP(G586,Store!A:H,6,FALSE)</f>
        <v>Baldwin</v>
      </c>
      <c r="O586" s="3" t="s">
        <v>16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>
        <v>586.0</v>
      </c>
      <c r="B587" s="1">
        <v>1306.0</v>
      </c>
      <c r="C587" s="1">
        <v>4.0</v>
      </c>
      <c r="D587" s="4">
        <v>42708.0</v>
      </c>
      <c r="E587" s="4">
        <v>42710.0</v>
      </c>
      <c r="F587" s="4">
        <v>42709.0</v>
      </c>
      <c r="G587" s="1">
        <v>2.0</v>
      </c>
      <c r="H587" s="1">
        <v>6.0</v>
      </c>
      <c r="I587" s="3" t="str">
        <f>VLOOKUP(B587,Customers!A:J, 10,FALSE)</f>
        <v>America Swanson</v>
      </c>
      <c r="J587" s="3" t="str">
        <f>VLOOKUP(B587,Customers!A:J,8,FALSE)</f>
        <v>NY</v>
      </c>
      <c r="K587" s="3" t="str">
        <f>VLOOKUP(B587,Customers!A:J,7,FALSE)</f>
        <v>Webster</v>
      </c>
      <c r="L587" s="3" t="str">
        <f>VLOOKUP(H587,Staff!A:I,9,FALSE)</f>
        <v>Marcelene Boyer</v>
      </c>
      <c r="M587" s="3" t="str">
        <f>VLOOKUP(G587,Store!A:H,2,FALSE)</f>
        <v>Baldwin Bikes</v>
      </c>
      <c r="N587" s="3" t="str">
        <f>VLOOKUP(G587,Store!A:H,6,FALSE)</f>
        <v>Baldwin</v>
      </c>
      <c r="O587" s="3" t="s">
        <v>16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>
        <v>587.0</v>
      </c>
      <c r="B588" s="1">
        <v>487.0</v>
      </c>
      <c r="C588" s="1">
        <v>4.0</v>
      </c>
      <c r="D588" s="4">
        <v>42710.0</v>
      </c>
      <c r="E588" s="4">
        <v>42712.0</v>
      </c>
      <c r="F588" s="4">
        <v>42712.0</v>
      </c>
      <c r="G588" s="1">
        <v>1.0</v>
      </c>
      <c r="H588" s="1">
        <v>2.0</v>
      </c>
      <c r="I588" s="3" t="str">
        <f>VLOOKUP(B588,Customers!A:J, 10,FALSE)</f>
        <v>Grace Madden</v>
      </c>
      <c r="J588" s="3" t="str">
        <f>VLOOKUP(B588,Customers!A:J,8,FALSE)</f>
        <v>CA</v>
      </c>
      <c r="K588" s="3" t="str">
        <f>VLOOKUP(B588,Customers!A:J,7,FALSE)</f>
        <v>San Pablo</v>
      </c>
      <c r="L588" s="3" t="str">
        <f>VLOOKUP(H588,Staff!A:I,9,FALSE)</f>
        <v>Mireya Copeland</v>
      </c>
      <c r="M588" s="3" t="str">
        <f>VLOOKUP(G588,Store!A:H,2,FALSE)</f>
        <v>Santa Cruz Bikes</v>
      </c>
      <c r="N588" s="3" t="str">
        <f>VLOOKUP(G588,Store!A:H,6,FALSE)</f>
        <v>Santa Cruz</v>
      </c>
      <c r="O588" s="3" t="s">
        <v>15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>
        <v>588.0</v>
      </c>
      <c r="B589" s="1">
        <v>102.0</v>
      </c>
      <c r="C589" s="1">
        <v>4.0</v>
      </c>
      <c r="D589" s="4">
        <v>42710.0</v>
      </c>
      <c r="E589" s="4">
        <v>42711.0</v>
      </c>
      <c r="F589" s="4">
        <v>42711.0</v>
      </c>
      <c r="G589" s="1">
        <v>2.0</v>
      </c>
      <c r="H589" s="1">
        <v>7.0</v>
      </c>
      <c r="I589" s="3" t="str">
        <f>VLOOKUP(B589,Customers!A:J, 10,FALSE)</f>
        <v>Marisol Goodman</v>
      </c>
      <c r="J589" s="3" t="str">
        <f>VLOOKUP(B589,Customers!A:J,8,FALSE)</f>
        <v>NY</v>
      </c>
      <c r="K589" s="3" t="str">
        <f>VLOOKUP(B589,Customers!A:J,7,FALSE)</f>
        <v>Canandaigua</v>
      </c>
      <c r="L589" s="3" t="str">
        <f>VLOOKUP(H589,Staff!A:I,9,FALSE)</f>
        <v>Venita Daniel</v>
      </c>
      <c r="M589" s="3" t="str">
        <f>VLOOKUP(G589,Store!A:H,2,FALSE)</f>
        <v>Baldwin Bikes</v>
      </c>
      <c r="N589" s="3" t="str">
        <f>VLOOKUP(G589,Store!A:H,6,FALSE)</f>
        <v>Baldwin</v>
      </c>
      <c r="O589" s="3" t="s">
        <v>16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>
        <v>589.0</v>
      </c>
      <c r="B590" s="1">
        <v>719.0</v>
      </c>
      <c r="C590" s="1">
        <v>4.0</v>
      </c>
      <c r="D590" s="4">
        <v>42710.0</v>
      </c>
      <c r="E590" s="4">
        <v>42711.0</v>
      </c>
      <c r="F590" s="4">
        <v>42711.0</v>
      </c>
      <c r="G590" s="1">
        <v>2.0</v>
      </c>
      <c r="H590" s="1">
        <v>7.0</v>
      </c>
      <c r="I590" s="3" t="str">
        <f>VLOOKUP(B590,Customers!A:J, 10,FALSE)</f>
        <v>Nicki Fry</v>
      </c>
      <c r="J590" s="3" t="str">
        <f>VLOOKUP(B590,Customers!A:J,8,FALSE)</f>
        <v>NY</v>
      </c>
      <c r="K590" s="3" t="str">
        <f>VLOOKUP(B590,Customers!A:J,7,FALSE)</f>
        <v>Endicott</v>
      </c>
      <c r="L590" s="3" t="str">
        <f>VLOOKUP(H590,Staff!A:I,9,FALSE)</f>
        <v>Venita Daniel</v>
      </c>
      <c r="M590" s="3" t="str">
        <f>VLOOKUP(G590,Store!A:H,2,FALSE)</f>
        <v>Baldwin Bikes</v>
      </c>
      <c r="N590" s="3" t="str">
        <f>VLOOKUP(G590,Store!A:H,6,FALSE)</f>
        <v>Baldwin</v>
      </c>
      <c r="O590" s="3" t="s">
        <v>16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>
        <v>590.0</v>
      </c>
      <c r="B591" s="1">
        <v>990.0</v>
      </c>
      <c r="C591" s="1">
        <v>4.0</v>
      </c>
      <c r="D591" s="4">
        <v>42710.0</v>
      </c>
      <c r="E591" s="4">
        <v>42713.0</v>
      </c>
      <c r="F591" s="4">
        <v>42711.0</v>
      </c>
      <c r="G591" s="1">
        <v>2.0</v>
      </c>
      <c r="H591" s="1">
        <v>7.0</v>
      </c>
      <c r="I591" s="3" t="str">
        <f>VLOOKUP(B591,Customers!A:J, 10,FALSE)</f>
        <v>Casimira Chapman</v>
      </c>
      <c r="J591" s="3" t="str">
        <f>VLOOKUP(B591,Customers!A:J,8,FALSE)</f>
        <v>NY</v>
      </c>
      <c r="K591" s="3" t="str">
        <f>VLOOKUP(B591,Customers!A:J,7,FALSE)</f>
        <v>Monroe</v>
      </c>
      <c r="L591" s="3" t="str">
        <f>VLOOKUP(H591,Staff!A:I,9,FALSE)</f>
        <v>Venita Daniel</v>
      </c>
      <c r="M591" s="3" t="str">
        <f>VLOOKUP(G591,Store!A:H,2,FALSE)</f>
        <v>Baldwin Bikes</v>
      </c>
      <c r="N591" s="3" t="str">
        <f>VLOOKUP(G591,Store!A:H,6,FALSE)</f>
        <v>Baldwin</v>
      </c>
      <c r="O591" s="3" t="s">
        <v>16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>
        <v>591.0</v>
      </c>
      <c r="B592" s="1">
        <v>1211.0</v>
      </c>
      <c r="C592" s="1">
        <v>4.0</v>
      </c>
      <c r="D592" s="4">
        <v>42710.0</v>
      </c>
      <c r="E592" s="4">
        <v>42713.0</v>
      </c>
      <c r="F592" s="4">
        <v>42713.0</v>
      </c>
      <c r="G592" s="1">
        <v>2.0</v>
      </c>
      <c r="H592" s="1">
        <v>7.0</v>
      </c>
      <c r="I592" s="3" t="str">
        <f>VLOOKUP(B592,Customers!A:J, 10,FALSE)</f>
        <v>Brenton Whitaker</v>
      </c>
      <c r="J592" s="3" t="str">
        <f>VLOOKUP(B592,Customers!A:J,8,FALSE)</f>
        <v>NY</v>
      </c>
      <c r="K592" s="3" t="str">
        <f>VLOOKUP(B592,Customers!A:J,7,FALSE)</f>
        <v>Niagara Falls</v>
      </c>
      <c r="L592" s="3" t="str">
        <f>VLOOKUP(H592,Staff!A:I,9,FALSE)</f>
        <v>Venita Daniel</v>
      </c>
      <c r="M592" s="3" t="str">
        <f>VLOOKUP(G592,Store!A:H,2,FALSE)</f>
        <v>Baldwin Bikes</v>
      </c>
      <c r="N592" s="3" t="str">
        <f>VLOOKUP(G592,Store!A:H,6,FALSE)</f>
        <v>Baldwin</v>
      </c>
      <c r="O592" s="3" t="s">
        <v>16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>
        <v>592.0</v>
      </c>
      <c r="B593" s="1">
        <v>1232.0</v>
      </c>
      <c r="C593" s="1">
        <v>4.0</v>
      </c>
      <c r="D593" s="4">
        <v>42710.0</v>
      </c>
      <c r="E593" s="4">
        <v>42712.0</v>
      </c>
      <c r="F593" s="4">
        <v>42712.0</v>
      </c>
      <c r="G593" s="1">
        <v>2.0</v>
      </c>
      <c r="H593" s="1">
        <v>7.0</v>
      </c>
      <c r="I593" s="3" t="str">
        <f>VLOOKUP(B593,Customers!A:J, 10,FALSE)</f>
        <v>Jong Guthrie</v>
      </c>
      <c r="J593" s="3" t="str">
        <f>VLOOKUP(B593,Customers!A:J,8,FALSE)</f>
        <v>NY</v>
      </c>
      <c r="K593" s="3" t="str">
        <f>VLOOKUP(B593,Customers!A:J,7,FALSE)</f>
        <v>Bethpage</v>
      </c>
      <c r="L593" s="3" t="str">
        <f>VLOOKUP(H593,Staff!A:I,9,FALSE)</f>
        <v>Venita Daniel</v>
      </c>
      <c r="M593" s="3" t="str">
        <f>VLOOKUP(G593,Store!A:H,2,FALSE)</f>
        <v>Baldwin Bikes</v>
      </c>
      <c r="N593" s="3" t="str">
        <f>VLOOKUP(G593,Store!A:H,6,FALSE)</f>
        <v>Baldwin</v>
      </c>
      <c r="O593" s="3" t="s">
        <v>16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>
        <v>593.0</v>
      </c>
      <c r="B594" s="1">
        <v>50.0</v>
      </c>
      <c r="C594" s="1">
        <v>4.0</v>
      </c>
      <c r="D594" s="4">
        <v>42711.0</v>
      </c>
      <c r="E594" s="4">
        <v>42714.0</v>
      </c>
      <c r="F594" s="4">
        <v>42712.0</v>
      </c>
      <c r="G594" s="1">
        <v>3.0</v>
      </c>
      <c r="H594" s="1">
        <v>8.0</v>
      </c>
      <c r="I594" s="3" t="str">
        <f>VLOOKUP(B594,Customers!A:J, 10,FALSE)</f>
        <v>Cleotilde Booth</v>
      </c>
      <c r="J594" s="3" t="str">
        <f>VLOOKUP(B594,Customers!A:J,8,FALSE)</f>
        <v>TX</v>
      </c>
      <c r="K594" s="3" t="str">
        <f>VLOOKUP(B594,Customers!A:J,7,FALSE)</f>
        <v>Sugar Land</v>
      </c>
      <c r="L594" s="3" t="str">
        <f>VLOOKUP(H594,Staff!A:I,9,FALSE)</f>
        <v>Kali Vargas</v>
      </c>
      <c r="M594" s="3" t="str">
        <f>VLOOKUP(G594,Store!A:H,2,FALSE)</f>
        <v>Rowlett Bikes</v>
      </c>
      <c r="N594" s="3" t="str">
        <f>VLOOKUP(G594,Store!A:H,6,FALSE)</f>
        <v>Rowlett</v>
      </c>
      <c r="O594" s="3" t="s">
        <v>17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>
        <v>594.0</v>
      </c>
      <c r="B595" s="1">
        <v>1318.0</v>
      </c>
      <c r="C595" s="1">
        <v>4.0</v>
      </c>
      <c r="D595" s="4">
        <v>42711.0</v>
      </c>
      <c r="E595" s="4">
        <v>42712.0</v>
      </c>
      <c r="F595" s="4">
        <v>42712.0</v>
      </c>
      <c r="G595" s="1">
        <v>3.0</v>
      </c>
      <c r="H595" s="1">
        <v>8.0</v>
      </c>
      <c r="I595" s="3" t="str">
        <f>VLOOKUP(B595,Customers!A:J, 10,FALSE)</f>
        <v>Tisha Petty</v>
      </c>
      <c r="J595" s="3" t="str">
        <f>VLOOKUP(B595,Customers!A:J,8,FALSE)</f>
        <v>TX</v>
      </c>
      <c r="K595" s="3" t="str">
        <f>VLOOKUP(B595,Customers!A:J,7,FALSE)</f>
        <v>San Antonio</v>
      </c>
      <c r="L595" s="3" t="str">
        <f>VLOOKUP(H595,Staff!A:I,9,FALSE)</f>
        <v>Kali Vargas</v>
      </c>
      <c r="M595" s="3" t="str">
        <f>VLOOKUP(G595,Store!A:H,2,FALSE)</f>
        <v>Rowlett Bikes</v>
      </c>
      <c r="N595" s="3" t="str">
        <f>VLOOKUP(G595,Store!A:H,6,FALSE)</f>
        <v>Rowlett</v>
      </c>
      <c r="O595" s="3" t="s">
        <v>17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>
        <v>595.0</v>
      </c>
      <c r="B596" s="1">
        <v>538.0</v>
      </c>
      <c r="C596" s="1">
        <v>4.0</v>
      </c>
      <c r="D596" s="4">
        <v>42712.0</v>
      </c>
      <c r="E596" s="4">
        <v>42713.0</v>
      </c>
      <c r="F596" s="4">
        <v>42715.0</v>
      </c>
      <c r="G596" s="1">
        <v>1.0</v>
      </c>
      <c r="H596" s="1">
        <v>2.0</v>
      </c>
      <c r="I596" s="3" t="str">
        <f>VLOOKUP(B596,Customers!A:J, 10,FALSE)</f>
        <v>Sherie Ayala</v>
      </c>
      <c r="J596" s="3" t="str">
        <f>VLOOKUP(B596,Customers!A:J,8,FALSE)</f>
        <v>CA</v>
      </c>
      <c r="K596" s="3" t="str">
        <f>VLOOKUP(B596,Customers!A:J,7,FALSE)</f>
        <v>South El Monte</v>
      </c>
      <c r="L596" s="3" t="str">
        <f>VLOOKUP(H596,Staff!A:I,9,FALSE)</f>
        <v>Mireya Copeland</v>
      </c>
      <c r="M596" s="3" t="str">
        <f>VLOOKUP(G596,Store!A:H,2,FALSE)</f>
        <v>Santa Cruz Bikes</v>
      </c>
      <c r="N596" s="3" t="str">
        <f>VLOOKUP(G596,Store!A:H,6,FALSE)</f>
        <v>Santa Cruz</v>
      </c>
      <c r="O596" s="3" t="s">
        <v>15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>
        <v>596.0</v>
      </c>
      <c r="B597" s="1">
        <v>952.0</v>
      </c>
      <c r="C597" s="1">
        <v>4.0</v>
      </c>
      <c r="D597" s="4">
        <v>42712.0</v>
      </c>
      <c r="E597" s="4">
        <v>42713.0</v>
      </c>
      <c r="F597" s="4">
        <v>42713.0</v>
      </c>
      <c r="G597" s="1">
        <v>1.0</v>
      </c>
      <c r="H597" s="1">
        <v>3.0</v>
      </c>
      <c r="I597" s="3" t="str">
        <f>VLOOKUP(B597,Customers!A:J, 10,FALSE)</f>
        <v>Aileen Marquez</v>
      </c>
      <c r="J597" s="3" t="str">
        <f>VLOOKUP(B597,Customers!A:J,8,FALSE)</f>
        <v>CA</v>
      </c>
      <c r="K597" s="3" t="str">
        <f>VLOOKUP(B597,Customers!A:J,7,FALSE)</f>
        <v>Torrance</v>
      </c>
      <c r="L597" s="3" t="str">
        <f>VLOOKUP(H597,Staff!A:I,9,FALSE)</f>
        <v>Genna Serrano</v>
      </c>
      <c r="M597" s="3" t="str">
        <f>VLOOKUP(G597,Store!A:H,2,FALSE)</f>
        <v>Santa Cruz Bikes</v>
      </c>
      <c r="N597" s="3" t="str">
        <f>VLOOKUP(G597,Store!A:H,6,FALSE)</f>
        <v>Santa Cruz</v>
      </c>
      <c r="O597" s="3" t="s">
        <v>15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>
        <v>597.0</v>
      </c>
      <c r="B598" s="1">
        <v>1121.0</v>
      </c>
      <c r="C598" s="1">
        <v>4.0</v>
      </c>
      <c r="D598" s="4">
        <v>42712.0</v>
      </c>
      <c r="E598" s="4">
        <v>42713.0</v>
      </c>
      <c r="F598" s="4">
        <v>42714.0</v>
      </c>
      <c r="G598" s="1">
        <v>2.0</v>
      </c>
      <c r="H598" s="1">
        <v>6.0</v>
      </c>
      <c r="I598" s="3" t="str">
        <f>VLOOKUP(B598,Customers!A:J, 10,FALSE)</f>
        <v>Shasta Combs</v>
      </c>
      <c r="J598" s="3" t="str">
        <f>VLOOKUP(B598,Customers!A:J,8,FALSE)</f>
        <v>NY</v>
      </c>
      <c r="K598" s="3" t="str">
        <f>VLOOKUP(B598,Customers!A:J,7,FALSE)</f>
        <v>Yorktown Heights</v>
      </c>
      <c r="L598" s="3" t="str">
        <f>VLOOKUP(H598,Staff!A:I,9,FALSE)</f>
        <v>Marcelene Boyer</v>
      </c>
      <c r="M598" s="3" t="str">
        <f>VLOOKUP(G598,Store!A:H,2,FALSE)</f>
        <v>Baldwin Bikes</v>
      </c>
      <c r="N598" s="3" t="str">
        <f>VLOOKUP(G598,Store!A:H,6,FALSE)</f>
        <v>Baldwin</v>
      </c>
      <c r="O598" s="3" t="s">
        <v>16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>
        <v>598.0</v>
      </c>
      <c r="B599" s="1">
        <v>40.0</v>
      </c>
      <c r="C599" s="1">
        <v>3.0</v>
      </c>
      <c r="D599" s="4">
        <v>42713.0</v>
      </c>
      <c r="E599" s="4">
        <v>42713.0</v>
      </c>
      <c r="F599" s="1" t="s">
        <v>18</v>
      </c>
      <c r="G599" s="1">
        <v>1.0</v>
      </c>
      <c r="H599" s="1">
        <v>3.0</v>
      </c>
      <c r="I599" s="3" t="str">
        <f>VLOOKUP(B599,Customers!A:J, 10,FALSE)</f>
        <v>Ronna Butler</v>
      </c>
      <c r="J599" s="3" t="str">
        <f>VLOOKUP(B599,Customers!A:J,8,FALSE)</f>
        <v>CA</v>
      </c>
      <c r="K599" s="3" t="str">
        <f>VLOOKUP(B599,Customers!A:J,7,FALSE)</f>
        <v>Encino</v>
      </c>
      <c r="L599" s="3" t="str">
        <f>VLOOKUP(H599,Staff!A:I,9,FALSE)</f>
        <v>Genna Serrano</v>
      </c>
      <c r="M599" s="3" t="str">
        <f>VLOOKUP(G599,Store!A:H,2,FALSE)</f>
        <v>Santa Cruz Bikes</v>
      </c>
      <c r="N599" s="3" t="str">
        <f>VLOOKUP(G599,Store!A:H,6,FALSE)</f>
        <v>Santa Cruz</v>
      </c>
      <c r="O599" s="3" t="s">
        <v>15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>
        <v>599.0</v>
      </c>
      <c r="B600" s="1">
        <v>1.0</v>
      </c>
      <c r="C600" s="1">
        <v>4.0</v>
      </c>
      <c r="D600" s="4">
        <v>42713.0</v>
      </c>
      <c r="E600" s="4">
        <v>42714.0</v>
      </c>
      <c r="F600" s="4">
        <v>42716.0</v>
      </c>
      <c r="G600" s="1">
        <v>2.0</v>
      </c>
      <c r="H600" s="1">
        <v>6.0</v>
      </c>
      <c r="I600" s="3" t="str">
        <f>VLOOKUP(B600,Customers!A:J, 10,FALSE)</f>
        <v>Debra Burks</v>
      </c>
      <c r="J600" s="3" t="str">
        <f>VLOOKUP(B600,Customers!A:J,8,FALSE)</f>
        <v>NY</v>
      </c>
      <c r="K600" s="3" t="str">
        <f>VLOOKUP(B600,Customers!A:J,7,FALSE)</f>
        <v>Orchard Park</v>
      </c>
      <c r="L600" s="3" t="str">
        <f>VLOOKUP(H600,Staff!A:I,9,FALSE)</f>
        <v>Marcelene Boyer</v>
      </c>
      <c r="M600" s="3" t="str">
        <f>VLOOKUP(G600,Store!A:H,2,FALSE)</f>
        <v>Baldwin Bikes</v>
      </c>
      <c r="N600" s="3" t="str">
        <f>VLOOKUP(G600,Store!A:H,6,FALSE)</f>
        <v>Baldwin</v>
      </c>
      <c r="O600" s="3" t="s">
        <v>16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>
        <v>600.0</v>
      </c>
      <c r="B601" s="1">
        <v>624.0</v>
      </c>
      <c r="C601" s="1">
        <v>4.0</v>
      </c>
      <c r="D601" s="4">
        <v>42713.0</v>
      </c>
      <c r="E601" s="4">
        <v>42716.0</v>
      </c>
      <c r="F601" s="4">
        <v>42715.0</v>
      </c>
      <c r="G601" s="1">
        <v>2.0</v>
      </c>
      <c r="H601" s="1">
        <v>7.0</v>
      </c>
      <c r="I601" s="3" t="str">
        <f>VLOOKUP(B601,Customers!A:J, 10,FALSE)</f>
        <v>Sharika Colon</v>
      </c>
      <c r="J601" s="3" t="str">
        <f>VLOOKUP(B601,Customers!A:J,8,FALSE)</f>
        <v>NY</v>
      </c>
      <c r="K601" s="3" t="str">
        <f>VLOOKUP(B601,Customers!A:J,7,FALSE)</f>
        <v>Long Beach</v>
      </c>
      <c r="L601" s="3" t="str">
        <f>VLOOKUP(H601,Staff!A:I,9,FALSE)</f>
        <v>Venita Daniel</v>
      </c>
      <c r="M601" s="3" t="str">
        <f>VLOOKUP(G601,Store!A:H,2,FALSE)</f>
        <v>Baldwin Bikes</v>
      </c>
      <c r="N601" s="3" t="str">
        <f>VLOOKUP(G601,Store!A:H,6,FALSE)</f>
        <v>Baldwin</v>
      </c>
      <c r="O601" s="3" t="s">
        <v>16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>
        <v>601.0</v>
      </c>
      <c r="B602" s="1">
        <v>683.0</v>
      </c>
      <c r="C602" s="1">
        <v>4.0</v>
      </c>
      <c r="D602" s="4">
        <v>42713.0</v>
      </c>
      <c r="E602" s="4">
        <v>42714.0</v>
      </c>
      <c r="F602" s="4">
        <v>42714.0</v>
      </c>
      <c r="G602" s="1">
        <v>2.0</v>
      </c>
      <c r="H602" s="1">
        <v>6.0</v>
      </c>
      <c r="I602" s="3" t="str">
        <f>VLOOKUP(B602,Customers!A:J, 10,FALSE)</f>
        <v>Amparo Burks</v>
      </c>
      <c r="J602" s="3" t="str">
        <f>VLOOKUP(B602,Customers!A:J,8,FALSE)</f>
        <v>NY</v>
      </c>
      <c r="K602" s="3" t="str">
        <f>VLOOKUP(B602,Customers!A:J,7,FALSE)</f>
        <v>Merrick</v>
      </c>
      <c r="L602" s="3" t="str">
        <f>VLOOKUP(H602,Staff!A:I,9,FALSE)</f>
        <v>Marcelene Boyer</v>
      </c>
      <c r="M602" s="3" t="str">
        <f>VLOOKUP(G602,Store!A:H,2,FALSE)</f>
        <v>Baldwin Bikes</v>
      </c>
      <c r="N602" s="3" t="str">
        <f>VLOOKUP(G602,Store!A:H,6,FALSE)</f>
        <v>Baldwin</v>
      </c>
      <c r="O602" s="3" t="s">
        <v>16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>
        <v>602.0</v>
      </c>
      <c r="B603" s="1">
        <v>823.0</v>
      </c>
      <c r="C603" s="1">
        <v>4.0</v>
      </c>
      <c r="D603" s="4">
        <v>42713.0</v>
      </c>
      <c r="E603" s="4">
        <v>42714.0</v>
      </c>
      <c r="F603" s="4">
        <v>42715.0</v>
      </c>
      <c r="G603" s="1">
        <v>2.0</v>
      </c>
      <c r="H603" s="1">
        <v>6.0</v>
      </c>
      <c r="I603" s="3" t="str">
        <f>VLOOKUP(B603,Customers!A:J, 10,FALSE)</f>
        <v>Tina Bush</v>
      </c>
      <c r="J603" s="3" t="str">
        <f>VLOOKUP(B603,Customers!A:J,8,FALSE)</f>
        <v>NY</v>
      </c>
      <c r="K603" s="3" t="str">
        <f>VLOOKUP(B603,Customers!A:J,7,FALSE)</f>
        <v>Maspeth</v>
      </c>
      <c r="L603" s="3" t="str">
        <f>VLOOKUP(H603,Staff!A:I,9,FALSE)</f>
        <v>Marcelene Boyer</v>
      </c>
      <c r="M603" s="3" t="str">
        <f>VLOOKUP(G603,Store!A:H,2,FALSE)</f>
        <v>Baldwin Bikes</v>
      </c>
      <c r="N603" s="3" t="str">
        <f>VLOOKUP(G603,Store!A:H,6,FALSE)</f>
        <v>Baldwin</v>
      </c>
      <c r="O603" s="3" t="s">
        <v>16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>
        <v>603.0</v>
      </c>
      <c r="B604" s="1">
        <v>1032.0</v>
      </c>
      <c r="C604" s="1">
        <v>4.0</v>
      </c>
      <c r="D604" s="4">
        <v>42713.0</v>
      </c>
      <c r="E604" s="4">
        <v>42714.0</v>
      </c>
      <c r="F604" s="4">
        <v>42714.0</v>
      </c>
      <c r="G604" s="1">
        <v>2.0</v>
      </c>
      <c r="H604" s="1">
        <v>7.0</v>
      </c>
      <c r="I604" s="3" t="str">
        <f>VLOOKUP(B604,Customers!A:J, 10,FALSE)</f>
        <v>Vernon Knowles</v>
      </c>
      <c r="J604" s="3" t="str">
        <f>VLOOKUP(B604,Customers!A:J,8,FALSE)</f>
        <v>NY</v>
      </c>
      <c r="K604" s="3" t="str">
        <f>VLOOKUP(B604,Customers!A:J,7,FALSE)</f>
        <v>Huntington Station</v>
      </c>
      <c r="L604" s="3" t="str">
        <f>VLOOKUP(H604,Staff!A:I,9,FALSE)</f>
        <v>Venita Daniel</v>
      </c>
      <c r="M604" s="3" t="str">
        <f>VLOOKUP(G604,Store!A:H,2,FALSE)</f>
        <v>Baldwin Bikes</v>
      </c>
      <c r="N604" s="3" t="str">
        <f>VLOOKUP(G604,Store!A:H,6,FALSE)</f>
        <v>Baldwin</v>
      </c>
      <c r="O604" s="3" t="s">
        <v>16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>
        <v>604.0</v>
      </c>
      <c r="B605" s="1">
        <v>96.0</v>
      </c>
      <c r="C605" s="1">
        <v>4.0</v>
      </c>
      <c r="D605" s="4">
        <v>42714.0</v>
      </c>
      <c r="E605" s="4">
        <v>42717.0</v>
      </c>
      <c r="F605" s="4">
        <v>42716.0</v>
      </c>
      <c r="G605" s="1">
        <v>2.0</v>
      </c>
      <c r="H605" s="1">
        <v>7.0</v>
      </c>
      <c r="I605" s="3" t="str">
        <f>VLOOKUP(B605,Customers!A:J, 10,FALSE)</f>
        <v>Floretta Higgins</v>
      </c>
      <c r="J605" s="3" t="str">
        <f>VLOOKUP(B605,Customers!A:J,8,FALSE)</f>
        <v>NY</v>
      </c>
      <c r="K605" s="3" t="str">
        <f>VLOOKUP(B605,Customers!A:J,7,FALSE)</f>
        <v>Bayside</v>
      </c>
      <c r="L605" s="3" t="str">
        <f>VLOOKUP(H605,Staff!A:I,9,FALSE)</f>
        <v>Venita Daniel</v>
      </c>
      <c r="M605" s="3" t="str">
        <f>VLOOKUP(G605,Store!A:H,2,FALSE)</f>
        <v>Baldwin Bikes</v>
      </c>
      <c r="N605" s="3" t="str">
        <f>VLOOKUP(G605,Store!A:H,6,FALSE)</f>
        <v>Baldwin</v>
      </c>
      <c r="O605" s="3" t="s">
        <v>16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>
        <v>605.0</v>
      </c>
      <c r="B606" s="1">
        <v>1208.0</v>
      </c>
      <c r="C606" s="1">
        <v>4.0</v>
      </c>
      <c r="D606" s="4">
        <v>42714.0</v>
      </c>
      <c r="E606" s="4">
        <v>42715.0</v>
      </c>
      <c r="F606" s="4">
        <v>42716.0</v>
      </c>
      <c r="G606" s="1">
        <v>2.0</v>
      </c>
      <c r="H606" s="1">
        <v>6.0</v>
      </c>
      <c r="I606" s="3" t="str">
        <f>VLOOKUP(B606,Customers!A:J, 10,FALSE)</f>
        <v>Leila Barr</v>
      </c>
      <c r="J606" s="3" t="str">
        <f>VLOOKUP(B606,Customers!A:J,8,FALSE)</f>
        <v>NY</v>
      </c>
      <c r="K606" s="3" t="str">
        <f>VLOOKUP(B606,Customers!A:J,7,FALSE)</f>
        <v>Carmel</v>
      </c>
      <c r="L606" s="3" t="str">
        <f>VLOOKUP(H606,Staff!A:I,9,FALSE)</f>
        <v>Marcelene Boyer</v>
      </c>
      <c r="M606" s="3" t="str">
        <f>VLOOKUP(G606,Store!A:H,2,FALSE)</f>
        <v>Baldwin Bikes</v>
      </c>
      <c r="N606" s="3" t="str">
        <f>VLOOKUP(G606,Store!A:H,6,FALSE)</f>
        <v>Baldwin</v>
      </c>
      <c r="O606" s="3" t="s">
        <v>16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>
        <v>606.0</v>
      </c>
      <c r="B607" s="1">
        <v>18.0</v>
      </c>
      <c r="C607" s="1">
        <v>4.0</v>
      </c>
      <c r="D607" s="4">
        <v>42715.0</v>
      </c>
      <c r="E607" s="4">
        <v>42716.0</v>
      </c>
      <c r="F607" s="4">
        <v>42717.0</v>
      </c>
      <c r="G607" s="1">
        <v>2.0</v>
      </c>
      <c r="H607" s="1">
        <v>7.0</v>
      </c>
      <c r="I607" s="3" t="str">
        <f>VLOOKUP(B607,Customers!A:J, 10,FALSE)</f>
        <v>Georgetta Hardin</v>
      </c>
      <c r="J607" s="3" t="str">
        <f>VLOOKUP(B607,Customers!A:J,8,FALSE)</f>
        <v>NY</v>
      </c>
      <c r="K607" s="3" t="str">
        <f>VLOOKUP(B607,Customers!A:J,7,FALSE)</f>
        <v>Canandaigua</v>
      </c>
      <c r="L607" s="3" t="str">
        <f>VLOOKUP(H607,Staff!A:I,9,FALSE)</f>
        <v>Venita Daniel</v>
      </c>
      <c r="M607" s="3" t="str">
        <f>VLOOKUP(G607,Store!A:H,2,FALSE)</f>
        <v>Baldwin Bikes</v>
      </c>
      <c r="N607" s="3" t="str">
        <f>VLOOKUP(G607,Store!A:H,6,FALSE)</f>
        <v>Baldwin</v>
      </c>
      <c r="O607" s="3" t="s">
        <v>16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>
        <v>607.0</v>
      </c>
      <c r="B608" s="1">
        <v>309.0</v>
      </c>
      <c r="C608" s="1">
        <v>4.0</v>
      </c>
      <c r="D608" s="4">
        <v>42715.0</v>
      </c>
      <c r="E608" s="4">
        <v>42718.0</v>
      </c>
      <c r="F608" s="4">
        <v>42717.0</v>
      </c>
      <c r="G608" s="1">
        <v>2.0</v>
      </c>
      <c r="H608" s="1">
        <v>6.0</v>
      </c>
      <c r="I608" s="3" t="str">
        <f>VLOOKUP(B608,Customers!A:J, 10,FALSE)</f>
        <v>Anderson Martin</v>
      </c>
      <c r="J608" s="3" t="str">
        <f>VLOOKUP(B608,Customers!A:J,8,FALSE)</f>
        <v>NY</v>
      </c>
      <c r="K608" s="3" t="str">
        <f>VLOOKUP(B608,Customers!A:J,7,FALSE)</f>
        <v>Canandaigua</v>
      </c>
      <c r="L608" s="3" t="str">
        <f>VLOOKUP(H608,Staff!A:I,9,FALSE)</f>
        <v>Marcelene Boyer</v>
      </c>
      <c r="M608" s="3" t="str">
        <f>VLOOKUP(G608,Store!A:H,2,FALSE)</f>
        <v>Baldwin Bikes</v>
      </c>
      <c r="N608" s="3" t="str">
        <f>VLOOKUP(G608,Store!A:H,6,FALSE)</f>
        <v>Baldwin</v>
      </c>
      <c r="O608" s="3" t="s">
        <v>16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>
        <v>608.0</v>
      </c>
      <c r="B609" s="1">
        <v>1103.0</v>
      </c>
      <c r="C609" s="1">
        <v>4.0</v>
      </c>
      <c r="D609" s="4">
        <v>42716.0</v>
      </c>
      <c r="E609" s="4">
        <v>42719.0</v>
      </c>
      <c r="F609" s="4">
        <v>42718.0</v>
      </c>
      <c r="G609" s="1">
        <v>1.0</v>
      </c>
      <c r="H609" s="1">
        <v>3.0</v>
      </c>
      <c r="I609" s="3" t="str">
        <f>VLOOKUP(B609,Customers!A:J, 10,FALSE)</f>
        <v>Ardelia Cooley</v>
      </c>
      <c r="J609" s="3" t="str">
        <f>VLOOKUP(B609,Customers!A:J,8,FALSE)</f>
        <v>CA</v>
      </c>
      <c r="K609" s="3" t="str">
        <f>VLOOKUP(B609,Customers!A:J,7,FALSE)</f>
        <v>Canyon Country</v>
      </c>
      <c r="L609" s="3" t="str">
        <f>VLOOKUP(H609,Staff!A:I,9,FALSE)</f>
        <v>Genna Serrano</v>
      </c>
      <c r="M609" s="3" t="str">
        <f>VLOOKUP(G609,Store!A:H,2,FALSE)</f>
        <v>Santa Cruz Bikes</v>
      </c>
      <c r="N609" s="3" t="str">
        <f>VLOOKUP(G609,Store!A:H,6,FALSE)</f>
        <v>Santa Cruz</v>
      </c>
      <c r="O609" s="3" t="s">
        <v>15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>
        <v>609.0</v>
      </c>
      <c r="B610" s="1">
        <v>896.0</v>
      </c>
      <c r="C610" s="1">
        <v>4.0</v>
      </c>
      <c r="D610" s="4">
        <v>42716.0</v>
      </c>
      <c r="E610" s="4">
        <v>42717.0</v>
      </c>
      <c r="F610" s="4">
        <v>42718.0</v>
      </c>
      <c r="G610" s="1">
        <v>2.0</v>
      </c>
      <c r="H610" s="1">
        <v>7.0</v>
      </c>
      <c r="I610" s="3" t="str">
        <f>VLOOKUP(B610,Customers!A:J, 10,FALSE)</f>
        <v>Stefani Gamble</v>
      </c>
      <c r="J610" s="3" t="str">
        <f>VLOOKUP(B610,Customers!A:J,8,FALSE)</f>
        <v>NY</v>
      </c>
      <c r="K610" s="3" t="str">
        <f>VLOOKUP(B610,Customers!A:J,7,FALSE)</f>
        <v>New City</v>
      </c>
      <c r="L610" s="3" t="str">
        <f>VLOOKUP(H610,Staff!A:I,9,FALSE)</f>
        <v>Venita Daniel</v>
      </c>
      <c r="M610" s="3" t="str">
        <f>VLOOKUP(G610,Store!A:H,2,FALSE)</f>
        <v>Baldwin Bikes</v>
      </c>
      <c r="N610" s="3" t="str">
        <f>VLOOKUP(G610,Store!A:H,6,FALSE)</f>
        <v>Baldwin</v>
      </c>
      <c r="O610" s="3" t="s">
        <v>16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>
        <v>610.0</v>
      </c>
      <c r="B611" s="1">
        <v>711.0</v>
      </c>
      <c r="C611" s="1">
        <v>4.0</v>
      </c>
      <c r="D611" s="4">
        <v>42717.0</v>
      </c>
      <c r="E611" s="4">
        <v>42719.0</v>
      </c>
      <c r="F611" s="4">
        <v>42718.0</v>
      </c>
      <c r="G611" s="1">
        <v>2.0</v>
      </c>
      <c r="H611" s="1">
        <v>6.0</v>
      </c>
      <c r="I611" s="3" t="str">
        <f>VLOOKUP(B611,Customers!A:J, 10,FALSE)</f>
        <v>Jovita Bishop</v>
      </c>
      <c r="J611" s="3" t="str">
        <f>VLOOKUP(B611,Customers!A:J,8,FALSE)</f>
        <v>NY</v>
      </c>
      <c r="K611" s="3" t="str">
        <f>VLOOKUP(B611,Customers!A:J,7,FALSE)</f>
        <v>Staten Island</v>
      </c>
      <c r="L611" s="3" t="str">
        <f>VLOOKUP(H611,Staff!A:I,9,FALSE)</f>
        <v>Marcelene Boyer</v>
      </c>
      <c r="M611" s="3" t="str">
        <f>VLOOKUP(G611,Store!A:H,2,FALSE)</f>
        <v>Baldwin Bikes</v>
      </c>
      <c r="N611" s="3" t="str">
        <f>VLOOKUP(G611,Store!A:H,6,FALSE)</f>
        <v>Baldwin</v>
      </c>
      <c r="O611" s="3" t="s">
        <v>16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>
        <v>611.0</v>
      </c>
      <c r="B612" s="1">
        <v>1073.0</v>
      </c>
      <c r="C612" s="1">
        <v>4.0</v>
      </c>
      <c r="D612" s="4">
        <v>42719.0</v>
      </c>
      <c r="E612" s="4">
        <v>42721.0</v>
      </c>
      <c r="F612" s="4">
        <v>42722.0</v>
      </c>
      <c r="G612" s="1">
        <v>2.0</v>
      </c>
      <c r="H612" s="1">
        <v>7.0</v>
      </c>
      <c r="I612" s="3" t="str">
        <f>VLOOKUP(B612,Customers!A:J, 10,FALSE)</f>
        <v>Leeanne Cross</v>
      </c>
      <c r="J612" s="3" t="str">
        <f>VLOOKUP(B612,Customers!A:J,8,FALSE)</f>
        <v>NY</v>
      </c>
      <c r="K612" s="3" t="str">
        <f>VLOOKUP(B612,Customers!A:J,7,FALSE)</f>
        <v>Bayside</v>
      </c>
      <c r="L612" s="3" t="str">
        <f>VLOOKUP(H612,Staff!A:I,9,FALSE)</f>
        <v>Venita Daniel</v>
      </c>
      <c r="M612" s="3" t="str">
        <f>VLOOKUP(G612,Store!A:H,2,FALSE)</f>
        <v>Baldwin Bikes</v>
      </c>
      <c r="N612" s="3" t="str">
        <f>VLOOKUP(G612,Store!A:H,6,FALSE)</f>
        <v>Baldwin</v>
      </c>
      <c r="O612" s="3" t="s">
        <v>16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>
        <v>612.0</v>
      </c>
      <c r="B613" s="1">
        <v>634.0</v>
      </c>
      <c r="C613" s="1">
        <v>4.0</v>
      </c>
      <c r="D613" s="4">
        <v>42720.0</v>
      </c>
      <c r="E613" s="4">
        <v>42721.0</v>
      </c>
      <c r="F613" s="4">
        <v>42721.0</v>
      </c>
      <c r="G613" s="1">
        <v>2.0</v>
      </c>
      <c r="H613" s="1">
        <v>7.0</v>
      </c>
      <c r="I613" s="3" t="str">
        <f>VLOOKUP(B613,Customers!A:J, 10,FALSE)</f>
        <v>Taylor Cole</v>
      </c>
      <c r="J613" s="3" t="str">
        <f>VLOOKUP(B613,Customers!A:J,8,FALSE)</f>
        <v>NY</v>
      </c>
      <c r="K613" s="3" t="str">
        <f>VLOOKUP(B613,Customers!A:J,7,FALSE)</f>
        <v>Carmel</v>
      </c>
      <c r="L613" s="3" t="str">
        <f>VLOOKUP(H613,Staff!A:I,9,FALSE)</f>
        <v>Venita Daniel</v>
      </c>
      <c r="M613" s="3" t="str">
        <f>VLOOKUP(G613,Store!A:H,2,FALSE)</f>
        <v>Baldwin Bikes</v>
      </c>
      <c r="N613" s="3" t="str">
        <f>VLOOKUP(G613,Store!A:H,6,FALSE)</f>
        <v>Baldwin</v>
      </c>
      <c r="O613" s="3" t="s">
        <v>16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>
        <v>613.0</v>
      </c>
      <c r="B614" s="1">
        <v>1159.0</v>
      </c>
      <c r="C614" s="1">
        <v>4.0</v>
      </c>
      <c r="D614" s="4">
        <v>42721.0</v>
      </c>
      <c r="E614" s="4">
        <v>42723.0</v>
      </c>
      <c r="F614" s="4">
        <v>42723.0</v>
      </c>
      <c r="G614" s="1">
        <v>2.0</v>
      </c>
      <c r="H614" s="1">
        <v>7.0</v>
      </c>
      <c r="I614" s="3" t="str">
        <f>VLOOKUP(B614,Customers!A:J, 10,FALSE)</f>
        <v>Charlene Norris</v>
      </c>
      <c r="J614" s="3" t="str">
        <f>VLOOKUP(B614,Customers!A:J,8,FALSE)</f>
        <v>NY</v>
      </c>
      <c r="K614" s="3" t="str">
        <f>VLOOKUP(B614,Customers!A:J,7,FALSE)</f>
        <v>Syosset</v>
      </c>
      <c r="L614" s="3" t="str">
        <f>VLOOKUP(H614,Staff!A:I,9,FALSE)</f>
        <v>Venita Daniel</v>
      </c>
      <c r="M614" s="3" t="str">
        <f>VLOOKUP(G614,Store!A:H,2,FALSE)</f>
        <v>Baldwin Bikes</v>
      </c>
      <c r="N614" s="3" t="str">
        <f>VLOOKUP(G614,Store!A:H,6,FALSE)</f>
        <v>Baldwin</v>
      </c>
      <c r="O614" s="3" t="s">
        <v>16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>
        <v>614.0</v>
      </c>
      <c r="B615" s="1">
        <v>654.0</v>
      </c>
      <c r="C615" s="1">
        <v>4.0</v>
      </c>
      <c r="D615" s="4">
        <v>42722.0</v>
      </c>
      <c r="E615" s="4">
        <v>42725.0</v>
      </c>
      <c r="F615" s="4">
        <v>42725.0</v>
      </c>
      <c r="G615" s="1">
        <v>1.0</v>
      </c>
      <c r="H615" s="1">
        <v>2.0</v>
      </c>
      <c r="I615" s="3" t="str">
        <f>VLOOKUP(B615,Customers!A:J, 10,FALSE)</f>
        <v>Eun Harris</v>
      </c>
      <c r="J615" s="3" t="str">
        <f>VLOOKUP(B615,Customers!A:J,8,FALSE)</f>
        <v>CA</v>
      </c>
      <c r="K615" s="3" t="str">
        <f>VLOOKUP(B615,Customers!A:J,7,FALSE)</f>
        <v>San Diego</v>
      </c>
      <c r="L615" s="3" t="str">
        <f>VLOOKUP(H615,Staff!A:I,9,FALSE)</f>
        <v>Mireya Copeland</v>
      </c>
      <c r="M615" s="3" t="str">
        <f>VLOOKUP(G615,Store!A:H,2,FALSE)</f>
        <v>Santa Cruz Bikes</v>
      </c>
      <c r="N615" s="3" t="str">
        <f>VLOOKUP(G615,Store!A:H,6,FALSE)</f>
        <v>Santa Cruz</v>
      </c>
      <c r="O615" s="3" t="s">
        <v>15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>
        <v>615.0</v>
      </c>
      <c r="B616" s="1">
        <v>560.0</v>
      </c>
      <c r="C616" s="1">
        <v>4.0</v>
      </c>
      <c r="D616" s="4">
        <v>42723.0</v>
      </c>
      <c r="E616" s="4">
        <v>42726.0</v>
      </c>
      <c r="F616" s="4">
        <v>42725.0</v>
      </c>
      <c r="G616" s="1">
        <v>3.0</v>
      </c>
      <c r="H616" s="1">
        <v>9.0</v>
      </c>
      <c r="I616" s="3" t="str">
        <f>VLOOKUP(B616,Customers!A:J, 10,FALSE)</f>
        <v>Tricia Daniels</v>
      </c>
      <c r="J616" s="3" t="str">
        <f>VLOOKUP(B616,Customers!A:J,8,FALSE)</f>
        <v>TX</v>
      </c>
      <c r="K616" s="3" t="str">
        <f>VLOOKUP(B616,Customers!A:J,7,FALSE)</f>
        <v>Forney</v>
      </c>
      <c r="L616" s="3" t="str">
        <f>VLOOKUP(H616,Staff!A:I,9,FALSE)</f>
        <v>Layla Terrell</v>
      </c>
      <c r="M616" s="3" t="str">
        <f>VLOOKUP(G616,Store!A:H,2,FALSE)</f>
        <v>Rowlett Bikes</v>
      </c>
      <c r="N616" s="3" t="str">
        <f>VLOOKUP(G616,Store!A:H,6,FALSE)</f>
        <v>Rowlett</v>
      </c>
      <c r="O616" s="3" t="s">
        <v>17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>
        <v>616.0</v>
      </c>
      <c r="B617" s="1">
        <v>1444.0</v>
      </c>
      <c r="C617" s="1">
        <v>4.0</v>
      </c>
      <c r="D617" s="4">
        <v>42724.0</v>
      </c>
      <c r="E617" s="4">
        <v>42727.0</v>
      </c>
      <c r="F617" s="4">
        <v>42727.0</v>
      </c>
      <c r="G617" s="1">
        <v>2.0</v>
      </c>
      <c r="H617" s="1">
        <v>6.0</v>
      </c>
      <c r="I617" s="3" t="str">
        <f>VLOOKUP(B617,Customers!A:J, 10,FALSE)</f>
        <v>Ivette Estes</v>
      </c>
      <c r="J617" s="3" t="str">
        <f>VLOOKUP(B617,Customers!A:J,8,FALSE)</f>
        <v>NY</v>
      </c>
      <c r="K617" s="3" t="str">
        <f>VLOOKUP(B617,Customers!A:J,7,FALSE)</f>
        <v>Canandaigua</v>
      </c>
      <c r="L617" s="3" t="str">
        <f>VLOOKUP(H617,Staff!A:I,9,FALSE)</f>
        <v>Marcelene Boyer</v>
      </c>
      <c r="M617" s="3" t="str">
        <f>VLOOKUP(G617,Store!A:H,2,FALSE)</f>
        <v>Baldwin Bikes</v>
      </c>
      <c r="N617" s="3" t="str">
        <f>VLOOKUP(G617,Store!A:H,6,FALSE)</f>
        <v>Baldwin</v>
      </c>
      <c r="O617" s="3" t="s">
        <v>16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>
        <v>617.0</v>
      </c>
      <c r="B618" s="1">
        <v>118.0</v>
      </c>
      <c r="C618" s="1">
        <v>4.0</v>
      </c>
      <c r="D618" s="4">
        <v>42725.0</v>
      </c>
      <c r="E618" s="4">
        <v>42727.0</v>
      </c>
      <c r="F618" s="4">
        <v>42727.0</v>
      </c>
      <c r="G618" s="1">
        <v>2.0</v>
      </c>
      <c r="H618" s="1">
        <v>7.0</v>
      </c>
      <c r="I618" s="3" t="str">
        <f>VLOOKUP(B618,Customers!A:J, 10,FALSE)</f>
        <v>Le Wood</v>
      </c>
      <c r="J618" s="3" t="str">
        <f>VLOOKUP(B618,Customers!A:J,8,FALSE)</f>
        <v>NY</v>
      </c>
      <c r="K618" s="3" t="str">
        <f>VLOOKUP(B618,Customers!A:J,7,FALSE)</f>
        <v>Pittsford</v>
      </c>
      <c r="L618" s="3" t="str">
        <f>VLOOKUP(H618,Staff!A:I,9,FALSE)</f>
        <v>Venita Daniel</v>
      </c>
      <c r="M618" s="3" t="str">
        <f>VLOOKUP(G618,Store!A:H,2,FALSE)</f>
        <v>Baldwin Bikes</v>
      </c>
      <c r="N618" s="3" t="str">
        <f>VLOOKUP(G618,Store!A:H,6,FALSE)</f>
        <v>Baldwin</v>
      </c>
      <c r="O618" s="3" t="s">
        <v>16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>
        <v>618.0</v>
      </c>
      <c r="B619" s="1">
        <v>131.0</v>
      </c>
      <c r="C619" s="1">
        <v>4.0</v>
      </c>
      <c r="D619" s="4">
        <v>42725.0</v>
      </c>
      <c r="E619" s="4">
        <v>42726.0</v>
      </c>
      <c r="F619" s="4">
        <v>42726.0</v>
      </c>
      <c r="G619" s="1">
        <v>2.0</v>
      </c>
      <c r="H619" s="1">
        <v>6.0</v>
      </c>
      <c r="I619" s="3" t="str">
        <f>VLOOKUP(B619,Customers!A:J, 10,FALSE)</f>
        <v>Tanesha Hampton</v>
      </c>
      <c r="J619" s="3" t="str">
        <f>VLOOKUP(B619,Customers!A:J,8,FALSE)</f>
        <v>NY</v>
      </c>
      <c r="K619" s="3" t="str">
        <f>VLOOKUP(B619,Customers!A:J,7,FALSE)</f>
        <v>Syosset</v>
      </c>
      <c r="L619" s="3" t="str">
        <f>VLOOKUP(H619,Staff!A:I,9,FALSE)</f>
        <v>Marcelene Boyer</v>
      </c>
      <c r="M619" s="3" t="str">
        <f>VLOOKUP(G619,Store!A:H,2,FALSE)</f>
        <v>Baldwin Bikes</v>
      </c>
      <c r="N619" s="3" t="str">
        <f>VLOOKUP(G619,Store!A:H,6,FALSE)</f>
        <v>Baldwin</v>
      </c>
      <c r="O619" s="3" t="s">
        <v>16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>
        <v>619.0</v>
      </c>
      <c r="B620" s="1">
        <v>454.0</v>
      </c>
      <c r="C620" s="1">
        <v>4.0</v>
      </c>
      <c r="D620" s="4">
        <v>42726.0</v>
      </c>
      <c r="E620" s="4">
        <v>42729.0</v>
      </c>
      <c r="F620" s="4">
        <v>42729.0</v>
      </c>
      <c r="G620" s="1">
        <v>2.0</v>
      </c>
      <c r="H620" s="1">
        <v>7.0</v>
      </c>
      <c r="I620" s="3" t="str">
        <f>VLOOKUP(B620,Customers!A:J, 10,FALSE)</f>
        <v>Terese Palmer</v>
      </c>
      <c r="J620" s="3" t="str">
        <f>VLOOKUP(B620,Customers!A:J,8,FALSE)</f>
        <v>NY</v>
      </c>
      <c r="K620" s="3" t="str">
        <f>VLOOKUP(B620,Customers!A:J,7,FALSE)</f>
        <v>Bay Shore</v>
      </c>
      <c r="L620" s="3" t="str">
        <f>VLOOKUP(H620,Staff!A:I,9,FALSE)</f>
        <v>Venita Daniel</v>
      </c>
      <c r="M620" s="3" t="str">
        <f>VLOOKUP(G620,Store!A:H,2,FALSE)</f>
        <v>Baldwin Bikes</v>
      </c>
      <c r="N620" s="3" t="str">
        <f>VLOOKUP(G620,Store!A:H,6,FALSE)</f>
        <v>Baldwin</v>
      </c>
      <c r="O620" s="3" t="s">
        <v>16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>
        <v>620.0</v>
      </c>
      <c r="B621" s="1">
        <v>466.0</v>
      </c>
      <c r="C621" s="1">
        <v>4.0</v>
      </c>
      <c r="D621" s="4">
        <v>42726.0</v>
      </c>
      <c r="E621" s="4">
        <v>42728.0</v>
      </c>
      <c r="F621" s="4">
        <v>42728.0</v>
      </c>
      <c r="G621" s="1">
        <v>2.0</v>
      </c>
      <c r="H621" s="1">
        <v>6.0</v>
      </c>
      <c r="I621" s="3" t="str">
        <f>VLOOKUP(B621,Customers!A:J, 10,FALSE)</f>
        <v>Collen Hayes</v>
      </c>
      <c r="J621" s="3" t="str">
        <f>VLOOKUP(B621,Customers!A:J,8,FALSE)</f>
        <v>NY</v>
      </c>
      <c r="K621" s="3" t="str">
        <f>VLOOKUP(B621,Customers!A:J,7,FALSE)</f>
        <v>Smithtown</v>
      </c>
      <c r="L621" s="3" t="str">
        <f>VLOOKUP(H621,Staff!A:I,9,FALSE)</f>
        <v>Marcelene Boyer</v>
      </c>
      <c r="M621" s="3" t="str">
        <f>VLOOKUP(G621,Store!A:H,2,FALSE)</f>
        <v>Baldwin Bikes</v>
      </c>
      <c r="N621" s="3" t="str">
        <f>VLOOKUP(G621,Store!A:H,6,FALSE)</f>
        <v>Baldwin</v>
      </c>
      <c r="O621" s="3" t="s">
        <v>16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>
        <v>621.0</v>
      </c>
      <c r="B622" s="1">
        <v>1157.0</v>
      </c>
      <c r="C622" s="1">
        <v>4.0</v>
      </c>
      <c r="D622" s="4">
        <v>42727.0</v>
      </c>
      <c r="E622" s="4">
        <v>42729.0</v>
      </c>
      <c r="F622" s="4">
        <v>42728.0</v>
      </c>
      <c r="G622" s="1">
        <v>2.0</v>
      </c>
      <c r="H622" s="1">
        <v>6.0</v>
      </c>
      <c r="I622" s="3" t="str">
        <f>VLOOKUP(B622,Customers!A:J, 10,FALSE)</f>
        <v>Anton Barton</v>
      </c>
      <c r="J622" s="3" t="str">
        <f>VLOOKUP(B622,Customers!A:J,8,FALSE)</f>
        <v>NY</v>
      </c>
      <c r="K622" s="3" t="str">
        <f>VLOOKUP(B622,Customers!A:J,7,FALSE)</f>
        <v>Buffalo</v>
      </c>
      <c r="L622" s="3" t="str">
        <f>VLOOKUP(H622,Staff!A:I,9,FALSE)</f>
        <v>Marcelene Boyer</v>
      </c>
      <c r="M622" s="3" t="str">
        <f>VLOOKUP(G622,Store!A:H,2,FALSE)</f>
        <v>Baldwin Bikes</v>
      </c>
      <c r="N622" s="3" t="str">
        <f>VLOOKUP(G622,Store!A:H,6,FALSE)</f>
        <v>Baldwin</v>
      </c>
      <c r="O622" s="3" t="s">
        <v>16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>
        <v>622.0</v>
      </c>
      <c r="B623" s="1">
        <v>1398.0</v>
      </c>
      <c r="C623" s="1">
        <v>4.0</v>
      </c>
      <c r="D623" s="4">
        <v>42727.0</v>
      </c>
      <c r="E623" s="4">
        <v>42730.0</v>
      </c>
      <c r="F623" s="4">
        <v>42729.0</v>
      </c>
      <c r="G623" s="1">
        <v>2.0</v>
      </c>
      <c r="H623" s="1">
        <v>7.0</v>
      </c>
      <c r="I623" s="3" t="str">
        <f>VLOOKUP(B623,Customers!A:J, 10,FALSE)</f>
        <v>Nevada Hood</v>
      </c>
      <c r="J623" s="3" t="str">
        <f>VLOOKUP(B623,Customers!A:J,8,FALSE)</f>
        <v>NY</v>
      </c>
      <c r="K623" s="3" t="str">
        <f>VLOOKUP(B623,Customers!A:J,7,FALSE)</f>
        <v>Hopewell Junction</v>
      </c>
      <c r="L623" s="3" t="str">
        <f>VLOOKUP(H623,Staff!A:I,9,FALSE)</f>
        <v>Venita Daniel</v>
      </c>
      <c r="M623" s="3" t="str">
        <f>VLOOKUP(G623,Store!A:H,2,FALSE)</f>
        <v>Baldwin Bikes</v>
      </c>
      <c r="N623" s="3" t="str">
        <f>VLOOKUP(G623,Store!A:H,6,FALSE)</f>
        <v>Baldwin</v>
      </c>
      <c r="O623" s="3" t="s">
        <v>16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>
        <v>623.0</v>
      </c>
      <c r="B624" s="1">
        <v>678.0</v>
      </c>
      <c r="C624" s="1">
        <v>4.0</v>
      </c>
      <c r="D624" s="4">
        <v>42728.0</v>
      </c>
      <c r="E624" s="4">
        <v>42730.0</v>
      </c>
      <c r="F624" s="4">
        <v>42731.0</v>
      </c>
      <c r="G624" s="1">
        <v>2.0</v>
      </c>
      <c r="H624" s="1">
        <v>6.0</v>
      </c>
      <c r="I624" s="3" t="str">
        <f>VLOOKUP(B624,Customers!A:J, 10,FALSE)</f>
        <v>Myron Johns</v>
      </c>
      <c r="J624" s="3" t="str">
        <f>VLOOKUP(B624,Customers!A:J,8,FALSE)</f>
        <v>NY</v>
      </c>
      <c r="K624" s="3" t="str">
        <f>VLOOKUP(B624,Customers!A:J,7,FALSE)</f>
        <v>Whitestone</v>
      </c>
      <c r="L624" s="3" t="str">
        <f>VLOOKUP(H624,Staff!A:I,9,FALSE)</f>
        <v>Marcelene Boyer</v>
      </c>
      <c r="M624" s="3" t="str">
        <f>VLOOKUP(G624,Store!A:H,2,FALSE)</f>
        <v>Baldwin Bikes</v>
      </c>
      <c r="N624" s="3" t="str">
        <f>VLOOKUP(G624,Store!A:H,6,FALSE)</f>
        <v>Baldwin</v>
      </c>
      <c r="O624" s="3" t="s">
        <v>16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>
        <v>624.0</v>
      </c>
      <c r="B625" s="1">
        <v>814.0</v>
      </c>
      <c r="C625" s="1">
        <v>4.0</v>
      </c>
      <c r="D625" s="4">
        <v>42728.0</v>
      </c>
      <c r="E625" s="4">
        <v>42729.0</v>
      </c>
      <c r="F625" s="4">
        <v>42731.0</v>
      </c>
      <c r="G625" s="1">
        <v>2.0</v>
      </c>
      <c r="H625" s="1">
        <v>6.0</v>
      </c>
      <c r="I625" s="3" t="str">
        <f>VLOOKUP(B625,Customers!A:J, 10,FALSE)</f>
        <v>Ghislaine Compton</v>
      </c>
      <c r="J625" s="3" t="str">
        <f>VLOOKUP(B625,Customers!A:J,8,FALSE)</f>
        <v>NY</v>
      </c>
      <c r="K625" s="3" t="str">
        <f>VLOOKUP(B625,Customers!A:J,7,FALSE)</f>
        <v>Lindenhurst</v>
      </c>
      <c r="L625" s="3" t="str">
        <f>VLOOKUP(H625,Staff!A:I,9,FALSE)</f>
        <v>Marcelene Boyer</v>
      </c>
      <c r="M625" s="3" t="str">
        <f>VLOOKUP(G625,Store!A:H,2,FALSE)</f>
        <v>Baldwin Bikes</v>
      </c>
      <c r="N625" s="3" t="str">
        <f>VLOOKUP(G625,Store!A:H,6,FALSE)</f>
        <v>Baldwin</v>
      </c>
      <c r="O625" s="3" t="s">
        <v>16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>
        <v>625.0</v>
      </c>
      <c r="B626" s="1">
        <v>1163.0</v>
      </c>
      <c r="C626" s="1">
        <v>4.0</v>
      </c>
      <c r="D626" s="4">
        <v>42729.0</v>
      </c>
      <c r="E626" s="4">
        <v>42732.0</v>
      </c>
      <c r="F626" s="4">
        <v>42730.0</v>
      </c>
      <c r="G626" s="1">
        <v>1.0</v>
      </c>
      <c r="H626" s="1">
        <v>2.0</v>
      </c>
      <c r="I626" s="3" t="str">
        <f>VLOOKUP(B626,Customers!A:J, 10,FALSE)</f>
        <v>Carmela Hays</v>
      </c>
      <c r="J626" s="3" t="str">
        <f>VLOOKUP(B626,Customers!A:J,8,FALSE)</f>
        <v>CA</v>
      </c>
      <c r="K626" s="3" t="str">
        <f>VLOOKUP(B626,Customers!A:J,7,FALSE)</f>
        <v>Lawndale</v>
      </c>
      <c r="L626" s="3" t="str">
        <f>VLOOKUP(H626,Staff!A:I,9,FALSE)</f>
        <v>Mireya Copeland</v>
      </c>
      <c r="M626" s="3" t="str">
        <f>VLOOKUP(G626,Store!A:H,2,FALSE)</f>
        <v>Santa Cruz Bikes</v>
      </c>
      <c r="N626" s="3" t="str">
        <f>VLOOKUP(G626,Store!A:H,6,FALSE)</f>
        <v>Santa Cruz</v>
      </c>
      <c r="O626" s="3" t="s">
        <v>15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>
        <v>626.0</v>
      </c>
      <c r="B627" s="1">
        <v>130.0</v>
      </c>
      <c r="C627" s="1">
        <v>4.0</v>
      </c>
      <c r="D627" s="4">
        <v>42729.0</v>
      </c>
      <c r="E627" s="4">
        <v>42732.0</v>
      </c>
      <c r="F627" s="4">
        <v>42731.0</v>
      </c>
      <c r="G627" s="1">
        <v>2.0</v>
      </c>
      <c r="H627" s="1">
        <v>7.0</v>
      </c>
      <c r="I627" s="3" t="str">
        <f>VLOOKUP(B627,Customers!A:J, 10,FALSE)</f>
        <v>Wes Stanton</v>
      </c>
      <c r="J627" s="3" t="str">
        <f>VLOOKUP(B627,Customers!A:J,8,FALSE)</f>
        <v>NY</v>
      </c>
      <c r="K627" s="3" t="str">
        <f>VLOOKUP(B627,Customers!A:J,7,FALSE)</f>
        <v>Troy</v>
      </c>
      <c r="L627" s="3" t="str">
        <f>VLOOKUP(H627,Staff!A:I,9,FALSE)</f>
        <v>Venita Daniel</v>
      </c>
      <c r="M627" s="3" t="str">
        <f>VLOOKUP(G627,Store!A:H,2,FALSE)</f>
        <v>Baldwin Bikes</v>
      </c>
      <c r="N627" s="3" t="str">
        <f>VLOOKUP(G627,Store!A:H,6,FALSE)</f>
        <v>Baldwin</v>
      </c>
      <c r="O627" s="3" t="s">
        <v>16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>
        <v>627.0</v>
      </c>
      <c r="B628" s="1">
        <v>1119.0</v>
      </c>
      <c r="C628" s="1">
        <v>4.0</v>
      </c>
      <c r="D628" s="4">
        <v>42729.0</v>
      </c>
      <c r="E628" s="4">
        <v>42730.0</v>
      </c>
      <c r="F628" s="4">
        <v>42732.0</v>
      </c>
      <c r="G628" s="1">
        <v>2.0</v>
      </c>
      <c r="H628" s="1">
        <v>6.0</v>
      </c>
      <c r="I628" s="3" t="str">
        <f>VLOOKUP(B628,Customers!A:J, 10,FALSE)</f>
        <v>Tora Dunlap</v>
      </c>
      <c r="J628" s="3" t="str">
        <f>VLOOKUP(B628,Customers!A:J,8,FALSE)</f>
        <v>NY</v>
      </c>
      <c r="K628" s="3" t="str">
        <f>VLOOKUP(B628,Customers!A:J,7,FALSE)</f>
        <v>Monsey</v>
      </c>
      <c r="L628" s="3" t="str">
        <f>VLOOKUP(H628,Staff!A:I,9,FALSE)</f>
        <v>Marcelene Boyer</v>
      </c>
      <c r="M628" s="3" t="str">
        <f>VLOOKUP(G628,Store!A:H,2,FALSE)</f>
        <v>Baldwin Bikes</v>
      </c>
      <c r="N628" s="3" t="str">
        <f>VLOOKUP(G628,Store!A:H,6,FALSE)</f>
        <v>Baldwin</v>
      </c>
      <c r="O628" s="3" t="s">
        <v>16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>
        <v>628.0</v>
      </c>
      <c r="B629" s="1">
        <v>561.0</v>
      </c>
      <c r="C629" s="1">
        <v>4.0</v>
      </c>
      <c r="D629" s="4">
        <v>42730.0</v>
      </c>
      <c r="E629" s="4">
        <v>42733.0</v>
      </c>
      <c r="F629" s="4">
        <v>42731.0</v>
      </c>
      <c r="G629" s="1">
        <v>1.0</v>
      </c>
      <c r="H629" s="1">
        <v>3.0</v>
      </c>
      <c r="I629" s="3" t="str">
        <f>VLOOKUP(B629,Customers!A:J, 10,FALSE)</f>
        <v>Kandace Hughes</v>
      </c>
      <c r="J629" s="3" t="str">
        <f>VLOOKUP(B629,Customers!A:J,8,FALSE)</f>
        <v>CA</v>
      </c>
      <c r="K629" s="3" t="str">
        <f>VLOOKUP(B629,Customers!A:J,7,FALSE)</f>
        <v>San Lorenzo</v>
      </c>
      <c r="L629" s="3" t="str">
        <f>VLOOKUP(H629,Staff!A:I,9,FALSE)</f>
        <v>Genna Serrano</v>
      </c>
      <c r="M629" s="3" t="str">
        <f>VLOOKUP(G629,Store!A:H,2,FALSE)</f>
        <v>Santa Cruz Bikes</v>
      </c>
      <c r="N629" s="3" t="str">
        <f>VLOOKUP(G629,Store!A:H,6,FALSE)</f>
        <v>Santa Cruz</v>
      </c>
      <c r="O629" s="3" t="s">
        <v>15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>
        <v>629.0</v>
      </c>
      <c r="B630" s="1">
        <v>973.0</v>
      </c>
      <c r="C630" s="1">
        <v>4.0</v>
      </c>
      <c r="D630" s="4">
        <v>42730.0</v>
      </c>
      <c r="E630" s="4">
        <v>42731.0</v>
      </c>
      <c r="F630" s="4">
        <v>42733.0</v>
      </c>
      <c r="G630" s="1">
        <v>1.0</v>
      </c>
      <c r="H630" s="1">
        <v>2.0</v>
      </c>
      <c r="I630" s="3" t="str">
        <f>VLOOKUP(B630,Customers!A:J, 10,FALSE)</f>
        <v>Margaretta Clayton</v>
      </c>
      <c r="J630" s="3" t="str">
        <f>VLOOKUP(B630,Customers!A:J,8,FALSE)</f>
        <v>CA</v>
      </c>
      <c r="K630" s="3" t="str">
        <f>VLOOKUP(B630,Customers!A:J,7,FALSE)</f>
        <v>Ridgecrest</v>
      </c>
      <c r="L630" s="3" t="str">
        <f>VLOOKUP(H630,Staff!A:I,9,FALSE)</f>
        <v>Mireya Copeland</v>
      </c>
      <c r="M630" s="3" t="str">
        <f>VLOOKUP(G630,Store!A:H,2,FALSE)</f>
        <v>Santa Cruz Bikes</v>
      </c>
      <c r="N630" s="3" t="str">
        <f>VLOOKUP(G630,Store!A:H,6,FALSE)</f>
        <v>Santa Cruz</v>
      </c>
      <c r="O630" s="3" t="s">
        <v>15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>
        <v>630.0</v>
      </c>
      <c r="B631" s="1">
        <v>1404.0</v>
      </c>
      <c r="C631" s="1">
        <v>4.0</v>
      </c>
      <c r="D631" s="4">
        <v>42730.0</v>
      </c>
      <c r="E631" s="4">
        <v>42731.0</v>
      </c>
      <c r="F631" s="4">
        <v>42732.0</v>
      </c>
      <c r="G631" s="1">
        <v>2.0</v>
      </c>
      <c r="H631" s="1">
        <v>6.0</v>
      </c>
      <c r="I631" s="3" t="str">
        <f>VLOOKUP(B631,Customers!A:J, 10,FALSE)</f>
        <v>Loyce Conway</v>
      </c>
      <c r="J631" s="3" t="str">
        <f>VLOOKUP(B631,Customers!A:J,8,FALSE)</f>
        <v>NY</v>
      </c>
      <c r="K631" s="3" t="str">
        <f>VLOOKUP(B631,Customers!A:J,7,FALSE)</f>
        <v>Central Islip</v>
      </c>
      <c r="L631" s="3" t="str">
        <f>VLOOKUP(H631,Staff!A:I,9,FALSE)</f>
        <v>Marcelene Boyer</v>
      </c>
      <c r="M631" s="3" t="str">
        <f>VLOOKUP(G631,Store!A:H,2,FALSE)</f>
        <v>Baldwin Bikes</v>
      </c>
      <c r="N631" s="3" t="str">
        <f>VLOOKUP(G631,Store!A:H,6,FALSE)</f>
        <v>Baldwin</v>
      </c>
      <c r="O631" s="3" t="s">
        <v>16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>
        <v>631.0</v>
      </c>
      <c r="B632" s="1">
        <v>855.0</v>
      </c>
      <c r="C632" s="1">
        <v>4.0</v>
      </c>
      <c r="D632" s="4">
        <v>42731.0</v>
      </c>
      <c r="E632" s="4">
        <v>42733.0</v>
      </c>
      <c r="F632" s="4">
        <v>42733.0</v>
      </c>
      <c r="G632" s="1">
        <v>1.0</v>
      </c>
      <c r="H632" s="1">
        <v>3.0</v>
      </c>
      <c r="I632" s="3" t="str">
        <f>VLOOKUP(B632,Customers!A:J, 10,FALSE)</f>
        <v>Lean Stark</v>
      </c>
      <c r="J632" s="3" t="str">
        <f>VLOOKUP(B632,Customers!A:J,8,FALSE)</f>
        <v>CA</v>
      </c>
      <c r="K632" s="3" t="str">
        <f>VLOOKUP(B632,Customers!A:J,7,FALSE)</f>
        <v>Upland</v>
      </c>
      <c r="L632" s="3" t="str">
        <f>VLOOKUP(H632,Staff!A:I,9,FALSE)</f>
        <v>Genna Serrano</v>
      </c>
      <c r="M632" s="3" t="str">
        <f>VLOOKUP(G632,Store!A:H,2,FALSE)</f>
        <v>Santa Cruz Bikes</v>
      </c>
      <c r="N632" s="3" t="str">
        <f>VLOOKUP(G632,Store!A:H,6,FALSE)</f>
        <v>Santa Cruz</v>
      </c>
      <c r="O632" s="3" t="s">
        <v>15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>
        <v>632.0</v>
      </c>
      <c r="B633" s="1">
        <v>163.0</v>
      </c>
      <c r="C633" s="1">
        <v>4.0</v>
      </c>
      <c r="D633" s="4">
        <v>42731.0</v>
      </c>
      <c r="E633" s="4">
        <v>42733.0</v>
      </c>
      <c r="F633" s="4">
        <v>42733.0</v>
      </c>
      <c r="G633" s="1">
        <v>2.0</v>
      </c>
      <c r="H633" s="1">
        <v>7.0</v>
      </c>
      <c r="I633" s="3" t="str">
        <f>VLOOKUP(B633,Customers!A:J, 10,FALSE)</f>
        <v>Margert Stevens</v>
      </c>
      <c r="J633" s="3" t="str">
        <f>VLOOKUP(B633,Customers!A:J,8,FALSE)</f>
        <v>NY</v>
      </c>
      <c r="K633" s="3" t="str">
        <f>VLOOKUP(B633,Customers!A:J,7,FALSE)</f>
        <v>Rome</v>
      </c>
      <c r="L633" s="3" t="str">
        <f>VLOOKUP(H633,Staff!A:I,9,FALSE)</f>
        <v>Venita Daniel</v>
      </c>
      <c r="M633" s="3" t="str">
        <f>VLOOKUP(G633,Store!A:H,2,FALSE)</f>
        <v>Baldwin Bikes</v>
      </c>
      <c r="N633" s="3" t="str">
        <f>VLOOKUP(G633,Store!A:H,6,FALSE)</f>
        <v>Baldwin</v>
      </c>
      <c r="O633" s="3" t="s">
        <v>16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>
        <v>633.0</v>
      </c>
      <c r="B634" s="1">
        <v>1040.0</v>
      </c>
      <c r="C634" s="1">
        <v>4.0</v>
      </c>
      <c r="D634" s="4">
        <v>42732.0</v>
      </c>
      <c r="E634" s="4">
        <v>42735.0</v>
      </c>
      <c r="F634" s="4">
        <v>42734.0</v>
      </c>
      <c r="G634" s="1">
        <v>3.0</v>
      </c>
      <c r="H634" s="1">
        <v>8.0</v>
      </c>
      <c r="I634" s="3" t="str">
        <f>VLOOKUP(B634,Customers!A:J, 10,FALSE)</f>
        <v>Shantae Hammond</v>
      </c>
      <c r="J634" s="3" t="str">
        <f>VLOOKUP(B634,Customers!A:J,8,FALSE)</f>
        <v>TX</v>
      </c>
      <c r="K634" s="3" t="str">
        <f>VLOOKUP(B634,Customers!A:J,7,FALSE)</f>
        <v>Victoria</v>
      </c>
      <c r="L634" s="3" t="str">
        <f>VLOOKUP(H634,Staff!A:I,9,FALSE)</f>
        <v>Kali Vargas</v>
      </c>
      <c r="M634" s="3" t="str">
        <f>VLOOKUP(G634,Store!A:H,2,FALSE)</f>
        <v>Rowlett Bikes</v>
      </c>
      <c r="N634" s="3" t="str">
        <f>VLOOKUP(G634,Store!A:H,6,FALSE)</f>
        <v>Rowlett</v>
      </c>
      <c r="O634" s="3" t="s">
        <v>17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>
        <v>634.0</v>
      </c>
      <c r="B635" s="1">
        <v>27.0</v>
      </c>
      <c r="C635" s="1">
        <v>4.0</v>
      </c>
      <c r="D635" s="4">
        <v>42733.0</v>
      </c>
      <c r="E635" s="4">
        <v>42736.0</v>
      </c>
      <c r="F635" s="4">
        <v>42734.0</v>
      </c>
      <c r="G635" s="1">
        <v>2.0</v>
      </c>
      <c r="H635" s="1">
        <v>6.0</v>
      </c>
      <c r="I635" s="3" t="str">
        <f>VLOOKUP(B635,Customers!A:J, 10,FALSE)</f>
        <v>Santos Valencia</v>
      </c>
      <c r="J635" s="3" t="str">
        <f>VLOOKUP(B635,Customers!A:J,8,FALSE)</f>
        <v>NY</v>
      </c>
      <c r="K635" s="3" t="str">
        <f>VLOOKUP(B635,Customers!A:J,7,FALSE)</f>
        <v>Sunnyside</v>
      </c>
      <c r="L635" s="3" t="str">
        <f>VLOOKUP(H635,Staff!A:I,9,FALSE)</f>
        <v>Marcelene Boyer</v>
      </c>
      <c r="M635" s="3" t="str">
        <f>VLOOKUP(G635,Store!A:H,2,FALSE)</f>
        <v>Baldwin Bikes</v>
      </c>
      <c r="N635" s="3" t="str">
        <f>VLOOKUP(G635,Store!A:H,6,FALSE)</f>
        <v>Baldwin</v>
      </c>
      <c r="O635" s="3" t="s">
        <v>16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>
        <v>635.0</v>
      </c>
      <c r="B636" s="1">
        <v>520.0</v>
      </c>
      <c r="C636" s="1">
        <v>4.0</v>
      </c>
      <c r="D636" s="4">
        <v>42734.0</v>
      </c>
      <c r="E636" s="4">
        <v>42737.0</v>
      </c>
      <c r="F636" s="4">
        <v>42735.0</v>
      </c>
      <c r="G636" s="1">
        <v>2.0</v>
      </c>
      <c r="H636" s="1">
        <v>6.0</v>
      </c>
      <c r="I636" s="3" t="str">
        <f>VLOOKUP(B636,Customers!A:J, 10,FALSE)</f>
        <v>Andreas Herman</v>
      </c>
      <c r="J636" s="3" t="str">
        <f>VLOOKUP(B636,Customers!A:J,8,FALSE)</f>
        <v>NY</v>
      </c>
      <c r="K636" s="3" t="str">
        <f>VLOOKUP(B636,Customers!A:J,7,FALSE)</f>
        <v>Mount Vernon</v>
      </c>
      <c r="L636" s="3" t="str">
        <f>VLOOKUP(H636,Staff!A:I,9,FALSE)</f>
        <v>Marcelene Boyer</v>
      </c>
      <c r="M636" s="3" t="str">
        <f>VLOOKUP(G636,Store!A:H,2,FALSE)</f>
        <v>Baldwin Bikes</v>
      </c>
      <c r="N636" s="3" t="str">
        <f>VLOOKUP(G636,Store!A:H,6,FALSE)</f>
        <v>Baldwin</v>
      </c>
      <c r="O636" s="3" t="s">
        <v>16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>
        <v>636.0</v>
      </c>
      <c r="B637" s="1">
        <v>532.0</v>
      </c>
      <c r="C637" s="1">
        <v>4.0</v>
      </c>
      <c r="D637" s="4">
        <v>42738.0</v>
      </c>
      <c r="E637" s="4">
        <v>42739.0</v>
      </c>
      <c r="F637" s="4">
        <v>42740.0</v>
      </c>
      <c r="G637" s="1">
        <v>1.0</v>
      </c>
      <c r="H637" s="1">
        <v>2.0</v>
      </c>
      <c r="I637" s="3" t="str">
        <f>VLOOKUP(B637,Customers!A:J, 10,FALSE)</f>
        <v>Mia Delgado</v>
      </c>
      <c r="J637" s="3" t="str">
        <f>VLOOKUP(B637,Customers!A:J,8,FALSE)</f>
        <v>CA</v>
      </c>
      <c r="K637" s="3" t="str">
        <f>VLOOKUP(B637,Customers!A:J,7,FALSE)</f>
        <v>Coachella</v>
      </c>
      <c r="L637" s="3" t="str">
        <f>VLOOKUP(H637,Staff!A:I,9,FALSE)</f>
        <v>Mireya Copeland</v>
      </c>
      <c r="M637" s="3" t="str">
        <f>VLOOKUP(G637,Store!A:H,2,FALSE)</f>
        <v>Santa Cruz Bikes</v>
      </c>
      <c r="N637" s="3" t="str">
        <f>VLOOKUP(G637,Store!A:H,6,FALSE)</f>
        <v>Santa Cruz</v>
      </c>
      <c r="O637" s="3" t="s">
        <v>15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>
        <v>637.0</v>
      </c>
      <c r="B638" s="1">
        <v>512.0</v>
      </c>
      <c r="C638" s="1">
        <v>4.0</v>
      </c>
      <c r="D638" s="4">
        <v>42738.0</v>
      </c>
      <c r="E638" s="4">
        <v>42740.0</v>
      </c>
      <c r="F638" s="4">
        <v>42740.0</v>
      </c>
      <c r="G638" s="1">
        <v>2.0</v>
      </c>
      <c r="H638" s="1">
        <v>6.0</v>
      </c>
      <c r="I638" s="3" t="str">
        <f>VLOOKUP(B638,Customers!A:J, 10,FALSE)</f>
        <v>Hee Greer</v>
      </c>
      <c r="J638" s="3" t="str">
        <f>VLOOKUP(B638,Customers!A:J,8,FALSE)</f>
        <v>NY</v>
      </c>
      <c r="K638" s="3" t="str">
        <f>VLOOKUP(B638,Customers!A:J,7,FALSE)</f>
        <v>Selden</v>
      </c>
      <c r="L638" s="3" t="str">
        <f>VLOOKUP(H638,Staff!A:I,9,FALSE)</f>
        <v>Marcelene Boyer</v>
      </c>
      <c r="M638" s="3" t="str">
        <f>VLOOKUP(G638,Store!A:H,2,FALSE)</f>
        <v>Baldwin Bikes</v>
      </c>
      <c r="N638" s="3" t="str">
        <f>VLOOKUP(G638,Store!A:H,6,FALSE)</f>
        <v>Baldwin</v>
      </c>
      <c r="O638" s="3" t="s">
        <v>16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>
        <v>638.0</v>
      </c>
      <c r="B639" s="1">
        <v>1302.0</v>
      </c>
      <c r="C639" s="1">
        <v>4.0</v>
      </c>
      <c r="D639" s="4">
        <v>42739.0</v>
      </c>
      <c r="E639" s="4">
        <v>42740.0</v>
      </c>
      <c r="F639" s="4">
        <v>42741.0</v>
      </c>
      <c r="G639" s="1">
        <v>2.0</v>
      </c>
      <c r="H639" s="1">
        <v>7.0</v>
      </c>
      <c r="I639" s="3" t="str">
        <f>VLOOKUP(B639,Customers!A:J, 10,FALSE)</f>
        <v>Verda Gilbert</v>
      </c>
      <c r="J639" s="3" t="str">
        <f>VLOOKUP(B639,Customers!A:J,8,FALSE)</f>
        <v>NY</v>
      </c>
      <c r="K639" s="3" t="str">
        <f>VLOOKUP(B639,Customers!A:J,7,FALSE)</f>
        <v>East Northport</v>
      </c>
      <c r="L639" s="3" t="str">
        <f>VLOOKUP(H639,Staff!A:I,9,FALSE)</f>
        <v>Venita Daniel</v>
      </c>
      <c r="M639" s="3" t="str">
        <f>VLOOKUP(G639,Store!A:H,2,FALSE)</f>
        <v>Baldwin Bikes</v>
      </c>
      <c r="N639" s="3" t="str">
        <f>VLOOKUP(G639,Store!A:H,6,FALSE)</f>
        <v>Baldwin</v>
      </c>
      <c r="O639" s="3" t="s">
        <v>16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>
        <v>639.0</v>
      </c>
      <c r="B640" s="1">
        <v>550.0</v>
      </c>
      <c r="C640" s="1">
        <v>4.0</v>
      </c>
      <c r="D640" s="4">
        <v>42741.0</v>
      </c>
      <c r="E640" s="4">
        <v>42742.0</v>
      </c>
      <c r="F640" s="4">
        <v>42742.0</v>
      </c>
      <c r="G640" s="1">
        <v>2.0</v>
      </c>
      <c r="H640" s="1">
        <v>6.0</v>
      </c>
      <c r="I640" s="3" t="str">
        <f>VLOOKUP(B640,Customers!A:J, 10,FALSE)</f>
        <v>Felicidad Golden</v>
      </c>
      <c r="J640" s="3" t="str">
        <f>VLOOKUP(B640,Customers!A:J,8,FALSE)</f>
        <v>NY</v>
      </c>
      <c r="K640" s="3" t="str">
        <f>VLOOKUP(B640,Customers!A:J,7,FALSE)</f>
        <v>Lockport</v>
      </c>
      <c r="L640" s="3" t="str">
        <f>VLOOKUP(H640,Staff!A:I,9,FALSE)</f>
        <v>Marcelene Boyer</v>
      </c>
      <c r="M640" s="3" t="str">
        <f>VLOOKUP(G640,Store!A:H,2,FALSE)</f>
        <v>Baldwin Bikes</v>
      </c>
      <c r="N640" s="3" t="str">
        <f>VLOOKUP(G640,Store!A:H,6,FALSE)</f>
        <v>Baldwin</v>
      </c>
      <c r="O640" s="3" t="s">
        <v>16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>
        <v>640.0</v>
      </c>
      <c r="B641" s="1">
        <v>1093.0</v>
      </c>
      <c r="C641" s="1">
        <v>4.0</v>
      </c>
      <c r="D641" s="4">
        <v>42741.0</v>
      </c>
      <c r="E641" s="4">
        <v>42743.0</v>
      </c>
      <c r="F641" s="4">
        <v>42742.0</v>
      </c>
      <c r="G641" s="1">
        <v>2.0</v>
      </c>
      <c r="H641" s="1">
        <v>6.0</v>
      </c>
      <c r="I641" s="3" t="str">
        <f>VLOOKUP(B641,Customers!A:J, 10,FALSE)</f>
        <v>Alejandrina Hodges</v>
      </c>
      <c r="J641" s="3" t="str">
        <f>VLOOKUP(B641,Customers!A:J,8,FALSE)</f>
        <v>NY</v>
      </c>
      <c r="K641" s="3" t="str">
        <f>VLOOKUP(B641,Customers!A:J,7,FALSE)</f>
        <v>Deer Park</v>
      </c>
      <c r="L641" s="3" t="str">
        <f>VLOOKUP(H641,Staff!A:I,9,FALSE)</f>
        <v>Marcelene Boyer</v>
      </c>
      <c r="M641" s="3" t="str">
        <f>VLOOKUP(G641,Store!A:H,2,FALSE)</f>
        <v>Baldwin Bikes</v>
      </c>
      <c r="N641" s="3" t="str">
        <f>VLOOKUP(G641,Store!A:H,6,FALSE)</f>
        <v>Baldwin</v>
      </c>
      <c r="O641" s="3" t="s">
        <v>16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>
        <v>641.0</v>
      </c>
      <c r="B642" s="1">
        <v>673.0</v>
      </c>
      <c r="C642" s="1">
        <v>4.0</v>
      </c>
      <c r="D642" s="4">
        <v>42742.0</v>
      </c>
      <c r="E642" s="4">
        <v>42745.0</v>
      </c>
      <c r="F642" s="4">
        <v>42743.0</v>
      </c>
      <c r="G642" s="1">
        <v>1.0</v>
      </c>
      <c r="H642" s="1">
        <v>3.0</v>
      </c>
      <c r="I642" s="3" t="str">
        <f>VLOOKUP(B642,Customers!A:J, 10,FALSE)</f>
        <v>Adam Henderson</v>
      </c>
      <c r="J642" s="3" t="str">
        <f>VLOOKUP(B642,Customers!A:J,8,FALSE)</f>
        <v>CA</v>
      </c>
      <c r="K642" s="3" t="str">
        <f>VLOOKUP(B642,Customers!A:J,7,FALSE)</f>
        <v>Los Banos</v>
      </c>
      <c r="L642" s="3" t="str">
        <f>VLOOKUP(H642,Staff!A:I,9,FALSE)</f>
        <v>Genna Serrano</v>
      </c>
      <c r="M642" s="3" t="str">
        <f>VLOOKUP(G642,Store!A:H,2,FALSE)</f>
        <v>Santa Cruz Bikes</v>
      </c>
      <c r="N642" s="3" t="str">
        <f>VLOOKUP(G642,Store!A:H,6,FALSE)</f>
        <v>Santa Cruz</v>
      </c>
      <c r="O642" s="3" t="s">
        <v>15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>
        <v>642.0</v>
      </c>
      <c r="B643" s="1">
        <v>847.0</v>
      </c>
      <c r="C643" s="1">
        <v>4.0</v>
      </c>
      <c r="D643" s="4">
        <v>42742.0</v>
      </c>
      <c r="E643" s="4">
        <v>42744.0</v>
      </c>
      <c r="F643" s="4">
        <v>42745.0</v>
      </c>
      <c r="G643" s="1">
        <v>2.0</v>
      </c>
      <c r="H643" s="1">
        <v>7.0</v>
      </c>
      <c r="I643" s="3" t="str">
        <f>VLOOKUP(B643,Customers!A:J, 10,FALSE)</f>
        <v>Lizette Ellison</v>
      </c>
      <c r="J643" s="3" t="str">
        <f>VLOOKUP(B643,Customers!A:J,8,FALSE)</f>
        <v>NY</v>
      </c>
      <c r="K643" s="3" t="str">
        <f>VLOOKUP(B643,Customers!A:J,7,FALSE)</f>
        <v>Port Washington</v>
      </c>
      <c r="L643" s="3" t="str">
        <f>VLOOKUP(H643,Staff!A:I,9,FALSE)</f>
        <v>Venita Daniel</v>
      </c>
      <c r="M643" s="3" t="str">
        <f>VLOOKUP(G643,Store!A:H,2,FALSE)</f>
        <v>Baldwin Bikes</v>
      </c>
      <c r="N643" s="3" t="str">
        <f>VLOOKUP(G643,Store!A:H,6,FALSE)</f>
        <v>Baldwin</v>
      </c>
      <c r="O643" s="3" t="s">
        <v>16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>
        <v>643.0</v>
      </c>
      <c r="B644" s="1">
        <v>901.0</v>
      </c>
      <c r="C644" s="1">
        <v>4.0</v>
      </c>
      <c r="D644" s="4">
        <v>42743.0</v>
      </c>
      <c r="E644" s="4">
        <v>42744.0</v>
      </c>
      <c r="F644" s="4">
        <v>42746.0</v>
      </c>
      <c r="G644" s="1">
        <v>1.0</v>
      </c>
      <c r="H644" s="1">
        <v>3.0</v>
      </c>
      <c r="I644" s="3" t="str">
        <f>VLOOKUP(B644,Customers!A:J, 10,FALSE)</f>
        <v>Lonna Franks</v>
      </c>
      <c r="J644" s="3" t="str">
        <f>VLOOKUP(B644,Customers!A:J,8,FALSE)</f>
        <v>CA</v>
      </c>
      <c r="K644" s="3" t="str">
        <f>VLOOKUP(B644,Customers!A:J,7,FALSE)</f>
        <v>Ontario</v>
      </c>
      <c r="L644" s="3" t="str">
        <f>VLOOKUP(H644,Staff!A:I,9,FALSE)</f>
        <v>Genna Serrano</v>
      </c>
      <c r="M644" s="3" t="str">
        <f>VLOOKUP(G644,Store!A:H,2,FALSE)</f>
        <v>Santa Cruz Bikes</v>
      </c>
      <c r="N644" s="3" t="str">
        <f>VLOOKUP(G644,Store!A:H,6,FALSE)</f>
        <v>Santa Cruz</v>
      </c>
      <c r="O644" s="3" t="s">
        <v>15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>
        <v>644.0</v>
      </c>
      <c r="B645" s="1">
        <v>439.0</v>
      </c>
      <c r="C645" s="1">
        <v>4.0</v>
      </c>
      <c r="D645" s="4">
        <v>42743.0</v>
      </c>
      <c r="E645" s="4">
        <v>42746.0</v>
      </c>
      <c r="F645" s="4">
        <v>42745.0</v>
      </c>
      <c r="G645" s="1">
        <v>2.0</v>
      </c>
      <c r="H645" s="1">
        <v>6.0</v>
      </c>
      <c r="I645" s="3" t="str">
        <f>VLOOKUP(B645,Customers!A:J, 10,FALSE)</f>
        <v>Sunshine Rosario</v>
      </c>
      <c r="J645" s="3" t="str">
        <f>VLOOKUP(B645,Customers!A:J,8,FALSE)</f>
        <v>NY</v>
      </c>
      <c r="K645" s="3" t="str">
        <f>VLOOKUP(B645,Customers!A:J,7,FALSE)</f>
        <v>Jamaica</v>
      </c>
      <c r="L645" s="3" t="str">
        <f>VLOOKUP(H645,Staff!A:I,9,FALSE)</f>
        <v>Marcelene Boyer</v>
      </c>
      <c r="M645" s="3" t="str">
        <f>VLOOKUP(G645,Store!A:H,2,FALSE)</f>
        <v>Baldwin Bikes</v>
      </c>
      <c r="N645" s="3" t="str">
        <f>VLOOKUP(G645,Store!A:H,6,FALSE)</f>
        <v>Baldwin</v>
      </c>
      <c r="O645" s="3" t="s">
        <v>16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>
        <v>645.0</v>
      </c>
      <c r="B646" s="1">
        <v>1199.0</v>
      </c>
      <c r="C646" s="1">
        <v>4.0</v>
      </c>
      <c r="D646" s="4">
        <v>42743.0</v>
      </c>
      <c r="E646" s="4">
        <v>42746.0</v>
      </c>
      <c r="F646" s="4">
        <v>42745.0</v>
      </c>
      <c r="G646" s="1">
        <v>2.0</v>
      </c>
      <c r="H646" s="1">
        <v>6.0</v>
      </c>
      <c r="I646" s="3" t="str">
        <f>VLOOKUP(B646,Customers!A:J, 10,FALSE)</f>
        <v>Consuela Collier</v>
      </c>
      <c r="J646" s="3" t="str">
        <f>VLOOKUP(B646,Customers!A:J,8,FALSE)</f>
        <v>NY</v>
      </c>
      <c r="K646" s="3" t="str">
        <f>VLOOKUP(B646,Customers!A:J,7,FALSE)</f>
        <v>North Tonawanda</v>
      </c>
      <c r="L646" s="3" t="str">
        <f>VLOOKUP(H646,Staff!A:I,9,FALSE)</f>
        <v>Marcelene Boyer</v>
      </c>
      <c r="M646" s="3" t="str">
        <f>VLOOKUP(G646,Store!A:H,2,FALSE)</f>
        <v>Baldwin Bikes</v>
      </c>
      <c r="N646" s="3" t="str">
        <f>VLOOKUP(G646,Store!A:H,6,FALSE)</f>
        <v>Baldwin</v>
      </c>
      <c r="O646" s="3" t="s">
        <v>16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>
        <v>646.0</v>
      </c>
      <c r="B647" s="1">
        <v>975.0</v>
      </c>
      <c r="C647" s="1">
        <v>4.0</v>
      </c>
      <c r="D647" s="4">
        <v>42744.0</v>
      </c>
      <c r="E647" s="4">
        <v>42747.0</v>
      </c>
      <c r="F647" s="4">
        <v>42746.0</v>
      </c>
      <c r="G647" s="1">
        <v>1.0</v>
      </c>
      <c r="H647" s="1">
        <v>2.0</v>
      </c>
      <c r="I647" s="3" t="str">
        <f>VLOOKUP(B647,Customers!A:J, 10,FALSE)</f>
        <v>Annis Sanchez</v>
      </c>
      <c r="J647" s="3" t="str">
        <f>VLOOKUP(B647,Customers!A:J,8,FALSE)</f>
        <v>CA</v>
      </c>
      <c r="K647" s="3" t="str">
        <f>VLOOKUP(B647,Customers!A:J,7,FALSE)</f>
        <v>Los Angeles</v>
      </c>
      <c r="L647" s="3" t="str">
        <f>VLOOKUP(H647,Staff!A:I,9,FALSE)</f>
        <v>Mireya Copeland</v>
      </c>
      <c r="M647" s="3" t="str">
        <f>VLOOKUP(G647,Store!A:H,2,FALSE)</f>
        <v>Santa Cruz Bikes</v>
      </c>
      <c r="N647" s="3" t="str">
        <f>VLOOKUP(G647,Store!A:H,6,FALSE)</f>
        <v>Santa Cruz</v>
      </c>
      <c r="O647" s="3" t="s">
        <v>15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>
        <v>647.0</v>
      </c>
      <c r="B648" s="1">
        <v>283.0</v>
      </c>
      <c r="C648" s="1">
        <v>4.0</v>
      </c>
      <c r="D648" s="4">
        <v>42744.0</v>
      </c>
      <c r="E648" s="4">
        <v>42745.0</v>
      </c>
      <c r="F648" s="4">
        <v>42746.0</v>
      </c>
      <c r="G648" s="1">
        <v>2.0</v>
      </c>
      <c r="H648" s="1">
        <v>7.0</v>
      </c>
      <c r="I648" s="3" t="str">
        <f>VLOOKUP(B648,Customers!A:J, 10,FALSE)</f>
        <v>Jaimee Day</v>
      </c>
      <c r="J648" s="3" t="str">
        <f>VLOOKUP(B648,Customers!A:J,8,FALSE)</f>
        <v>NY</v>
      </c>
      <c r="K648" s="3" t="str">
        <f>VLOOKUP(B648,Customers!A:J,7,FALSE)</f>
        <v>Poughkeepsie</v>
      </c>
      <c r="L648" s="3" t="str">
        <f>VLOOKUP(H648,Staff!A:I,9,FALSE)</f>
        <v>Venita Daniel</v>
      </c>
      <c r="M648" s="3" t="str">
        <f>VLOOKUP(G648,Store!A:H,2,FALSE)</f>
        <v>Baldwin Bikes</v>
      </c>
      <c r="N648" s="3" t="str">
        <f>VLOOKUP(G648,Store!A:H,6,FALSE)</f>
        <v>Baldwin</v>
      </c>
      <c r="O648" s="3" t="s">
        <v>16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>
        <v>648.0</v>
      </c>
      <c r="B649" s="1">
        <v>684.0</v>
      </c>
      <c r="C649" s="1">
        <v>4.0</v>
      </c>
      <c r="D649" s="4">
        <v>42744.0</v>
      </c>
      <c r="E649" s="4">
        <v>42746.0</v>
      </c>
      <c r="F649" s="4">
        <v>42746.0</v>
      </c>
      <c r="G649" s="1">
        <v>2.0</v>
      </c>
      <c r="H649" s="1">
        <v>6.0</v>
      </c>
      <c r="I649" s="3" t="str">
        <f>VLOOKUP(B649,Customers!A:J, 10,FALSE)</f>
        <v>Jenny Bell</v>
      </c>
      <c r="J649" s="3" t="str">
        <f>VLOOKUP(B649,Customers!A:J,8,FALSE)</f>
        <v>NY</v>
      </c>
      <c r="K649" s="3" t="str">
        <f>VLOOKUP(B649,Customers!A:J,7,FALSE)</f>
        <v>Niagara Falls</v>
      </c>
      <c r="L649" s="3" t="str">
        <f>VLOOKUP(H649,Staff!A:I,9,FALSE)</f>
        <v>Marcelene Boyer</v>
      </c>
      <c r="M649" s="3" t="str">
        <f>VLOOKUP(G649,Store!A:H,2,FALSE)</f>
        <v>Baldwin Bikes</v>
      </c>
      <c r="N649" s="3" t="str">
        <f>VLOOKUP(G649,Store!A:H,6,FALSE)</f>
        <v>Baldwin</v>
      </c>
      <c r="O649" s="3" t="s">
        <v>16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>
        <v>649.0</v>
      </c>
      <c r="B650" s="1">
        <v>1153.0</v>
      </c>
      <c r="C650" s="1">
        <v>4.0</v>
      </c>
      <c r="D650" s="4">
        <v>42745.0</v>
      </c>
      <c r="E650" s="4">
        <v>42746.0</v>
      </c>
      <c r="F650" s="4">
        <v>42748.0</v>
      </c>
      <c r="G650" s="1">
        <v>1.0</v>
      </c>
      <c r="H650" s="1">
        <v>3.0</v>
      </c>
      <c r="I650" s="3" t="str">
        <f>VLOOKUP(B650,Customers!A:J, 10,FALSE)</f>
        <v>Ara Vazquez</v>
      </c>
      <c r="J650" s="3" t="str">
        <f>VLOOKUP(B650,Customers!A:J,8,FALSE)</f>
        <v>CA</v>
      </c>
      <c r="K650" s="3" t="str">
        <f>VLOOKUP(B650,Customers!A:J,7,FALSE)</f>
        <v>San Carlos</v>
      </c>
      <c r="L650" s="3" t="str">
        <f>VLOOKUP(H650,Staff!A:I,9,FALSE)</f>
        <v>Genna Serrano</v>
      </c>
      <c r="M650" s="3" t="str">
        <f>VLOOKUP(G650,Store!A:H,2,FALSE)</f>
        <v>Santa Cruz Bikes</v>
      </c>
      <c r="N650" s="3" t="str">
        <f>VLOOKUP(G650,Store!A:H,6,FALSE)</f>
        <v>Santa Cruz</v>
      </c>
      <c r="O650" s="3" t="s">
        <v>15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>
        <v>650.0</v>
      </c>
      <c r="B651" s="1">
        <v>729.0</v>
      </c>
      <c r="C651" s="1">
        <v>4.0</v>
      </c>
      <c r="D651" s="4">
        <v>42746.0</v>
      </c>
      <c r="E651" s="4">
        <v>42749.0</v>
      </c>
      <c r="F651" s="4">
        <v>42747.0</v>
      </c>
      <c r="G651" s="1">
        <v>1.0</v>
      </c>
      <c r="H651" s="1">
        <v>2.0</v>
      </c>
      <c r="I651" s="3" t="str">
        <f>VLOOKUP(B651,Customers!A:J, 10,FALSE)</f>
        <v>Hue Dalton</v>
      </c>
      <c r="J651" s="3" t="str">
        <f>VLOOKUP(B651,Customers!A:J,8,FALSE)</f>
        <v>CA</v>
      </c>
      <c r="K651" s="3" t="str">
        <f>VLOOKUP(B651,Customers!A:J,7,FALSE)</f>
        <v>Apple Valley</v>
      </c>
      <c r="L651" s="3" t="str">
        <f>VLOOKUP(H651,Staff!A:I,9,FALSE)</f>
        <v>Mireya Copeland</v>
      </c>
      <c r="M651" s="3" t="str">
        <f>VLOOKUP(G651,Store!A:H,2,FALSE)</f>
        <v>Santa Cruz Bikes</v>
      </c>
      <c r="N651" s="3" t="str">
        <f>VLOOKUP(G651,Store!A:H,6,FALSE)</f>
        <v>Santa Cruz</v>
      </c>
      <c r="O651" s="3" t="s">
        <v>15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>
        <v>651.0</v>
      </c>
      <c r="B652" s="1">
        <v>190.0</v>
      </c>
      <c r="C652" s="1">
        <v>4.0</v>
      </c>
      <c r="D652" s="4">
        <v>42746.0</v>
      </c>
      <c r="E652" s="4">
        <v>42748.0</v>
      </c>
      <c r="F652" s="4">
        <v>42748.0</v>
      </c>
      <c r="G652" s="1">
        <v>2.0</v>
      </c>
      <c r="H652" s="1">
        <v>7.0</v>
      </c>
      <c r="I652" s="3" t="str">
        <f>VLOOKUP(B652,Customers!A:J, 10,FALSE)</f>
        <v>Toya Pratt</v>
      </c>
      <c r="J652" s="3" t="str">
        <f>VLOOKUP(B652,Customers!A:J,8,FALSE)</f>
        <v>NY</v>
      </c>
      <c r="K652" s="3" t="str">
        <f>VLOOKUP(B652,Customers!A:J,7,FALSE)</f>
        <v>Long Beach</v>
      </c>
      <c r="L652" s="3" t="str">
        <f>VLOOKUP(H652,Staff!A:I,9,FALSE)</f>
        <v>Venita Daniel</v>
      </c>
      <c r="M652" s="3" t="str">
        <f>VLOOKUP(G652,Store!A:H,2,FALSE)</f>
        <v>Baldwin Bikes</v>
      </c>
      <c r="N652" s="3" t="str">
        <f>VLOOKUP(G652,Store!A:H,6,FALSE)</f>
        <v>Baldwin</v>
      </c>
      <c r="O652" s="3" t="s">
        <v>16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>
        <v>652.0</v>
      </c>
      <c r="B653" s="1">
        <v>985.0</v>
      </c>
      <c r="C653" s="1">
        <v>4.0</v>
      </c>
      <c r="D653" s="4">
        <v>42747.0</v>
      </c>
      <c r="E653" s="4">
        <v>42750.0</v>
      </c>
      <c r="F653" s="4">
        <v>42748.0</v>
      </c>
      <c r="G653" s="1">
        <v>3.0</v>
      </c>
      <c r="H653" s="1">
        <v>9.0</v>
      </c>
      <c r="I653" s="3" t="str">
        <f>VLOOKUP(B653,Customers!A:J, 10,FALSE)</f>
        <v>Milagros Weber</v>
      </c>
      <c r="J653" s="3" t="str">
        <f>VLOOKUP(B653,Customers!A:J,8,FALSE)</f>
        <v>TX</v>
      </c>
      <c r="K653" s="3" t="str">
        <f>VLOOKUP(B653,Customers!A:J,7,FALSE)</f>
        <v>Harlingen</v>
      </c>
      <c r="L653" s="3" t="str">
        <f>VLOOKUP(H653,Staff!A:I,9,FALSE)</f>
        <v>Layla Terrell</v>
      </c>
      <c r="M653" s="3" t="str">
        <f>VLOOKUP(G653,Store!A:H,2,FALSE)</f>
        <v>Rowlett Bikes</v>
      </c>
      <c r="N653" s="3" t="str">
        <f>VLOOKUP(G653,Store!A:H,6,FALSE)</f>
        <v>Rowlett</v>
      </c>
      <c r="O653" s="3" t="s">
        <v>17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>
        <v>653.0</v>
      </c>
      <c r="B654" s="1">
        <v>1249.0</v>
      </c>
      <c r="C654" s="1">
        <v>4.0</v>
      </c>
      <c r="D654" s="4">
        <v>42749.0</v>
      </c>
      <c r="E654" s="4">
        <v>42752.0</v>
      </c>
      <c r="F654" s="4">
        <v>42750.0</v>
      </c>
      <c r="G654" s="1">
        <v>1.0</v>
      </c>
      <c r="H654" s="1">
        <v>2.0</v>
      </c>
      <c r="I654" s="3" t="str">
        <f>VLOOKUP(B654,Customers!A:J, 10,FALSE)</f>
        <v>Barbra Dickerson</v>
      </c>
      <c r="J654" s="3" t="str">
        <f>VLOOKUP(B654,Customers!A:J,8,FALSE)</f>
        <v>CA</v>
      </c>
      <c r="K654" s="3" t="str">
        <f>VLOOKUP(B654,Customers!A:J,7,FALSE)</f>
        <v>Ridgecrest</v>
      </c>
      <c r="L654" s="3" t="str">
        <f>VLOOKUP(H654,Staff!A:I,9,FALSE)</f>
        <v>Mireya Copeland</v>
      </c>
      <c r="M654" s="3" t="str">
        <f>VLOOKUP(G654,Store!A:H,2,FALSE)</f>
        <v>Santa Cruz Bikes</v>
      </c>
      <c r="N654" s="3" t="str">
        <f>VLOOKUP(G654,Store!A:H,6,FALSE)</f>
        <v>Santa Cruz</v>
      </c>
      <c r="O654" s="3" t="s">
        <v>15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>
        <v>654.0</v>
      </c>
      <c r="B655" s="1">
        <v>1129.0</v>
      </c>
      <c r="C655" s="1">
        <v>4.0</v>
      </c>
      <c r="D655" s="4">
        <v>42749.0</v>
      </c>
      <c r="E655" s="4">
        <v>42750.0</v>
      </c>
      <c r="F655" s="4">
        <v>42752.0</v>
      </c>
      <c r="G655" s="1">
        <v>2.0</v>
      </c>
      <c r="H655" s="1">
        <v>7.0</v>
      </c>
      <c r="I655" s="3" t="str">
        <f>VLOOKUP(B655,Customers!A:J, 10,FALSE)</f>
        <v>Gilberto Sanders</v>
      </c>
      <c r="J655" s="3" t="str">
        <f>VLOOKUP(B655,Customers!A:J,8,FALSE)</f>
        <v>NY</v>
      </c>
      <c r="K655" s="3" t="str">
        <f>VLOOKUP(B655,Customers!A:J,7,FALSE)</f>
        <v>Woodside</v>
      </c>
      <c r="L655" s="3" t="str">
        <f>VLOOKUP(H655,Staff!A:I,9,FALSE)</f>
        <v>Venita Daniel</v>
      </c>
      <c r="M655" s="3" t="str">
        <f>VLOOKUP(G655,Store!A:H,2,FALSE)</f>
        <v>Baldwin Bikes</v>
      </c>
      <c r="N655" s="3" t="str">
        <f>VLOOKUP(G655,Store!A:H,6,FALSE)</f>
        <v>Baldwin</v>
      </c>
      <c r="O655" s="3" t="s">
        <v>16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>
        <v>655.0</v>
      </c>
      <c r="B656" s="1">
        <v>347.0</v>
      </c>
      <c r="C656" s="1">
        <v>4.0</v>
      </c>
      <c r="D656" s="4">
        <v>42751.0</v>
      </c>
      <c r="E656" s="4">
        <v>42752.0</v>
      </c>
      <c r="F656" s="4">
        <v>42753.0</v>
      </c>
      <c r="G656" s="1">
        <v>1.0</v>
      </c>
      <c r="H656" s="1">
        <v>3.0</v>
      </c>
      <c r="I656" s="3" t="str">
        <f>VLOOKUP(B656,Customers!A:J, 10,FALSE)</f>
        <v>Kanesha Hudson</v>
      </c>
      <c r="J656" s="3" t="str">
        <f>VLOOKUP(B656,Customers!A:J,8,FALSE)</f>
        <v>CA</v>
      </c>
      <c r="K656" s="3" t="str">
        <f>VLOOKUP(B656,Customers!A:J,7,FALSE)</f>
        <v>Oakland</v>
      </c>
      <c r="L656" s="3" t="str">
        <f>VLOOKUP(H656,Staff!A:I,9,FALSE)</f>
        <v>Genna Serrano</v>
      </c>
      <c r="M656" s="3" t="str">
        <f>VLOOKUP(G656,Store!A:H,2,FALSE)</f>
        <v>Santa Cruz Bikes</v>
      </c>
      <c r="N656" s="3" t="str">
        <f>VLOOKUP(G656,Store!A:H,6,FALSE)</f>
        <v>Santa Cruz</v>
      </c>
      <c r="O656" s="3" t="s">
        <v>15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>
        <v>656.0</v>
      </c>
      <c r="B657" s="1">
        <v>949.0</v>
      </c>
      <c r="C657" s="1">
        <v>4.0</v>
      </c>
      <c r="D657" s="4">
        <v>42751.0</v>
      </c>
      <c r="E657" s="4">
        <v>42752.0</v>
      </c>
      <c r="F657" s="4">
        <v>42753.0</v>
      </c>
      <c r="G657" s="1">
        <v>2.0</v>
      </c>
      <c r="H657" s="1">
        <v>7.0</v>
      </c>
      <c r="I657" s="3" t="str">
        <f>VLOOKUP(B657,Customers!A:J, 10,FALSE)</f>
        <v>Venessa Frost</v>
      </c>
      <c r="J657" s="3" t="str">
        <f>VLOOKUP(B657,Customers!A:J,8,FALSE)</f>
        <v>NY</v>
      </c>
      <c r="K657" s="3" t="str">
        <f>VLOOKUP(B657,Customers!A:J,7,FALSE)</f>
        <v>Scarsdale</v>
      </c>
      <c r="L657" s="3" t="str">
        <f>VLOOKUP(H657,Staff!A:I,9,FALSE)</f>
        <v>Venita Daniel</v>
      </c>
      <c r="M657" s="3" t="str">
        <f>VLOOKUP(G657,Store!A:H,2,FALSE)</f>
        <v>Baldwin Bikes</v>
      </c>
      <c r="N657" s="3" t="str">
        <f>VLOOKUP(G657,Store!A:H,6,FALSE)</f>
        <v>Baldwin</v>
      </c>
      <c r="O657" s="3" t="s">
        <v>16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>
        <v>657.0</v>
      </c>
      <c r="B658" s="1">
        <v>349.0</v>
      </c>
      <c r="C658" s="1">
        <v>4.0</v>
      </c>
      <c r="D658" s="4">
        <v>42752.0</v>
      </c>
      <c r="E658" s="4">
        <v>42754.0</v>
      </c>
      <c r="F658" s="4">
        <v>42755.0</v>
      </c>
      <c r="G658" s="1">
        <v>1.0</v>
      </c>
      <c r="H658" s="1">
        <v>2.0</v>
      </c>
      <c r="I658" s="3" t="str">
        <f>VLOOKUP(B658,Customers!A:J, 10,FALSE)</f>
        <v>Mable Pratt</v>
      </c>
      <c r="J658" s="3" t="str">
        <f>VLOOKUP(B658,Customers!A:J,8,FALSE)</f>
        <v>CA</v>
      </c>
      <c r="K658" s="3" t="str">
        <f>VLOOKUP(B658,Customers!A:J,7,FALSE)</f>
        <v>Coachella</v>
      </c>
      <c r="L658" s="3" t="str">
        <f>VLOOKUP(H658,Staff!A:I,9,FALSE)</f>
        <v>Mireya Copeland</v>
      </c>
      <c r="M658" s="3" t="str">
        <f>VLOOKUP(G658,Store!A:H,2,FALSE)</f>
        <v>Santa Cruz Bikes</v>
      </c>
      <c r="N658" s="3" t="str">
        <f>VLOOKUP(G658,Store!A:H,6,FALSE)</f>
        <v>Santa Cruz</v>
      </c>
      <c r="O658" s="3" t="s">
        <v>15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>
        <v>658.0</v>
      </c>
      <c r="B659" s="1">
        <v>1051.0</v>
      </c>
      <c r="C659" s="1">
        <v>4.0</v>
      </c>
      <c r="D659" s="4">
        <v>42752.0</v>
      </c>
      <c r="E659" s="4">
        <v>42753.0</v>
      </c>
      <c r="F659" s="4">
        <v>42753.0</v>
      </c>
      <c r="G659" s="1">
        <v>2.0</v>
      </c>
      <c r="H659" s="1">
        <v>7.0</v>
      </c>
      <c r="I659" s="3" t="str">
        <f>VLOOKUP(B659,Customers!A:J, 10,FALSE)</f>
        <v>Tonisha Fowler</v>
      </c>
      <c r="J659" s="3" t="str">
        <f>VLOOKUP(B659,Customers!A:J,8,FALSE)</f>
        <v>NY</v>
      </c>
      <c r="K659" s="3" t="str">
        <f>VLOOKUP(B659,Customers!A:J,7,FALSE)</f>
        <v>Huntington Station</v>
      </c>
      <c r="L659" s="3" t="str">
        <f>VLOOKUP(H659,Staff!A:I,9,FALSE)</f>
        <v>Venita Daniel</v>
      </c>
      <c r="M659" s="3" t="str">
        <f>VLOOKUP(G659,Store!A:H,2,FALSE)</f>
        <v>Baldwin Bikes</v>
      </c>
      <c r="N659" s="3" t="str">
        <f>VLOOKUP(G659,Store!A:H,6,FALSE)</f>
        <v>Baldwin</v>
      </c>
      <c r="O659" s="3" t="s">
        <v>16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>
        <v>659.0</v>
      </c>
      <c r="B660" s="1">
        <v>1391.0</v>
      </c>
      <c r="C660" s="1">
        <v>4.0</v>
      </c>
      <c r="D660" s="4">
        <v>42752.0</v>
      </c>
      <c r="E660" s="4">
        <v>42754.0</v>
      </c>
      <c r="F660" s="4">
        <v>42753.0</v>
      </c>
      <c r="G660" s="1">
        <v>2.0</v>
      </c>
      <c r="H660" s="1">
        <v>7.0</v>
      </c>
      <c r="I660" s="3" t="str">
        <f>VLOOKUP(B660,Customers!A:J, 10,FALSE)</f>
        <v>Sheryl Chase</v>
      </c>
      <c r="J660" s="3" t="str">
        <f>VLOOKUP(B660,Customers!A:J,8,FALSE)</f>
        <v>NY</v>
      </c>
      <c r="K660" s="3" t="str">
        <f>VLOOKUP(B660,Customers!A:J,7,FALSE)</f>
        <v>Floral Park</v>
      </c>
      <c r="L660" s="3" t="str">
        <f>VLOOKUP(H660,Staff!A:I,9,FALSE)</f>
        <v>Venita Daniel</v>
      </c>
      <c r="M660" s="3" t="str">
        <f>VLOOKUP(G660,Store!A:H,2,FALSE)</f>
        <v>Baldwin Bikes</v>
      </c>
      <c r="N660" s="3" t="str">
        <f>VLOOKUP(G660,Store!A:H,6,FALSE)</f>
        <v>Baldwin</v>
      </c>
      <c r="O660" s="3" t="s">
        <v>16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>
        <v>660.0</v>
      </c>
      <c r="B661" s="1">
        <v>383.0</v>
      </c>
      <c r="C661" s="1">
        <v>4.0</v>
      </c>
      <c r="D661" s="4">
        <v>42753.0</v>
      </c>
      <c r="E661" s="4">
        <v>42754.0</v>
      </c>
      <c r="F661" s="4">
        <v>42754.0</v>
      </c>
      <c r="G661" s="1">
        <v>2.0</v>
      </c>
      <c r="H661" s="1">
        <v>7.0</v>
      </c>
      <c r="I661" s="3" t="str">
        <f>VLOOKUP(B661,Customers!A:J, 10,FALSE)</f>
        <v>Ashlee Pena</v>
      </c>
      <c r="J661" s="3" t="str">
        <f>VLOOKUP(B661,Customers!A:J,8,FALSE)</f>
        <v>NY</v>
      </c>
      <c r="K661" s="3" t="str">
        <f>VLOOKUP(B661,Customers!A:J,7,FALSE)</f>
        <v>Whitestone</v>
      </c>
      <c r="L661" s="3" t="str">
        <f>VLOOKUP(H661,Staff!A:I,9,FALSE)</f>
        <v>Venita Daniel</v>
      </c>
      <c r="M661" s="3" t="str">
        <f>VLOOKUP(G661,Store!A:H,2,FALSE)</f>
        <v>Baldwin Bikes</v>
      </c>
      <c r="N661" s="3" t="str">
        <f>VLOOKUP(G661,Store!A:H,6,FALSE)</f>
        <v>Baldwin</v>
      </c>
      <c r="O661" s="3" t="s">
        <v>16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>
        <v>661.0</v>
      </c>
      <c r="B662" s="1">
        <v>626.0</v>
      </c>
      <c r="C662" s="1">
        <v>4.0</v>
      </c>
      <c r="D662" s="4">
        <v>42753.0</v>
      </c>
      <c r="E662" s="4">
        <v>42754.0</v>
      </c>
      <c r="F662" s="4">
        <v>42755.0</v>
      </c>
      <c r="G662" s="1">
        <v>2.0</v>
      </c>
      <c r="H662" s="1">
        <v>6.0</v>
      </c>
      <c r="I662" s="3" t="str">
        <f>VLOOKUP(B662,Customers!A:J, 10,FALSE)</f>
        <v>Leigh Burke</v>
      </c>
      <c r="J662" s="3" t="str">
        <f>VLOOKUP(B662,Customers!A:J,8,FALSE)</f>
        <v>NY</v>
      </c>
      <c r="K662" s="3" t="str">
        <f>VLOOKUP(B662,Customers!A:J,7,FALSE)</f>
        <v>Schenectady</v>
      </c>
      <c r="L662" s="3" t="str">
        <f>VLOOKUP(H662,Staff!A:I,9,FALSE)</f>
        <v>Marcelene Boyer</v>
      </c>
      <c r="M662" s="3" t="str">
        <f>VLOOKUP(G662,Store!A:H,2,FALSE)</f>
        <v>Baldwin Bikes</v>
      </c>
      <c r="N662" s="3" t="str">
        <f>VLOOKUP(G662,Store!A:H,6,FALSE)</f>
        <v>Baldwin</v>
      </c>
      <c r="O662" s="3" t="s">
        <v>16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>
        <v>662.0</v>
      </c>
      <c r="B663" s="1">
        <v>1125.0</v>
      </c>
      <c r="C663" s="1">
        <v>4.0</v>
      </c>
      <c r="D663" s="4">
        <v>42754.0</v>
      </c>
      <c r="E663" s="4">
        <v>42755.0</v>
      </c>
      <c r="F663" s="4">
        <v>42755.0</v>
      </c>
      <c r="G663" s="1">
        <v>1.0</v>
      </c>
      <c r="H663" s="1">
        <v>3.0</v>
      </c>
      <c r="I663" s="3" t="str">
        <f>VLOOKUP(B663,Customers!A:J, 10,FALSE)</f>
        <v>Caleb England</v>
      </c>
      <c r="J663" s="3" t="str">
        <f>VLOOKUP(B663,Customers!A:J,8,FALSE)</f>
        <v>CA</v>
      </c>
      <c r="K663" s="3" t="str">
        <f>VLOOKUP(B663,Customers!A:J,7,FALSE)</f>
        <v>Pleasanton</v>
      </c>
      <c r="L663" s="3" t="str">
        <f>VLOOKUP(H663,Staff!A:I,9,FALSE)</f>
        <v>Genna Serrano</v>
      </c>
      <c r="M663" s="3" t="str">
        <f>VLOOKUP(G663,Store!A:H,2,FALSE)</f>
        <v>Santa Cruz Bikes</v>
      </c>
      <c r="N663" s="3" t="str">
        <f>VLOOKUP(G663,Store!A:H,6,FALSE)</f>
        <v>Santa Cruz</v>
      </c>
      <c r="O663" s="3" t="s">
        <v>15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>
        <v>663.0</v>
      </c>
      <c r="B664" s="1">
        <v>344.0</v>
      </c>
      <c r="C664" s="1">
        <v>4.0</v>
      </c>
      <c r="D664" s="4">
        <v>42755.0</v>
      </c>
      <c r="E664" s="4">
        <v>42757.0</v>
      </c>
      <c r="F664" s="4">
        <v>42758.0</v>
      </c>
      <c r="G664" s="1">
        <v>1.0</v>
      </c>
      <c r="H664" s="1">
        <v>3.0</v>
      </c>
      <c r="I664" s="3" t="str">
        <f>VLOOKUP(B664,Customers!A:J, 10,FALSE)</f>
        <v>Herta Rollins</v>
      </c>
      <c r="J664" s="3" t="str">
        <f>VLOOKUP(B664,Customers!A:J,8,FALSE)</f>
        <v>CA</v>
      </c>
      <c r="K664" s="3" t="str">
        <f>VLOOKUP(B664,Customers!A:J,7,FALSE)</f>
        <v>Mountain View</v>
      </c>
      <c r="L664" s="3" t="str">
        <f>VLOOKUP(H664,Staff!A:I,9,FALSE)</f>
        <v>Genna Serrano</v>
      </c>
      <c r="M664" s="3" t="str">
        <f>VLOOKUP(G664,Store!A:H,2,FALSE)</f>
        <v>Santa Cruz Bikes</v>
      </c>
      <c r="N664" s="3" t="str">
        <f>VLOOKUP(G664,Store!A:H,6,FALSE)</f>
        <v>Santa Cruz</v>
      </c>
      <c r="O664" s="3" t="s">
        <v>15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>
        <v>664.0</v>
      </c>
      <c r="B665" s="1">
        <v>681.0</v>
      </c>
      <c r="C665" s="1">
        <v>4.0</v>
      </c>
      <c r="D665" s="4">
        <v>42755.0</v>
      </c>
      <c r="E665" s="4">
        <v>42758.0</v>
      </c>
      <c r="F665" s="4">
        <v>42757.0</v>
      </c>
      <c r="G665" s="1">
        <v>2.0</v>
      </c>
      <c r="H665" s="1">
        <v>7.0</v>
      </c>
      <c r="I665" s="3" t="str">
        <f>VLOOKUP(B665,Customers!A:J, 10,FALSE)</f>
        <v>Reatha Perez</v>
      </c>
      <c r="J665" s="3" t="str">
        <f>VLOOKUP(B665,Customers!A:J,8,FALSE)</f>
        <v>NY</v>
      </c>
      <c r="K665" s="3" t="str">
        <f>VLOOKUP(B665,Customers!A:J,7,FALSE)</f>
        <v>Holbrook</v>
      </c>
      <c r="L665" s="3" t="str">
        <f>VLOOKUP(H665,Staff!A:I,9,FALSE)</f>
        <v>Venita Daniel</v>
      </c>
      <c r="M665" s="3" t="str">
        <f>VLOOKUP(G665,Store!A:H,2,FALSE)</f>
        <v>Baldwin Bikes</v>
      </c>
      <c r="N665" s="3" t="str">
        <f>VLOOKUP(G665,Store!A:H,6,FALSE)</f>
        <v>Baldwin</v>
      </c>
      <c r="O665" s="3" t="s">
        <v>16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>
        <v>665.0</v>
      </c>
      <c r="B666" s="1">
        <v>29.0</v>
      </c>
      <c r="C666" s="1">
        <v>4.0</v>
      </c>
      <c r="D666" s="4">
        <v>42756.0</v>
      </c>
      <c r="E666" s="4">
        <v>42757.0</v>
      </c>
      <c r="F666" s="4">
        <v>42758.0</v>
      </c>
      <c r="G666" s="1">
        <v>2.0</v>
      </c>
      <c r="H666" s="1">
        <v>6.0</v>
      </c>
      <c r="I666" s="3" t="str">
        <f>VLOOKUP(B666,Customers!A:J, 10,FALSE)</f>
        <v>Syreeta Hendricks</v>
      </c>
      <c r="J666" s="3" t="str">
        <f>VLOOKUP(B666,Customers!A:J,8,FALSE)</f>
        <v>NY</v>
      </c>
      <c r="K666" s="3" t="str">
        <f>VLOOKUP(B666,Customers!A:J,7,FALSE)</f>
        <v>Mahopac</v>
      </c>
      <c r="L666" s="3" t="str">
        <f>VLOOKUP(H666,Staff!A:I,9,FALSE)</f>
        <v>Marcelene Boyer</v>
      </c>
      <c r="M666" s="3" t="str">
        <f>VLOOKUP(G666,Store!A:H,2,FALSE)</f>
        <v>Baldwin Bikes</v>
      </c>
      <c r="N666" s="3" t="str">
        <f>VLOOKUP(G666,Store!A:H,6,FALSE)</f>
        <v>Baldwin</v>
      </c>
      <c r="O666" s="3" t="s">
        <v>16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>
        <v>666.0</v>
      </c>
      <c r="B667" s="1">
        <v>770.0</v>
      </c>
      <c r="C667" s="1">
        <v>4.0</v>
      </c>
      <c r="D667" s="4">
        <v>42756.0</v>
      </c>
      <c r="E667" s="4">
        <v>42757.0</v>
      </c>
      <c r="F667" s="4">
        <v>42759.0</v>
      </c>
      <c r="G667" s="1">
        <v>2.0</v>
      </c>
      <c r="H667" s="1">
        <v>7.0</v>
      </c>
      <c r="I667" s="3" t="str">
        <f>VLOOKUP(B667,Customers!A:J, 10,FALSE)</f>
        <v>Lavonda Stephenson</v>
      </c>
      <c r="J667" s="3" t="str">
        <f>VLOOKUP(B667,Customers!A:J,8,FALSE)</f>
        <v>NY</v>
      </c>
      <c r="K667" s="3" t="str">
        <f>VLOOKUP(B667,Customers!A:J,7,FALSE)</f>
        <v>Bay Shore</v>
      </c>
      <c r="L667" s="3" t="str">
        <f>VLOOKUP(H667,Staff!A:I,9,FALSE)</f>
        <v>Venita Daniel</v>
      </c>
      <c r="M667" s="3" t="str">
        <f>VLOOKUP(G667,Store!A:H,2,FALSE)</f>
        <v>Baldwin Bikes</v>
      </c>
      <c r="N667" s="3" t="str">
        <f>VLOOKUP(G667,Store!A:H,6,FALSE)</f>
        <v>Baldwin</v>
      </c>
      <c r="O667" s="3" t="s">
        <v>16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>
        <v>667.0</v>
      </c>
      <c r="B668" s="1">
        <v>858.0</v>
      </c>
      <c r="C668" s="1">
        <v>4.0</v>
      </c>
      <c r="D668" s="4">
        <v>42757.0</v>
      </c>
      <c r="E668" s="4">
        <v>42759.0</v>
      </c>
      <c r="F668" s="4">
        <v>42760.0</v>
      </c>
      <c r="G668" s="1">
        <v>2.0</v>
      </c>
      <c r="H668" s="1">
        <v>7.0</v>
      </c>
      <c r="I668" s="3" t="str">
        <f>VLOOKUP(B668,Customers!A:J, 10,FALSE)</f>
        <v>Klara Kim</v>
      </c>
      <c r="J668" s="3" t="str">
        <f>VLOOKUP(B668,Customers!A:J,8,FALSE)</f>
        <v>NY</v>
      </c>
      <c r="K668" s="3" t="str">
        <f>VLOOKUP(B668,Customers!A:J,7,FALSE)</f>
        <v>Rome</v>
      </c>
      <c r="L668" s="3" t="str">
        <f>VLOOKUP(H668,Staff!A:I,9,FALSE)</f>
        <v>Venita Daniel</v>
      </c>
      <c r="M668" s="3" t="str">
        <f>VLOOKUP(G668,Store!A:H,2,FALSE)</f>
        <v>Baldwin Bikes</v>
      </c>
      <c r="N668" s="3" t="str">
        <f>VLOOKUP(G668,Store!A:H,6,FALSE)</f>
        <v>Baldwin</v>
      </c>
      <c r="O668" s="3" t="s">
        <v>16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>
        <v>668.0</v>
      </c>
      <c r="B669" s="1">
        <v>297.0</v>
      </c>
      <c r="C669" s="1">
        <v>4.0</v>
      </c>
      <c r="D669" s="4">
        <v>42757.0</v>
      </c>
      <c r="E669" s="4">
        <v>42758.0</v>
      </c>
      <c r="F669" s="4">
        <v>42759.0</v>
      </c>
      <c r="G669" s="1">
        <v>3.0</v>
      </c>
      <c r="H669" s="1">
        <v>8.0</v>
      </c>
      <c r="I669" s="3" t="str">
        <f>VLOOKUP(B669,Customers!A:J, 10,FALSE)</f>
        <v>Christia Carson</v>
      </c>
      <c r="J669" s="3" t="str">
        <f>VLOOKUP(B669,Customers!A:J,8,FALSE)</f>
        <v>TX</v>
      </c>
      <c r="K669" s="3" t="str">
        <f>VLOOKUP(B669,Customers!A:J,7,FALSE)</f>
        <v>Helotes</v>
      </c>
      <c r="L669" s="3" t="str">
        <f>VLOOKUP(H669,Staff!A:I,9,FALSE)</f>
        <v>Kali Vargas</v>
      </c>
      <c r="M669" s="3" t="str">
        <f>VLOOKUP(G669,Store!A:H,2,FALSE)</f>
        <v>Rowlett Bikes</v>
      </c>
      <c r="N669" s="3" t="str">
        <f>VLOOKUP(G669,Store!A:H,6,FALSE)</f>
        <v>Rowlett</v>
      </c>
      <c r="O669" s="3" t="s">
        <v>17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>
        <v>669.0</v>
      </c>
      <c r="B670" s="1">
        <v>745.0</v>
      </c>
      <c r="C670" s="1">
        <v>4.0</v>
      </c>
      <c r="D670" s="4">
        <v>42758.0</v>
      </c>
      <c r="E670" s="4">
        <v>42759.0</v>
      </c>
      <c r="F670" s="4">
        <v>42761.0</v>
      </c>
      <c r="G670" s="1">
        <v>2.0</v>
      </c>
      <c r="H670" s="1">
        <v>7.0</v>
      </c>
      <c r="I670" s="3" t="str">
        <f>VLOOKUP(B670,Customers!A:J, 10,FALSE)</f>
        <v>Carolyne Conley</v>
      </c>
      <c r="J670" s="3" t="str">
        <f>VLOOKUP(B670,Customers!A:J,8,FALSE)</f>
        <v>NY</v>
      </c>
      <c r="K670" s="3" t="str">
        <f>VLOOKUP(B670,Customers!A:J,7,FALSE)</f>
        <v>Floral Park</v>
      </c>
      <c r="L670" s="3" t="str">
        <f>VLOOKUP(H670,Staff!A:I,9,FALSE)</f>
        <v>Venita Daniel</v>
      </c>
      <c r="M670" s="3" t="str">
        <f>VLOOKUP(G670,Store!A:H,2,FALSE)</f>
        <v>Baldwin Bikes</v>
      </c>
      <c r="N670" s="3" t="str">
        <f>VLOOKUP(G670,Store!A:H,6,FALSE)</f>
        <v>Baldwin</v>
      </c>
      <c r="O670" s="3" t="s">
        <v>16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>
        <v>670.0</v>
      </c>
      <c r="B671" s="1">
        <v>361.0</v>
      </c>
      <c r="C671" s="1">
        <v>4.0</v>
      </c>
      <c r="D671" s="4">
        <v>42759.0</v>
      </c>
      <c r="E671" s="4">
        <v>42760.0</v>
      </c>
      <c r="F671" s="4">
        <v>42760.0</v>
      </c>
      <c r="G671" s="1">
        <v>2.0</v>
      </c>
      <c r="H671" s="1">
        <v>6.0</v>
      </c>
      <c r="I671" s="3" t="str">
        <f>VLOOKUP(B671,Customers!A:J, 10,FALSE)</f>
        <v>Virgina Berg</v>
      </c>
      <c r="J671" s="3" t="str">
        <f>VLOOKUP(B671,Customers!A:J,8,FALSE)</f>
        <v>NY</v>
      </c>
      <c r="K671" s="3" t="str">
        <f>VLOOKUP(B671,Customers!A:J,7,FALSE)</f>
        <v>Valley Stream</v>
      </c>
      <c r="L671" s="3" t="str">
        <f>VLOOKUP(H671,Staff!A:I,9,FALSE)</f>
        <v>Marcelene Boyer</v>
      </c>
      <c r="M671" s="3" t="str">
        <f>VLOOKUP(G671,Store!A:H,2,FALSE)</f>
        <v>Baldwin Bikes</v>
      </c>
      <c r="N671" s="3" t="str">
        <f>VLOOKUP(G671,Store!A:H,6,FALSE)</f>
        <v>Baldwin</v>
      </c>
      <c r="O671" s="3" t="s">
        <v>16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>
        <v>671.0</v>
      </c>
      <c r="B672" s="1">
        <v>922.0</v>
      </c>
      <c r="C672" s="1">
        <v>4.0</v>
      </c>
      <c r="D672" s="4">
        <v>42760.0</v>
      </c>
      <c r="E672" s="4">
        <v>42763.0</v>
      </c>
      <c r="F672" s="4">
        <v>42761.0</v>
      </c>
      <c r="G672" s="1">
        <v>2.0</v>
      </c>
      <c r="H672" s="1">
        <v>7.0</v>
      </c>
      <c r="I672" s="3" t="str">
        <f>VLOOKUP(B672,Customers!A:J, 10,FALSE)</f>
        <v>Elvia Cardenas</v>
      </c>
      <c r="J672" s="3" t="str">
        <f>VLOOKUP(B672,Customers!A:J,8,FALSE)</f>
        <v>NY</v>
      </c>
      <c r="K672" s="3" t="str">
        <f>VLOOKUP(B672,Customers!A:J,7,FALSE)</f>
        <v>Massapequa</v>
      </c>
      <c r="L672" s="3" t="str">
        <f>VLOOKUP(H672,Staff!A:I,9,FALSE)</f>
        <v>Venita Daniel</v>
      </c>
      <c r="M672" s="3" t="str">
        <f>VLOOKUP(G672,Store!A:H,2,FALSE)</f>
        <v>Baldwin Bikes</v>
      </c>
      <c r="N672" s="3" t="str">
        <f>VLOOKUP(G672,Store!A:H,6,FALSE)</f>
        <v>Baldwin</v>
      </c>
      <c r="O672" s="3" t="s">
        <v>16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>
        <v>672.0</v>
      </c>
      <c r="B673" s="1">
        <v>908.0</v>
      </c>
      <c r="C673" s="1">
        <v>4.0</v>
      </c>
      <c r="D673" s="4">
        <v>42761.0</v>
      </c>
      <c r="E673" s="4">
        <v>42764.0</v>
      </c>
      <c r="F673" s="4">
        <v>42764.0</v>
      </c>
      <c r="G673" s="1">
        <v>2.0</v>
      </c>
      <c r="H673" s="1">
        <v>6.0</v>
      </c>
      <c r="I673" s="3" t="str">
        <f>VLOOKUP(B673,Customers!A:J, 10,FALSE)</f>
        <v>Delmar Wise</v>
      </c>
      <c r="J673" s="3" t="str">
        <f>VLOOKUP(B673,Customers!A:J,8,FALSE)</f>
        <v>NY</v>
      </c>
      <c r="K673" s="3" t="str">
        <f>VLOOKUP(B673,Customers!A:J,7,FALSE)</f>
        <v>Lockport</v>
      </c>
      <c r="L673" s="3" t="str">
        <f>VLOOKUP(H673,Staff!A:I,9,FALSE)</f>
        <v>Marcelene Boyer</v>
      </c>
      <c r="M673" s="3" t="str">
        <f>VLOOKUP(G673,Store!A:H,2,FALSE)</f>
        <v>Baldwin Bikes</v>
      </c>
      <c r="N673" s="3" t="str">
        <f>VLOOKUP(G673,Store!A:H,6,FALSE)</f>
        <v>Baldwin</v>
      </c>
      <c r="O673" s="3" t="s">
        <v>16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>
        <v>673.0</v>
      </c>
      <c r="B674" s="1">
        <v>64.0</v>
      </c>
      <c r="C674" s="1">
        <v>4.0</v>
      </c>
      <c r="D674" s="4">
        <v>42761.0</v>
      </c>
      <c r="E674" s="4">
        <v>42763.0</v>
      </c>
      <c r="F674" s="4">
        <v>42762.0</v>
      </c>
      <c r="G674" s="1">
        <v>3.0</v>
      </c>
      <c r="H674" s="1">
        <v>9.0</v>
      </c>
      <c r="I674" s="3" t="str">
        <f>VLOOKUP(B674,Customers!A:J, 10,FALSE)</f>
        <v>Bobbie Foster</v>
      </c>
      <c r="J674" s="3" t="str">
        <f>VLOOKUP(B674,Customers!A:J,8,FALSE)</f>
        <v>TX</v>
      </c>
      <c r="K674" s="3" t="str">
        <f>VLOOKUP(B674,Customers!A:J,7,FALSE)</f>
        <v>Desoto</v>
      </c>
      <c r="L674" s="3" t="str">
        <f>VLOOKUP(H674,Staff!A:I,9,FALSE)</f>
        <v>Layla Terrell</v>
      </c>
      <c r="M674" s="3" t="str">
        <f>VLOOKUP(G674,Store!A:H,2,FALSE)</f>
        <v>Rowlett Bikes</v>
      </c>
      <c r="N674" s="3" t="str">
        <f>VLOOKUP(G674,Store!A:H,6,FALSE)</f>
        <v>Rowlett</v>
      </c>
      <c r="O674" s="3" t="s">
        <v>17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>
        <v>674.0</v>
      </c>
      <c r="B675" s="1">
        <v>733.0</v>
      </c>
      <c r="C675" s="1">
        <v>4.0</v>
      </c>
      <c r="D675" s="4">
        <v>42762.0</v>
      </c>
      <c r="E675" s="4">
        <v>42763.0</v>
      </c>
      <c r="F675" s="4">
        <v>42764.0</v>
      </c>
      <c r="G675" s="1">
        <v>2.0</v>
      </c>
      <c r="H675" s="1">
        <v>6.0</v>
      </c>
      <c r="I675" s="3" t="str">
        <f>VLOOKUP(B675,Customers!A:J, 10,FALSE)</f>
        <v>Doreatha Ford</v>
      </c>
      <c r="J675" s="3" t="str">
        <f>VLOOKUP(B675,Customers!A:J,8,FALSE)</f>
        <v>NY</v>
      </c>
      <c r="K675" s="3" t="str">
        <f>VLOOKUP(B675,Customers!A:J,7,FALSE)</f>
        <v>Huntington</v>
      </c>
      <c r="L675" s="3" t="str">
        <f>VLOOKUP(H675,Staff!A:I,9,FALSE)</f>
        <v>Marcelene Boyer</v>
      </c>
      <c r="M675" s="3" t="str">
        <f>VLOOKUP(G675,Store!A:H,2,FALSE)</f>
        <v>Baldwin Bikes</v>
      </c>
      <c r="N675" s="3" t="str">
        <f>VLOOKUP(G675,Store!A:H,6,FALSE)</f>
        <v>Baldwin</v>
      </c>
      <c r="O675" s="3" t="s">
        <v>16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>
        <v>675.0</v>
      </c>
      <c r="B676" s="1">
        <v>291.0</v>
      </c>
      <c r="C676" s="1">
        <v>4.0</v>
      </c>
      <c r="D676" s="4">
        <v>42763.0</v>
      </c>
      <c r="E676" s="4">
        <v>42766.0</v>
      </c>
      <c r="F676" s="4">
        <v>42765.0</v>
      </c>
      <c r="G676" s="1">
        <v>2.0</v>
      </c>
      <c r="H676" s="1">
        <v>7.0</v>
      </c>
      <c r="I676" s="3" t="str">
        <f>VLOOKUP(B676,Customers!A:J, 10,FALSE)</f>
        <v>Boyce Burks</v>
      </c>
      <c r="J676" s="3" t="str">
        <f>VLOOKUP(B676,Customers!A:J,8,FALSE)</f>
        <v>NY</v>
      </c>
      <c r="K676" s="3" t="str">
        <f>VLOOKUP(B676,Customers!A:J,7,FALSE)</f>
        <v>Sunnyside</v>
      </c>
      <c r="L676" s="3" t="str">
        <f>VLOOKUP(H676,Staff!A:I,9,FALSE)</f>
        <v>Venita Daniel</v>
      </c>
      <c r="M676" s="3" t="str">
        <f>VLOOKUP(G676,Store!A:H,2,FALSE)</f>
        <v>Baldwin Bikes</v>
      </c>
      <c r="N676" s="3" t="str">
        <f>VLOOKUP(G676,Store!A:H,6,FALSE)</f>
        <v>Baldwin</v>
      </c>
      <c r="O676" s="3" t="s">
        <v>16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>
        <v>676.0</v>
      </c>
      <c r="B677" s="1">
        <v>790.0</v>
      </c>
      <c r="C677" s="1">
        <v>4.0</v>
      </c>
      <c r="D677" s="4">
        <v>42763.0</v>
      </c>
      <c r="E677" s="4">
        <v>42765.0</v>
      </c>
      <c r="F677" s="4">
        <v>42766.0</v>
      </c>
      <c r="G677" s="1">
        <v>2.0</v>
      </c>
      <c r="H677" s="1">
        <v>7.0</v>
      </c>
      <c r="I677" s="3" t="str">
        <f>VLOOKUP(B677,Customers!A:J, 10,FALSE)</f>
        <v>Petronila Gallegos</v>
      </c>
      <c r="J677" s="3" t="str">
        <f>VLOOKUP(B677,Customers!A:J,8,FALSE)</f>
        <v>NY</v>
      </c>
      <c r="K677" s="3" t="str">
        <f>VLOOKUP(B677,Customers!A:J,7,FALSE)</f>
        <v>Howard Beach</v>
      </c>
      <c r="L677" s="3" t="str">
        <f>VLOOKUP(H677,Staff!A:I,9,FALSE)</f>
        <v>Venita Daniel</v>
      </c>
      <c r="M677" s="3" t="str">
        <f>VLOOKUP(G677,Store!A:H,2,FALSE)</f>
        <v>Baldwin Bikes</v>
      </c>
      <c r="N677" s="3" t="str">
        <f>VLOOKUP(G677,Store!A:H,6,FALSE)</f>
        <v>Baldwin</v>
      </c>
      <c r="O677" s="3" t="s">
        <v>16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>
        <v>677.0</v>
      </c>
      <c r="B678" s="1">
        <v>809.0</v>
      </c>
      <c r="C678" s="1">
        <v>4.0</v>
      </c>
      <c r="D678" s="4">
        <v>42763.0</v>
      </c>
      <c r="E678" s="4">
        <v>42766.0</v>
      </c>
      <c r="F678" s="4">
        <v>42765.0</v>
      </c>
      <c r="G678" s="1">
        <v>2.0</v>
      </c>
      <c r="H678" s="1">
        <v>7.0</v>
      </c>
      <c r="I678" s="3" t="str">
        <f>VLOOKUP(B678,Customers!A:J, 10,FALSE)</f>
        <v>Elnora Simpson</v>
      </c>
      <c r="J678" s="3" t="str">
        <f>VLOOKUP(B678,Customers!A:J,8,FALSE)</f>
        <v>NY</v>
      </c>
      <c r="K678" s="3" t="str">
        <f>VLOOKUP(B678,Customers!A:J,7,FALSE)</f>
        <v>Bellmore</v>
      </c>
      <c r="L678" s="3" t="str">
        <f>VLOOKUP(H678,Staff!A:I,9,FALSE)</f>
        <v>Venita Daniel</v>
      </c>
      <c r="M678" s="3" t="str">
        <f>VLOOKUP(G678,Store!A:H,2,FALSE)</f>
        <v>Baldwin Bikes</v>
      </c>
      <c r="N678" s="3" t="str">
        <f>VLOOKUP(G678,Store!A:H,6,FALSE)</f>
        <v>Baldwin</v>
      </c>
      <c r="O678" s="3" t="s">
        <v>16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>
        <v>678.0</v>
      </c>
      <c r="B679" s="1">
        <v>250.0</v>
      </c>
      <c r="C679" s="1">
        <v>4.0</v>
      </c>
      <c r="D679" s="4">
        <v>42763.0</v>
      </c>
      <c r="E679" s="4">
        <v>42764.0</v>
      </c>
      <c r="F679" s="4">
        <v>42766.0</v>
      </c>
      <c r="G679" s="1">
        <v>3.0</v>
      </c>
      <c r="H679" s="1">
        <v>9.0</v>
      </c>
      <c r="I679" s="3" t="str">
        <f>VLOOKUP(B679,Customers!A:J, 10,FALSE)</f>
        <v>Ivonne Yang</v>
      </c>
      <c r="J679" s="3" t="str">
        <f>VLOOKUP(B679,Customers!A:J,8,FALSE)</f>
        <v>TX</v>
      </c>
      <c r="K679" s="3" t="str">
        <f>VLOOKUP(B679,Customers!A:J,7,FALSE)</f>
        <v>El Paso</v>
      </c>
      <c r="L679" s="3" t="str">
        <f>VLOOKUP(H679,Staff!A:I,9,FALSE)</f>
        <v>Layla Terrell</v>
      </c>
      <c r="M679" s="3" t="str">
        <f>VLOOKUP(G679,Store!A:H,2,FALSE)</f>
        <v>Rowlett Bikes</v>
      </c>
      <c r="N679" s="3" t="str">
        <f>VLOOKUP(G679,Store!A:H,6,FALSE)</f>
        <v>Rowlett</v>
      </c>
      <c r="O679" s="3" t="s">
        <v>17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>
        <v>679.0</v>
      </c>
      <c r="B680" s="1">
        <v>81.0</v>
      </c>
      <c r="C680" s="1">
        <v>4.0</v>
      </c>
      <c r="D680" s="4">
        <v>42764.0</v>
      </c>
      <c r="E680" s="4">
        <v>42765.0</v>
      </c>
      <c r="F680" s="4">
        <v>42765.0</v>
      </c>
      <c r="G680" s="1">
        <v>1.0</v>
      </c>
      <c r="H680" s="1">
        <v>3.0</v>
      </c>
      <c r="I680" s="3" t="str">
        <f>VLOOKUP(B680,Customers!A:J, 10,FALSE)</f>
        <v>Zina Bonner</v>
      </c>
      <c r="J680" s="3" t="str">
        <f>VLOOKUP(B680,Customers!A:J,8,FALSE)</f>
        <v>CA</v>
      </c>
      <c r="K680" s="3" t="str">
        <f>VLOOKUP(B680,Customers!A:J,7,FALSE)</f>
        <v>San Lorenzo</v>
      </c>
      <c r="L680" s="3" t="str">
        <f>VLOOKUP(H680,Staff!A:I,9,FALSE)</f>
        <v>Genna Serrano</v>
      </c>
      <c r="M680" s="3" t="str">
        <f>VLOOKUP(G680,Store!A:H,2,FALSE)</f>
        <v>Santa Cruz Bikes</v>
      </c>
      <c r="N680" s="3" t="str">
        <f>VLOOKUP(G680,Store!A:H,6,FALSE)</f>
        <v>Santa Cruz</v>
      </c>
      <c r="O680" s="3" t="s">
        <v>15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>
        <v>680.0</v>
      </c>
      <c r="B681" s="1">
        <v>245.0</v>
      </c>
      <c r="C681" s="1">
        <v>4.0</v>
      </c>
      <c r="D681" s="4">
        <v>42764.0</v>
      </c>
      <c r="E681" s="4">
        <v>42767.0</v>
      </c>
      <c r="F681" s="4">
        <v>42765.0</v>
      </c>
      <c r="G681" s="1">
        <v>1.0</v>
      </c>
      <c r="H681" s="1">
        <v>3.0</v>
      </c>
      <c r="I681" s="3" t="str">
        <f>VLOOKUP(B681,Customers!A:J, 10,FALSE)</f>
        <v>Delila Hamilton</v>
      </c>
      <c r="J681" s="3" t="str">
        <f>VLOOKUP(B681,Customers!A:J,8,FALSE)</f>
        <v>CA</v>
      </c>
      <c r="K681" s="3" t="str">
        <f>VLOOKUP(B681,Customers!A:J,7,FALSE)</f>
        <v>Palos Verdes Peninsula</v>
      </c>
      <c r="L681" s="3" t="str">
        <f>VLOOKUP(H681,Staff!A:I,9,FALSE)</f>
        <v>Genna Serrano</v>
      </c>
      <c r="M681" s="3" t="str">
        <f>VLOOKUP(G681,Store!A:H,2,FALSE)</f>
        <v>Santa Cruz Bikes</v>
      </c>
      <c r="N681" s="3" t="str">
        <f>VLOOKUP(G681,Store!A:H,6,FALSE)</f>
        <v>Santa Cruz</v>
      </c>
      <c r="O681" s="3" t="s">
        <v>15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>
        <v>681.0</v>
      </c>
      <c r="B682" s="1">
        <v>499.0</v>
      </c>
      <c r="C682" s="1">
        <v>4.0</v>
      </c>
      <c r="D682" s="4">
        <v>42764.0</v>
      </c>
      <c r="E682" s="4">
        <v>42767.0</v>
      </c>
      <c r="F682" s="4">
        <v>42766.0</v>
      </c>
      <c r="G682" s="1">
        <v>2.0</v>
      </c>
      <c r="H682" s="1">
        <v>7.0</v>
      </c>
      <c r="I682" s="3" t="str">
        <f>VLOOKUP(B682,Customers!A:J, 10,FALSE)</f>
        <v>Lidia Ashley</v>
      </c>
      <c r="J682" s="3" t="str">
        <f>VLOOKUP(B682,Customers!A:J,8,FALSE)</f>
        <v>NY</v>
      </c>
      <c r="K682" s="3" t="str">
        <f>VLOOKUP(B682,Customers!A:J,7,FALSE)</f>
        <v>Baldwinsville</v>
      </c>
      <c r="L682" s="3" t="str">
        <f>VLOOKUP(H682,Staff!A:I,9,FALSE)</f>
        <v>Venita Daniel</v>
      </c>
      <c r="M682" s="3" t="str">
        <f>VLOOKUP(G682,Store!A:H,2,FALSE)</f>
        <v>Baldwin Bikes</v>
      </c>
      <c r="N682" s="3" t="str">
        <f>VLOOKUP(G682,Store!A:H,6,FALSE)</f>
        <v>Baldwin</v>
      </c>
      <c r="O682" s="3" t="s">
        <v>16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>
        <v>682.0</v>
      </c>
      <c r="B683" s="1">
        <v>614.0</v>
      </c>
      <c r="C683" s="1">
        <v>4.0</v>
      </c>
      <c r="D683" s="4">
        <v>42764.0</v>
      </c>
      <c r="E683" s="4">
        <v>42765.0</v>
      </c>
      <c r="F683" s="4">
        <v>42765.0</v>
      </c>
      <c r="G683" s="1">
        <v>2.0</v>
      </c>
      <c r="H683" s="1">
        <v>6.0</v>
      </c>
      <c r="I683" s="3" t="str">
        <f>VLOOKUP(B683,Customers!A:J, 10,FALSE)</f>
        <v>Toshia Cardenas</v>
      </c>
      <c r="J683" s="3" t="str">
        <f>VLOOKUP(B683,Customers!A:J,8,FALSE)</f>
        <v>NY</v>
      </c>
      <c r="K683" s="3" t="str">
        <f>VLOOKUP(B683,Customers!A:J,7,FALSE)</f>
        <v>Amsterdam</v>
      </c>
      <c r="L683" s="3" t="str">
        <f>VLOOKUP(H683,Staff!A:I,9,FALSE)</f>
        <v>Marcelene Boyer</v>
      </c>
      <c r="M683" s="3" t="str">
        <f>VLOOKUP(G683,Store!A:H,2,FALSE)</f>
        <v>Baldwin Bikes</v>
      </c>
      <c r="N683" s="3" t="str">
        <f>VLOOKUP(G683,Store!A:H,6,FALSE)</f>
        <v>Baldwin</v>
      </c>
      <c r="O683" s="3" t="s">
        <v>16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>
        <v>683.0</v>
      </c>
      <c r="B684" s="1">
        <v>741.0</v>
      </c>
      <c r="C684" s="1">
        <v>4.0</v>
      </c>
      <c r="D684" s="4">
        <v>42764.0</v>
      </c>
      <c r="E684" s="4">
        <v>42766.0</v>
      </c>
      <c r="F684" s="4">
        <v>42767.0</v>
      </c>
      <c r="G684" s="1">
        <v>2.0</v>
      </c>
      <c r="H684" s="1">
        <v>6.0</v>
      </c>
      <c r="I684" s="3" t="str">
        <f>VLOOKUP(B684,Customers!A:J, 10,FALSE)</f>
        <v>Laci Castro</v>
      </c>
      <c r="J684" s="3" t="str">
        <f>VLOOKUP(B684,Customers!A:J,8,FALSE)</f>
        <v>NY</v>
      </c>
      <c r="K684" s="3" t="str">
        <f>VLOOKUP(B684,Customers!A:J,7,FALSE)</f>
        <v>Saint Albans</v>
      </c>
      <c r="L684" s="3" t="str">
        <f>VLOOKUP(H684,Staff!A:I,9,FALSE)</f>
        <v>Marcelene Boyer</v>
      </c>
      <c r="M684" s="3" t="str">
        <f>VLOOKUP(G684,Store!A:H,2,FALSE)</f>
        <v>Baldwin Bikes</v>
      </c>
      <c r="N684" s="3" t="str">
        <f>VLOOKUP(G684,Store!A:H,6,FALSE)</f>
        <v>Baldwin</v>
      </c>
      <c r="O684" s="3" t="s">
        <v>16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>
        <v>684.0</v>
      </c>
      <c r="B685" s="1">
        <v>762.0</v>
      </c>
      <c r="C685" s="1">
        <v>4.0</v>
      </c>
      <c r="D685" s="4">
        <v>42766.0</v>
      </c>
      <c r="E685" s="4">
        <v>42767.0</v>
      </c>
      <c r="F685" s="4">
        <v>42768.0</v>
      </c>
      <c r="G685" s="1">
        <v>2.0</v>
      </c>
      <c r="H685" s="1">
        <v>6.0</v>
      </c>
      <c r="I685" s="3" t="str">
        <f>VLOOKUP(B685,Customers!A:J, 10,FALSE)</f>
        <v>Quyen Houston</v>
      </c>
      <c r="J685" s="3" t="str">
        <f>VLOOKUP(B685,Customers!A:J,8,FALSE)</f>
        <v>NY</v>
      </c>
      <c r="K685" s="3" t="str">
        <f>VLOOKUP(B685,Customers!A:J,7,FALSE)</f>
        <v>Central Islip</v>
      </c>
      <c r="L685" s="3" t="str">
        <f>VLOOKUP(H685,Staff!A:I,9,FALSE)</f>
        <v>Marcelene Boyer</v>
      </c>
      <c r="M685" s="3" t="str">
        <f>VLOOKUP(G685,Store!A:H,2,FALSE)</f>
        <v>Baldwin Bikes</v>
      </c>
      <c r="N685" s="3" t="str">
        <f>VLOOKUP(G685,Store!A:H,6,FALSE)</f>
        <v>Baldwin</v>
      </c>
      <c r="O685" s="3" t="s">
        <v>16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>
        <v>685.0</v>
      </c>
      <c r="B686" s="1">
        <v>976.0</v>
      </c>
      <c r="C686" s="1">
        <v>4.0</v>
      </c>
      <c r="D686" s="4">
        <v>42766.0</v>
      </c>
      <c r="E686" s="4">
        <v>42769.0</v>
      </c>
      <c r="F686" s="4">
        <v>42768.0</v>
      </c>
      <c r="G686" s="1">
        <v>2.0</v>
      </c>
      <c r="H686" s="1">
        <v>7.0</v>
      </c>
      <c r="I686" s="3" t="str">
        <f>VLOOKUP(B686,Customers!A:J, 10,FALSE)</f>
        <v>Ayanna Cherry</v>
      </c>
      <c r="J686" s="3" t="str">
        <f>VLOOKUP(B686,Customers!A:J,8,FALSE)</f>
        <v>NY</v>
      </c>
      <c r="K686" s="3" t="str">
        <f>VLOOKUP(B686,Customers!A:J,7,FALSE)</f>
        <v>Smithtown</v>
      </c>
      <c r="L686" s="3" t="str">
        <f>VLOOKUP(H686,Staff!A:I,9,FALSE)</f>
        <v>Venita Daniel</v>
      </c>
      <c r="M686" s="3" t="str">
        <f>VLOOKUP(G686,Store!A:H,2,FALSE)</f>
        <v>Baldwin Bikes</v>
      </c>
      <c r="N686" s="3" t="str">
        <f>VLOOKUP(G686,Store!A:H,6,FALSE)</f>
        <v>Baldwin</v>
      </c>
      <c r="O686" s="3" t="s">
        <v>16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>
        <v>686.0</v>
      </c>
      <c r="B687" s="1">
        <v>380.0</v>
      </c>
      <c r="C687" s="1">
        <v>4.0</v>
      </c>
      <c r="D687" s="4">
        <v>42767.0</v>
      </c>
      <c r="E687" s="4">
        <v>42769.0</v>
      </c>
      <c r="F687" s="4">
        <v>42770.0</v>
      </c>
      <c r="G687" s="1">
        <v>2.0</v>
      </c>
      <c r="H687" s="1">
        <v>7.0</v>
      </c>
      <c r="I687" s="3" t="str">
        <f>VLOOKUP(B687,Customers!A:J, 10,FALSE)</f>
        <v>Alesia Horne</v>
      </c>
      <c r="J687" s="3" t="str">
        <f>VLOOKUP(B687,Customers!A:J,8,FALSE)</f>
        <v>NY</v>
      </c>
      <c r="K687" s="3" t="str">
        <f>VLOOKUP(B687,Customers!A:J,7,FALSE)</f>
        <v>Selden</v>
      </c>
      <c r="L687" s="3" t="str">
        <f>VLOOKUP(H687,Staff!A:I,9,FALSE)</f>
        <v>Venita Daniel</v>
      </c>
      <c r="M687" s="3" t="str">
        <f>VLOOKUP(G687,Store!A:H,2,FALSE)</f>
        <v>Baldwin Bikes</v>
      </c>
      <c r="N687" s="3" t="str">
        <f>VLOOKUP(G687,Store!A:H,6,FALSE)</f>
        <v>Baldwin</v>
      </c>
      <c r="O687" s="3" t="s">
        <v>16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>
        <v>687.0</v>
      </c>
      <c r="B688" s="1">
        <v>530.0</v>
      </c>
      <c r="C688" s="1">
        <v>4.0</v>
      </c>
      <c r="D688" s="4">
        <v>42768.0</v>
      </c>
      <c r="E688" s="4">
        <v>42771.0</v>
      </c>
      <c r="F688" s="4">
        <v>42770.0</v>
      </c>
      <c r="G688" s="1">
        <v>1.0</v>
      </c>
      <c r="H688" s="1">
        <v>3.0</v>
      </c>
      <c r="I688" s="3" t="str">
        <f>VLOOKUP(B688,Customers!A:J, 10,FALSE)</f>
        <v>Selene Austin</v>
      </c>
      <c r="J688" s="3" t="str">
        <f>VLOOKUP(B688,Customers!A:J,8,FALSE)</f>
        <v>CA</v>
      </c>
      <c r="K688" s="3" t="str">
        <f>VLOOKUP(B688,Customers!A:J,7,FALSE)</f>
        <v>Duarte</v>
      </c>
      <c r="L688" s="3" t="str">
        <f>VLOOKUP(H688,Staff!A:I,9,FALSE)</f>
        <v>Genna Serrano</v>
      </c>
      <c r="M688" s="3" t="str">
        <f>VLOOKUP(G688,Store!A:H,2,FALSE)</f>
        <v>Santa Cruz Bikes</v>
      </c>
      <c r="N688" s="3" t="str">
        <f>VLOOKUP(G688,Store!A:H,6,FALSE)</f>
        <v>Santa Cruz</v>
      </c>
      <c r="O688" s="3" t="s">
        <v>15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>
        <v>688.0</v>
      </c>
      <c r="B689" s="1">
        <v>343.0</v>
      </c>
      <c r="C689" s="1">
        <v>4.0</v>
      </c>
      <c r="D689" s="4">
        <v>42768.0</v>
      </c>
      <c r="E689" s="4">
        <v>42769.0</v>
      </c>
      <c r="F689" s="4">
        <v>42771.0</v>
      </c>
      <c r="G689" s="1">
        <v>2.0</v>
      </c>
      <c r="H689" s="1">
        <v>7.0</v>
      </c>
      <c r="I689" s="3" t="str">
        <f>VLOOKUP(B689,Customers!A:J, 10,FALSE)</f>
        <v>Jesica Fields</v>
      </c>
      <c r="J689" s="3" t="str">
        <f>VLOOKUP(B689,Customers!A:J,8,FALSE)</f>
        <v>NY</v>
      </c>
      <c r="K689" s="3" t="str">
        <f>VLOOKUP(B689,Customers!A:J,7,FALSE)</f>
        <v>Commack</v>
      </c>
      <c r="L689" s="3" t="str">
        <f>VLOOKUP(H689,Staff!A:I,9,FALSE)</f>
        <v>Venita Daniel</v>
      </c>
      <c r="M689" s="3" t="str">
        <f>VLOOKUP(G689,Store!A:H,2,FALSE)</f>
        <v>Baldwin Bikes</v>
      </c>
      <c r="N689" s="3" t="str">
        <f>VLOOKUP(G689,Store!A:H,6,FALSE)</f>
        <v>Baldwin</v>
      </c>
      <c r="O689" s="3" t="s">
        <v>16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>
        <v>689.0</v>
      </c>
      <c r="B690" s="1">
        <v>884.0</v>
      </c>
      <c r="C690" s="1">
        <v>4.0</v>
      </c>
      <c r="D690" s="4">
        <v>42768.0</v>
      </c>
      <c r="E690" s="4">
        <v>42769.0</v>
      </c>
      <c r="F690" s="4">
        <v>42771.0</v>
      </c>
      <c r="G690" s="1">
        <v>2.0</v>
      </c>
      <c r="H690" s="1">
        <v>7.0</v>
      </c>
      <c r="I690" s="3" t="str">
        <f>VLOOKUP(B690,Customers!A:J, 10,FALSE)</f>
        <v>Willian Hardin</v>
      </c>
      <c r="J690" s="3" t="str">
        <f>VLOOKUP(B690,Customers!A:J,8,FALSE)</f>
        <v>NY</v>
      </c>
      <c r="K690" s="3" t="str">
        <f>VLOOKUP(B690,Customers!A:J,7,FALSE)</f>
        <v>Oswego</v>
      </c>
      <c r="L690" s="3" t="str">
        <f>VLOOKUP(H690,Staff!A:I,9,FALSE)</f>
        <v>Venita Daniel</v>
      </c>
      <c r="M690" s="3" t="str">
        <f>VLOOKUP(G690,Store!A:H,2,FALSE)</f>
        <v>Baldwin Bikes</v>
      </c>
      <c r="N690" s="3" t="str">
        <f>VLOOKUP(G690,Store!A:H,6,FALSE)</f>
        <v>Baldwin</v>
      </c>
      <c r="O690" s="3" t="s">
        <v>16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>
        <v>690.0</v>
      </c>
      <c r="B691" s="1">
        <v>1097.0</v>
      </c>
      <c r="C691" s="1">
        <v>4.0</v>
      </c>
      <c r="D691" s="4">
        <v>42769.0</v>
      </c>
      <c r="E691" s="4">
        <v>42770.0</v>
      </c>
      <c r="F691" s="4">
        <v>42772.0</v>
      </c>
      <c r="G691" s="1">
        <v>1.0</v>
      </c>
      <c r="H691" s="1">
        <v>2.0</v>
      </c>
      <c r="I691" s="3" t="str">
        <f>VLOOKUP(B691,Customers!A:J, 10,FALSE)</f>
        <v>Collen Dennis</v>
      </c>
      <c r="J691" s="3" t="str">
        <f>VLOOKUP(B691,Customers!A:J,8,FALSE)</f>
        <v>CA</v>
      </c>
      <c r="K691" s="3" t="str">
        <f>VLOOKUP(B691,Customers!A:J,7,FALSE)</f>
        <v>San Pablo</v>
      </c>
      <c r="L691" s="3" t="str">
        <f>VLOOKUP(H691,Staff!A:I,9,FALSE)</f>
        <v>Mireya Copeland</v>
      </c>
      <c r="M691" s="3" t="str">
        <f>VLOOKUP(G691,Store!A:H,2,FALSE)</f>
        <v>Santa Cruz Bikes</v>
      </c>
      <c r="N691" s="3" t="str">
        <f>VLOOKUP(G691,Store!A:H,6,FALSE)</f>
        <v>Santa Cruz</v>
      </c>
      <c r="O691" s="3" t="s">
        <v>15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>
        <v>691.0</v>
      </c>
      <c r="B692" s="1">
        <v>1081.0</v>
      </c>
      <c r="C692" s="1">
        <v>4.0</v>
      </c>
      <c r="D692" s="4">
        <v>42770.0</v>
      </c>
      <c r="E692" s="4">
        <v>42772.0</v>
      </c>
      <c r="F692" s="4">
        <v>42772.0</v>
      </c>
      <c r="G692" s="1">
        <v>2.0</v>
      </c>
      <c r="H692" s="1">
        <v>7.0</v>
      </c>
      <c r="I692" s="3" t="str">
        <f>VLOOKUP(B692,Customers!A:J, 10,FALSE)</f>
        <v>Carson Macias</v>
      </c>
      <c r="J692" s="3" t="str">
        <f>VLOOKUP(B692,Customers!A:J,8,FALSE)</f>
        <v>NY</v>
      </c>
      <c r="K692" s="3" t="str">
        <f>VLOOKUP(B692,Customers!A:J,7,FALSE)</f>
        <v>New Rochelle</v>
      </c>
      <c r="L692" s="3" t="str">
        <f>VLOOKUP(H692,Staff!A:I,9,FALSE)</f>
        <v>Venita Daniel</v>
      </c>
      <c r="M692" s="3" t="str">
        <f>VLOOKUP(G692,Store!A:H,2,FALSE)</f>
        <v>Baldwin Bikes</v>
      </c>
      <c r="N692" s="3" t="str">
        <f>VLOOKUP(G692,Store!A:H,6,FALSE)</f>
        <v>Baldwin</v>
      </c>
      <c r="O692" s="3" t="s">
        <v>16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>
        <v>692.0</v>
      </c>
      <c r="B693" s="1">
        <v>2.0</v>
      </c>
      <c r="C693" s="1">
        <v>3.0</v>
      </c>
      <c r="D693" s="4">
        <v>42771.0</v>
      </c>
      <c r="E693" s="4">
        <v>42771.0</v>
      </c>
      <c r="F693" s="1" t="s">
        <v>18</v>
      </c>
      <c r="G693" s="1">
        <v>1.0</v>
      </c>
      <c r="H693" s="1">
        <v>3.0</v>
      </c>
      <c r="I693" s="3" t="str">
        <f>VLOOKUP(B693,Customers!A:J, 10,FALSE)</f>
        <v>Kasha Todd</v>
      </c>
      <c r="J693" s="3" t="str">
        <f>VLOOKUP(B693,Customers!A:J,8,FALSE)</f>
        <v>CA</v>
      </c>
      <c r="K693" s="3" t="str">
        <f>VLOOKUP(B693,Customers!A:J,7,FALSE)</f>
        <v>Campbell</v>
      </c>
      <c r="L693" s="3" t="str">
        <f>VLOOKUP(H693,Staff!A:I,9,FALSE)</f>
        <v>Genna Serrano</v>
      </c>
      <c r="M693" s="3" t="str">
        <f>VLOOKUP(G693,Store!A:H,2,FALSE)</f>
        <v>Santa Cruz Bikes</v>
      </c>
      <c r="N693" s="3" t="str">
        <f>VLOOKUP(G693,Store!A:H,6,FALSE)</f>
        <v>Santa Cruz</v>
      </c>
      <c r="O693" s="3" t="s">
        <v>15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>
        <v>693.0</v>
      </c>
      <c r="B694" s="1">
        <v>1233.0</v>
      </c>
      <c r="C694" s="1">
        <v>4.0</v>
      </c>
      <c r="D694" s="4">
        <v>42771.0</v>
      </c>
      <c r="E694" s="4">
        <v>42773.0</v>
      </c>
      <c r="F694" s="4">
        <v>42772.0</v>
      </c>
      <c r="G694" s="1">
        <v>1.0</v>
      </c>
      <c r="H694" s="1">
        <v>3.0</v>
      </c>
      <c r="I694" s="3" t="str">
        <f>VLOOKUP(B694,Customers!A:J, 10,FALSE)</f>
        <v>Lise Hebert</v>
      </c>
      <c r="J694" s="3" t="str">
        <f>VLOOKUP(B694,Customers!A:J,8,FALSE)</f>
        <v>CA</v>
      </c>
      <c r="K694" s="3" t="str">
        <f>VLOOKUP(B694,Customers!A:J,7,FALSE)</f>
        <v>Vista</v>
      </c>
      <c r="L694" s="3" t="str">
        <f>VLOOKUP(H694,Staff!A:I,9,FALSE)</f>
        <v>Genna Serrano</v>
      </c>
      <c r="M694" s="3" t="str">
        <f>VLOOKUP(G694,Store!A:H,2,FALSE)</f>
        <v>Santa Cruz Bikes</v>
      </c>
      <c r="N694" s="3" t="str">
        <f>VLOOKUP(G694,Store!A:H,6,FALSE)</f>
        <v>Santa Cruz</v>
      </c>
      <c r="O694" s="3" t="s">
        <v>15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>
        <v>694.0</v>
      </c>
      <c r="B695" s="1">
        <v>58.0</v>
      </c>
      <c r="C695" s="1">
        <v>4.0</v>
      </c>
      <c r="D695" s="4">
        <v>42771.0</v>
      </c>
      <c r="E695" s="4">
        <v>42772.0</v>
      </c>
      <c r="F695" s="4">
        <v>42774.0</v>
      </c>
      <c r="G695" s="1">
        <v>2.0</v>
      </c>
      <c r="H695" s="1">
        <v>7.0</v>
      </c>
      <c r="I695" s="3" t="str">
        <f>VLOOKUP(B695,Customers!A:J, 10,FALSE)</f>
        <v>Damien Dorsey</v>
      </c>
      <c r="J695" s="3" t="str">
        <f>VLOOKUP(B695,Customers!A:J,8,FALSE)</f>
        <v>NY</v>
      </c>
      <c r="K695" s="3" t="str">
        <f>VLOOKUP(B695,Customers!A:J,7,FALSE)</f>
        <v>Central Islip</v>
      </c>
      <c r="L695" s="3" t="str">
        <f>VLOOKUP(H695,Staff!A:I,9,FALSE)</f>
        <v>Venita Daniel</v>
      </c>
      <c r="M695" s="3" t="str">
        <f>VLOOKUP(G695,Store!A:H,2,FALSE)</f>
        <v>Baldwin Bikes</v>
      </c>
      <c r="N695" s="3" t="str">
        <f>VLOOKUP(G695,Store!A:H,6,FALSE)</f>
        <v>Baldwin</v>
      </c>
      <c r="O695" s="3" t="s">
        <v>16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>
        <v>695.0</v>
      </c>
      <c r="B696" s="1">
        <v>606.0</v>
      </c>
      <c r="C696" s="1">
        <v>4.0</v>
      </c>
      <c r="D696" s="4">
        <v>42771.0</v>
      </c>
      <c r="E696" s="4">
        <v>42774.0</v>
      </c>
      <c r="F696" s="4">
        <v>42773.0</v>
      </c>
      <c r="G696" s="1">
        <v>2.0</v>
      </c>
      <c r="H696" s="1">
        <v>7.0</v>
      </c>
      <c r="I696" s="3" t="str">
        <f>VLOOKUP(B696,Customers!A:J, 10,FALSE)</f>
        <v>Sarah Kirkland</v>
      </c>
      <c r="J696" s="3" t="str">
        <f>VLOOKUP(B696,Customers!A:J,8,FALSE)</f>
        <v>NY</v>
      </c>
      <c r="K696" s="3" t="str">
        <f>VLOOKUP(B696,Customers!A:J,7,FALSE)</f>
        <v>Wappingers Falls</v>
      </c>
      <c r="L696" s="3" t="str">
        <f>VLOOKUP(H696,Staff!A:I,9,FALSE)</f>
        <v>Venita Daniel</v>
      </c>
      <c r="M696" s="3" t="str">
        <f>VLOOKUP(G696,Store!A:H,2,FALSE)</f>
        <v>Baldwin Bikes</v>
      </c>
      <c r="N696" s="3" t="str">
        <f>VLOOKUP(G696,Store!A:H,6,FALSE)</f>
        <v>Baldwin</v>
      </c>
      <c r="O696" s="3" t="s">
        <v>16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>
        <v>696.0</v>
      </c>
      <c r="B697" s="1">
        <v>1242.0</v>
      </c>
      <c r="C697" s="1">
        <v>4.0</v>
      </c>
      <c r="D697" s="4">
        <v>42771.0</v>
      </c>
      <c r="E697" s="4">
        <v>42774.0</v>
      </c>
      <c r="F697" s="4">
        <v>42774.0</v>
      </c>
      <c r="G697" s="1">
        <v>2.0</v>
      </c>
      <c r="H697" s="1">
        <v>7.0</v>
      </c>
      <c r="I697" s="3" t="str">
        <f>VLOOKUP(B697,Customers!A:J, 10,FALSE)</f>
        <v>Chauncey Donaldson</v>
      </c>
      <c r="J697" s="3" t="str">
        <f>VLOOKUP(B697,Customers!A:J,8,FALSE)</f>
        <v>NY</v>
      </c>
      <c r="K697" s="3" t="str">
        <f>VLOOKUP(B697,Customers!A:J,7,FALSE)</f>
        <v>Franklin Square</v>
      </c>
      <c r="L697" s="3" t="str">
        <f>VLOOKUP(H697,Staff!A:I,9,FALSE)</f>
        <v>Venita Daniel</v>
      </c>
      <c r="M697" s="3" t="str">
        <f>VLOOKUP(G697,Store!A:H,2,FALSE)</f>
        <v>Baldwin Bikes</v>
      </c>
      <c r="N697" s="3" t="str">
        <f>VLOOKUP(G697,Store!A:H,6,FALSE)</f>
        <v>Baldwin</v>
      </c>
      <c r="O697" s="3" t="s">
        <v>16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>
        <v>697.0</v>
      </c>
      <c r="B698" s="1">
        <v>562.0</v>
      </c>
      <c r="C698" s="1">
        <v>4.0</v>
      </c>
      <c r="D698" s="4">
        <v>42772.0</v>
      </c>
      <c r="E698" s="4">
        <v>42774.0</v>
      </c>
      <c r="F698" s="4">
        <v>42775.0</v>
      </c>
      <c r="G698" s="1">
        <v>1.0</v>
      </c>
      <c r="H698" s="1">
        <v>2.0</v>
      </c>
      <c r="I698" s="3" t="str">
        <f>VLOOKUP(B698,Customers!A:J, 10,FALSE)</f>
        <v>Alejandro Norman</v>
      </c>
      <c r="J698" s="3" t="str">
        <f>VLOOKUP(B698,Customers!A:J,8,FALSE)</f>
        <v>CA</v>
      </c>
      <c r="K698" s="3" t="str">
        <f>VLOOKUP(B698,Customers!A:J,7,FALSE)</f>
        <v>Upland</v>
      </c>
      <c r="L698" s="3" t="str">
        <f>VLOOKUP(H698,Staff!A:I,9,FALSE)</f>
        <v>Mireya Copeland</v>
      </c>
      <c r="M698" s="3" t="str">
        <f>VLOOKUP(G698,Store!A:H,2,FALSE)</f>
        <v>Santa Cruz Bikes</v>
      </c>
      <c r="N698" s="3" t="str">
        <f>VLOOKUP(G698,Store!A:H,6,FALSE)</f>
        <v>Santa Cruz</v>
      </c>
      <c r="O698" s="3" t="s">
        <v>15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>
        <v>698.0</v>
      </c>
      <c r="B699" s="1">
        <v>543.0</v>
      </c>
      <c r="C699" s="1">
        <v>4.0</v>
      </c>
      <c r="D699" s="4">
        <v>42772.0</v>
      </c>
      <c r="E699" s="4">
        <v>42774.0</v>
      </c>
      <c r="F699" s="4">
        <v>42775.0</v>
      </c>
      <c r="G699" s="1">
        <v>3.0</v>
      </c>
      <c r="H699" s="1">
        <v>8.0</v>
      </c>
      <c r="I699" s="3" t="str">
        <f>VLOOKUP(B699,Customers!A:J, 10,FALSE)</f>
        <v>Jasmin Young</v>
      </c>
      <c r="J699" s="3" t="str">
        <f>VLOOKUP(B699,Customers!A:J,8,FALSE)</f>
        <v>TX</v>
      </c>
      <c r="K699" s="3" t="str">
        <f>VLOOKUP(B699,Customers!A:J,7,FALSE)</f>
        <v>Helotes</v>
      </c>
      <c r="L699" s="3" t="str">
        <f>VLOOKUP(H699,Staff!A:I,9,FALSE)</f>
        <v>Kali Vargas</v>
      </c>
      <c r="M699" s="3" t="str">
        <f>VLOOKUP(G699,Store!A:H,2,FALSE)</f>
        <v>Rowlett Bikes</v>
      </c>
      <c r="N699" s="3" t="str">
        <f>VLOOKUP(G699,Store!A:H,6,FALSE)</f>
        <v>Rowlett</v>
      </c>
      <c r="O699" s="3" t="s">
        <v>17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>
        <v>699.0</v>
      </c>
      <c r="B700" s="1">
        <v>958.0</v>
      </c>
      <c r="C700" s="1">
        <v>4.0</v>
      </c>
      <c r="D700" s="4">
        <v>42772.0</v>
      </c>
      <c r="E700" s="4">
        <v>42774.0</v>
      </c>
      <c r="F700" s="4">
        <v>42775.0</v>
      </c>
      <c r="G700" s="1">
        <v>3.0</v>
      </c>
      <c r="H700" s="1">
        <v>9.0</v>
      </c>
      <c r="I700" s="3" t="str">
        <f>VLOOKUP(B700,Customers!A:J, 10,FALSE)</f>
        <v>Ciera Koch</v>
      </c>
      <c r="J700" s="3" t="str">
        <f>VLOOKUP(B700,Customers!A:J,8,FALSE)</f>
        <v>TX</v>
      </c>
      <c r="K700" s="3" t="str">
        <f>VLOOKUP(B700,Customers!A:J,7,FALSE)</f>
        <v>Euless</v>
      </c>
      <c r="L700" s="3" t="str">
        <f>VLOOKUP(H700,Staff!A:I,9,FALSE)</f>
        <v>Layla Terrell</v>
      </c>
      <c r="M700" s="3" t="str">
        <f>VLOOKUP(G700,Store!A:H,2,FALSE)</f>
        <v>Rowlett Bikes</v>
      </c>
      <c r="N700" s="3" t="str">
        <f>VLOOKUP(G700,Store!A:H,6,FALSE)</f>
        <v>Rowlett</v>
      </c>
      <c r="O700" s="3" t="s">
        <v>17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>
        <v>700.0</v>
      </c>
      <c r="B701" s="1">
        <v>4.0</v>
      </c>
      <c r="C701" s="1">
        <v>4.0</v>
      </c>
      <c r="D701" s="4">
        <v>42773.0</v>
      </c>
      <c r="E701" s="4">
        <v>42776.0</v>
      </c>
      <c r="F701" s="4">
        <v>42774.0</v>
      </c>
      <c r="G701" s="1">
        <v>2.0</v>
      </c>
      <c r="H701" s="1">
        <v>6.0</v>
      </c>
      <c r="I701" s="3" t="str">
        <f>VLOOKUP(B701,Customers!A:J, 10,FALSE)</f>
        <v>Daryl Spence</v>
      </c>
      <c r="J701" s="3" t="str">
        <f>VLOOKUP(B701,Customers!A:J,8,FALSE)</f>
        <v>NY</v>
      </c>
      <c r="K701" s="3" t="str">
        <f>VLOOKUP(B701,Customers!A:J,7,FALSE)</f>
        <v>Uniondale</v>
      </c>
      <c r="L701" s="3" t="str">
        <f>VLOOKUP(H701,Staff!A:I,9,FALSE)</f>
        <v>Marcelene Boyer</v>
      </c>
      <c r="M701" s="3" t="str">
        <f>VLOOKUP(G701,Store!A:H,2,FALSE)</f>
        <v>Baldwin Bikes</v>
      </c>
      <c r="N701" s="3" t="str">
        <f>VLOOKUP(G701,Store!A:H,6,FALSE)</f>
        <v>Baldwin</v>
      </c>
      <c r="O701" s="3" t="s">
        <v>16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>
        <v>701.0</v>
      </c>
      <c r="B702" s="1">
        <v>850.0</v>
      </c>
      <c r="C702" s="1">
        <v>4.0</v>
      </c>
      <c r="D702" s="4">
        <v>42773.0</v>
      </c>
      <c r="E702" s="4">
        <v>42774.0</v>
      </c>
      <c r="F702" s="4">
        <v>42775.0</v>
      </c>
      <c r="G702" s="1">
        <v>3.0</v>
      </c>
      <c r="H702" s="1">
        <v>9.0</v>
      </c>
      <c r="I702" s="3" t="str">
        <f>VLOOKUP(B702,Customers!A:J, 10,FALSE)</f>
        <v>Stephanie Browning</v>
      </c>
      <c r="J702" s="3" t="str">
        <f>VLOOKUP(B702,Customers!A:J,8,FALSE)</f>
        <v>TX</v>
      </c>
      <c r="K702" s="3" t="str">
        <f>VLOOKUP(B702,Customers!A:J,7,FALSE)</f>
        <v>Rowlett</v>
      </c>
      <c r="L702" s="3" t="str">
        <f>VLOOKUP(H702,Staff!A:I,9,FALSE)</f>
        <v>Layla Terrell</v>
      </c>
      <c r="M702" s="3" t="str">
        <f>VLOOKUP(G702,Store!A:H,2,FALSE)</f>
        <v>Rowlett Bikes</v>
      </c>
      <c r="N702" s="3" t="str">
        <f>VLOOKUP(G702,Store!A:H,6,FALSE)</f>
        <v>Rowlett</v>
      </c>
      <c r="O702" s="3" t="s">
        <v>17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>
        <v>702.0</v>
      </c>
      <c r="B703" s="1">
        <v>1352.0</v>
      </c>
      <c r="C703" s="1">
        <v>4.0</v>
      </c>
      <c r="D703" s="4">
        <v>42774.0</v>
      </c>
      <c r="E703" s="4">
        <v>42775.0</v>
      </c>
      <c r="F703" s="4">
        <v>42777.0</v>
      </c>
      <c r="G703" s="1">
        <v>1.0</v>
      </c>
      <c r="H703" s="1">
        <v>3.0</v>
      </c>
      <c r="I703" s="3" t="str">
        <f>VLOOKUP(B703,Customers!A:J, 10,FALSE)</f>
        <v>Dorothea Miranda</v>
      </c>
      <c r="J703" s="3" t="str">
        <f>VLOOKUP(B703,Customers!A:J,8,FALSE)</f>
        <v>CA</v>
      </c>
      <c r="K703" s="3" t="str">
        <f>VLOOKUP(B703,Customers!A:J,7,FALSE)</f>
        <v>Upland</v>
      </c>
      <c r="L703" s="3" t="str">
        <f>VLOOKUP(H703,Staff!A:I,9,FALSE)</f>
        <v>Genna Serrano</v>
      </c>
      <c r="M703" s="3" t="str">
        <f>VLOOKUP(G703,Store!A:H,2,FALSE)</f>
        <v>Santa Cruz Bikes</v>
      </c>
      <c r="N703" s="3" t="str">
        <f>VLOOKUP(G703,Store!A:H,6,FALSE)</f>
        <v>Santa Cruz</v>
      </c>
      <c r="O703" s="3" t="s">
        <v>15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>
        <v>703.0</v>
      </c>
      <c r="B704" s="1">
        <v>417.0</v>
      </c>
      <c r="C704" s="1">
        <v>4.0</v>
      </c>
      <c r="D704" s="4">
        <v>42774.0</v>
      </c>
      <c r="E704" s="4">
        <v>42775.0</v>
      </c>
      <c r="F704" s="4">
        <v>42775.0</v>
      </c>
      <c r="G704" s="1">
        <v>2.0</v>
      </c>
      <c r="H704" s="1">
        <v>7.0</v>
      </c>
      <c r="I704" s="3" t="str">
        <f>VLOOKUP(B704,Customers!A:J, 10,FALSE)</f>
        <v>Zoraida Patton</v>
      </c>
      <c r="J704" s="3" t="str">
        <f>VLOOKUP(B704,Customers!A:J,8,FALSE)</f>
        <v>NY</v>
      </c>
      <c r="K704" s="3" t="str">
        <f>VLOOKUP(B704,Customers!A:J,7,FALSE)</f>
        <v>Huntington Station</v>
      </c>
      <c r="L704" s="3" t="str">
        <f>VLOOKUP(H704,Staff!A:I,9,FALSE)</f>
        <v>Venita Daniel</v>
      </c>
      <c r="M704" s="3" t="str">
        <f>VLOOKUP(G704,Store!A:H,2,FALSE)</f>
        <v>Baldwin Bikes</v>
      </c>
      <c r="N704" s="3" t="str">
        <f>VLOOKUP(G704,Store!A:H,6,FALSE)</f>
        <v>Baldwin</v>
      </c>
      <c r="O704" s="3" t="s">
        <v>16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>
        <v>704.0</v>
      </c>
      <c r="B705" s="1">
        <v>1137.0</v>
      </c>
      <c r="C705" s="1">
        <v>4.0</v>
      </c>
      <c r="D705" s="4">
        <v>42774.0</v>
      </c>
      <c r="E705" s="4">
        <v>42775.0</v>
      </c>
      <c r="F705" s="4">
        <v>42777.0</v>
      </c>
      <c r="G705" s="1">
        <v>2.0</v>
      </c>
      <c r="H705" s="1">
        <v>6.0</v>
      </c>
      <c r="I705" s="3" t="str">
        <f>VLOOKUP(B705,Customers!A:J, 10,FALSE)</f>
        <v>Dottie Roberts</v>
      </c>
      <c r="J705" s="3" t="str">
        <f>VLOOKUP(B705,Customers!A:J,8,FALSE)</f>
        <v>NY</v>
      </c>
      <c r="K705" s="3" t="str">
        <f>VLOOKUP(B705,Customers!A:J,7,FALSE)</f>
        <v>Port Washington</v>
      </c>
      <c r="L705" s="3" t="str">
        <f>VLOOKUP(H705,Staff!A:I,9,FALSE)</f>
        <v>Marcelene Boyer</v>
      </c>
      <c r="M705" s="3" t="str">
        <f>VLOOKUP(G705,Store!A:H,2,FALSE)</f>
        <v>Baldwin Bikes</v>
      </c>
      <c r="N705" s="3" t="str">
        <f>VLOOKUP(G705,Store!A:H,6,FALSE)</f>
        <v>Baldwin</v>
      </c>
      <c r="O705" s="3" t="s">
        <v>16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>
        <v>705.0</v>
      </c>
      <c r="B706" s="1">
        <v>1196.0</v>
      </c>
      <c r="C706" s="1">
        <v>4.0</v>
      </c>
      <c r="D706" s="4">
        <v>42774.0</v>
      </c>
      <c r="E706" s="4">
        <v>42777.0</v>
      </c>
      <c r="F706" s="4">
        <v>42777.0</v>
      </c>
      <c r="G706" s="1">
        <v>2.0</v>
      </c>
      <c r="H706" s="1">
        <v>7.0</v>
      </c>
      <c r="I706" s="3" t="str">
        <f>VLOOKUP(B706,Customers!A:J, 10,FALSE)</f>
        <v>Ileana Holt</v>
      </c>
      <c r="J706" s="3" t="str">
        <f>VLOOKUP(B706,Customers!A:J,8,FALSE)</f>
        <v>NY</v>
      </c>
      <c r="K706" s="3" t="str">
        <f>VLOOKUP(B706,Customers!A:J,7,FALSE)</f>
        <v>Patchogue</v>
      </c>
      <c r="L706" s="3" t="str">
        <f>VLOOKUP(H706,Staff!A:I,9,FALSE)</f>
        <v>Venita Daniel</v>
      </c>
      <c r="M706" s="3" t="str">
        <f>VLOOKUP(G706,Store!A:H,2,FALSE)</f>
        <v>Baldwin Bikes</v>
      </c>
      <c r="N706" s="3" t="str">
        <f>VLOOKUP(G706,Store!A:H,6,FALSE)</f>
        <v>Baldwin</v>
      </c>
      <c r="O706" s="3" t="s">
        <v>16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>
        <v>706.0</v>
      </c>
      <c r="B707" s="1">
        <v>1271.0</v>
      </c>
      <c r="C707" s="1">
        <v>4.0</v>
      </c>
      <c r="D707" s="4">
        <v>42775.0</v>
      </c>
      <c r="E707" s="4">
        <v>42778.0</v>
      </c>
      <c r="F707" s="4">
        <v>42776.0</v>
      </c>
      <c r="G707" s="1">
        <v>1.0</v>
      </c>
      <c r="H707" s="1">
        <v>2.0</v>
      </c>
      <c r="I707" s="3" t="str">
        <f>VLOOKUP(B707,Customers!A:J, 10,FALSE)</f>
        <v>Roy Chan</v>
      </c>
      <c r="J707" s="3" t="str">
        <f>VLOOKUP(B707,Customers!A:J,8,FALSE)</f>
        <v>CA</v>
      </c>
      <c r="K707" s="3" t="str">
        <f>VLOOKUP(B707,Customers!A:J,7,FALSE)</f>
        <v>Pomona</v>
      </c>
      <c r="L707" s="3" t="str">
        <f>VLOOKUP(H707,Staff!A:I,9,FALSE)</f>
        <v>Mireya Copeland</v>
      </c>
      <c r="M707" s="3" t="str">
        <f>VLOOKUP(G707,Store!A:H,2,FALSE)</f>
        <v>Santa Cruz Bikes</v>
      </c>
      <c r="N707" s="3" t="str">
        <f>VLOOKUP(G707,Store!A:H,6,FALSE)</f>
        <v>Santa Cruz</v>
      </c>
      <c r="O707" s="3" t="s">
        <v>15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>
        <v>707.0</v>
      </c>
      <c r="B708" s="1">
        <v>79.0</v>
      </c>
      <c r="C708" s="1">
        <v>4.0</v>
      </c>
      <c r="D708" s="4">
        <v>42775.0</v>
      </c>
      <c r="E708" s="4">
        <v>42777.0</v>
      </c>
      <c r="F708" s="4">
        <v>42777.0</v>
      </c>
      <c r="G708" s="1">
        <v>2.0</v>
      </c>
      <c r="H708" s="1">
        <v>7.0</v>
      </c>
      <c r="I708" s="3" t="str">
        <f>VLOOKUP(B708,Customers!A:J, 10,FALSE)</f>
        <v>Ashanti Parks</v>
      </c>
      <c r="J708" s="3" t="str">
        <f>VLOOKUP(B708,Customers!A:J,8,FALSE)</f>
        <v>NY</v>
      </c>
      <c r="K708" s="3" t="str">
        <f>VLOOKUP(B708,Customers!A:J,7,FALSE)</f>
        <v>Baldwin</v>
      </c>
      <c r="L708" s="3" t="str">
        <f>VLOOKUP(H708,Staff!A:I,9,FALSE)</f>
        <v>Venita Daniel</v>
      </c>
      <c r="M708" s="3" t="str">
        <f>VLOOKUP(G708,Store!A:H,2,FALSE)</f>
        <v>Baldwin Bikes</v>
      </c>
      <c r="N708" s="3" t="str">
        <f>VLOOKUP(G708,Store!A:H,6,FALSE)</f>
        <v>Baldwin</v>
      </c>
      <c r="O708" s="3" t="s">
        <v>16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>
        <v>708.0</v>
      </c>
      <c r="B709" s="1">
        <v>660.0</v>
      </c>
      <c r="C709" s="1">
        <v>4.0</v>
      </c>
      <c r="D709" s="4">
        <v>42776.0</v>
      </c>
      <c r="E709" s="4">
        <v>42778.0</v>
      </c>
      <c r="F709" s="4">
        <v>42777.0</v>
      </c>
      <c r="G709" s="1">
        <v>1.0</v>
      </c>
      <c r="H709" s="1">
        <v>2.0</v>
      </c>
      <c r="I709" s="3" t="str">
        <f>VLOOKUP(B709,Customers!A:J, 10,FALSE)</f>
        <v>Shara Pope</v>
      </c>
      <c r="J709" s="3" t="str">
        <f>VLOOKUP(B709,Customers!A:J,8,FALSE)</f>
        <v>CA</v>
      </c>
      <c r="K709" s="3" t="str">
        <f>VLOOKUP(B709,Customers!A:J,7,FALSE)</f>
        <v>Ridgecrest</v>
      </c>
      <c r="L709" s="3" t="str">
        <f>VLOOKUP(H709,Staff!A:I,9,FALSE)</f>
        <v>Mireya Copeland</v>
      </c>
      <c r="M709" s="3" t="str">
        <f>VLOOKUP(G709,Store!A:H,2,FALSE)</f>
        <v>Santa Cruz Bikes</v>
      </c>
      <c r="N709" s="3" t="str">
        <f>VLOOKUP(G709,Store!A:H,6,FALSE)</f>
        <v>Santa Cruz</v>
      </c>
      <c r="O709" s="3" t="s">
        <v>15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>
        <v>709.0</v>
      </c>
      <c r="B710" s="1">
        <v>1162.0</v>
      </c>
      <c r="C710" s="1">
        <v>4.0</v>
      </c>
      <c r="D710" s="4">
        <v>42777.0</v>
      </c>
      <c r="E710" s="4">
        <v>42779.0</v>
      </c>
      <c r="F710" s="4">
        <v>42778.0</v>
      </c>
      <c r="G710" s="1">
        <v>2.0</v>
      </c>
      <c r="H710" s="1">
        <v>6.0</v>
      </c>
      <c r="I710" s="3" t="str">
        <f>VLOOKUP(B710,Customers!A:J, 10,FALSE)</f>
        <v>Carmelina Sellers</v>
      </c>
      <c r="J710" s="3" t="str">
        <f>VLOOKUP(B710,Customers!A:J,8,FALSE)</f>
        <v>NY</v>
      </c>
      <c r="K710" s="3" t="str">
        <f>VLOOKUP(B710,Customers!A:J,7,FALSE)</f>
        <v>Ithaca</v>
      </c>
      <c r="L710" s="3" t="str">
        <f>VLOOKUP(H710,Staff!A:I,9,FALSE)</f>
        <v>Marcelene Boyer</v>
      </c>
      <c r="M710" s="3" t="str">
        <f>VLOOKUP(G710,Store!A:H,2,FALSE)</f>
        <v>Baldwin Bikes</v>
      </c>
      <c r="N710" s="3" t="str">
        <f>VLOOKUP(G710,Store!A:H,6,FALSE)</f>
        <v>Baldwin</v>
      </c>
      <c r="O710" s="3" t="s">
        <v>16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>
        <v>710.0</v>
      </c>
      <c r="B711" s="1">
        <v>295.0</v>
      </c>
      <c r="C711" s="1">
        <v>4.0</v>
      </c>
      <c r="D711" s="4">
        <v>42779.0</v>
      </c>
      <c r="E711" s="4">
        <v>42781.0</v>
      </c>
      <c r="F711" s="4">
        <v>42782.0</v>
      </c>
      <c r="G711" s="1">
        <v>2.0</v>
      </c>
      <c r="H711" s="1">
        <v>6.0</v>
      </c>
      <c r="I711" s="3" t="str">
        <f>VLOOKUP(B711,Customers!A:J, 10,FALSE)</f>
        <v>Danny Kim</v>
      </c>
      <c r="J711" s="3" t="str">
        <f>VLOOKUP(B711,Customers!A:J,8,FALSE)</f>
        <v>NY</v>
      </c>
      <c r="K711" s="3" t="str">
        <f>VLOOKUP(B711,Customers!A:J,7,FALSE)</f>
        <v>South Ozone Park</v>
      </c>
      <c r="L711" s="3" t="str">
        <f>VLOOKUP(H711,Staff!A:I,9,FALSE)</f>
        <v>Marcelene Boyer</v>
      </c>
      <c r="M711" s="3" t="str">
        <f>VLOOKUP(G711,Store!A:H,2,FALSE)</f>
        <v>Baldwin Bikes</v>
      </c>
      <c r="N711" s="3" t="str">
        <f>VLOOKUP(G711,Store!A:H,6,FALSE)</f>
        <v>Baldwin</v>
      </c>
      <c r="O711" s="3" t="s">
        <v>16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>
        <v>711.0</v>
      </c>
      <c r="B712" s="1">
        <v>1246.0</v>
      </c>
      <c r="C712" s="1">
        <v>4.0</v>
      </c>
      <c r="D712" s="4">
        <v>42779.0</v>
      </c>
      <c r="E712" s="4">
        <v>42782.0</v>
      </c>
      <c r="F712" s="4">
        <v>42780.0</v>
      </c>
      <c r="G712" s="1">
        <v>2.0</v>
      </c>
      <c r="H712" s="1">
        <v>6.0</v>
      </c>
      <c r="I712" s="3" t="str">
        <f>VLOOKUP(B712,Customers!A:J, 10,FALSE)</f>
        <v>Dale Rasmussen</v>
      </c>
      <c r="J712" s="3" t="str">
        <f>VLOOKUP(B712,Customers!A:J,8,FALSE)</f>
        <v>NY</v>
      </c>
      <c r="K712" s="3" t="str">
        <f>VLOOKUP(B712,Customers!A:J,7,FALSE)</f>
        <v>Kingston</v>
      </c>
      <c r="L712" s="3" t="str">
        <f>VLOOKUP(H712,Staff!A:I,9,FALSE)</f>
        <v>Marcelene Boyer</v>
      </c>
      <c r="M712" s="3" t="str">
        <f>VLOOKUP(G712,Store!A:H,2,FALSE)</f>
        <v>Baldwin Bikes</v>
      </c>
      <c r="N712" s="3" t="str">
        <f>VLOOKUP(G712,Store!A:H,6,FALSE)</f>
        <v>Baldwin</v>
      </c>
      <c r="O712" s="3" t="s">
        <v>16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>
        <v>712.0</v>
      </c>
      <c r="B713" s="1">
        <v>173.0</v>
      </c>
      <c r="C713" s="1">
        <v>4.0</v>
      </c>
      <c r="D713" s="4">
        <v>42779.0</v>
      </c>
      <c r="E713" s="4">
        <v>42780.0</v>
      </c>
      <c r="F713" s="4">
        <v>42782.0</v>
      </c>
      <c r="G713" s="1">
        <v>3.0</v>
      </c>
      <c r="H713" s="1">
        <v>9.0</v>
      </c>
      <c r="I713" s="3" t="str">
        <f>VLOOKUP(B713,Customers!A:J, 10,FALSE)</f>
        <v>Marquerite Dawson</v>
      </c>
      <c r="J713" s="3" t="str">
        <f>VLOOKUP(B713,Customers!A:J,8,FALSE)</f>
        <v>TX</v>
      </c>
      <c r="K713" s="3" t="str">
        <f>VLOOKUP(B713,Customers!A:J,7,FALSE)</f>
        <v>Garland</v>
      </c>
      <c r="L713" s="3" t="str">
        <f>VLOOKUP(H713,Staff!A:I,9,FALSE)</f>
        <v>Layla Terrell</v>
      </c>
      <c r="M713" s="3" t="str">
        <f>VLOOKUP(G713,Store!A:H,2,FALSE)</f>
        <v>Rowlett Bikes</v>
      </c>
      <c r="N713" s="3" t="str">
        <f>VLOOKUP(G713,Store!A:H,6,FALSE)</f>
        <v>Rowlett</v>
      </c>
      <c r="O713" s="3" t="s">
        <v>17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>
        <v>713.0</v>
      </c>
      <c r="B714" s="1">
        <v>207.0</v>
      </c>
      <c r="C714" s="1">
        <v>4.0</v>
      </c>
      <c r="D714" s="4">
        <v>42779.0</v>
      </c>
      <c r="E714" s="4">
        <v>42780.0</v>
      </c>
      <c r="F714" s="4">
        <v>42781.0</v>
      </c>
      <c r="G714" s="1">
        <v>3.0</v>
      </c>
      <c r="H714" s="1">
        <v>8.0</v>
      </c>
      <c r="I714" s="3" t="str">
        <f>VLOOKUP(B714,Customers!A:J, 10,FALSE)</f>
        <v>Michel Blankenship</v>
      </c>
      <c r="J714" s="3" t="str">
        <f>VLOOKUP(B714,Customers!A:J,8,FALSE)</f>
        <v>TX</v>
      </c>
      <c r="K714" s="3" t="str">
        <f>VLOOKUP(B714,Customers!A:J,7,FALSE)</f>
        <v>Forney</v>
      </c>
      <c r="L714" s="3" t="str">
        <f>VLOOKUP(H714,Staff!A:I,9,FALSE)</f>
        <v>Kali Vargas</v>
      </c>
      <c r="M714" s="3" t="str">
        <f>VLOOKUP(G714,Store!A:H,2,FALSE)</f>
        <v>Rowlett Bikes</v>
      </c>
      <c r="N714" s="3" t="str">
        <f>VLOOKUP(G714,Store!A:H,6,FALSE)</f>
        <v>Rowlett</v>
      </c>
      <c r="O714" s="3" t="s">
        <v>17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>
        <v>714.0</v>
      </c>
      <c r="B715" s="1">
        <v>805.0</v>
      </c>
      <c r="C715" s="1">
        <v>4.0</v>
      </c>
      <c r="D715" s="4">
        <v>42780.0</v>
      </c>
      <c r="E715" s="4">
        <v>42783.0</v>
      </c>
      <c r="F715" s="4">
        <v>42781.0</v>
      </c>
      <c r="G715" s="1">
        <v>2.0</v>
      </c>
      <c r="H715" s="1">
        <v>7.0</v>
      </c>
      <c r="I715" s="3" t="str">
        <f>VLOOKUP(B715,Customers!A:J, 10,FALSE)</f>
        <v>Phillis Fowler</v>
      </c>
      <c r="J715" s="3" t="str">
        <f>VLOOKUP(B715,Customers!A:J,8,FALSE)</f>
        <v>NY</v>
      </c>
      <c r="K715" s="3" t="str">
        <f>VLOOKUP(B715,Customers!A:J,7,FALSE)</f>
        <v>Clifton Park</v>
      </c>
      <c r="L715" s="3" t="str">
        <f>VLOOKUP(H715,Staff!A:I,9,FALSE)</f>
        <v>Venita Daniel</v>
      </c>
      <c r="M715" s="3" t="str">
        <f>VLOOKUP(G715,Store!A:H,2,FALSE)</f>
        <v>Baldwin Bikes</v>
      </c>
      <c r="N715" s="3" t="str">
        <f>VLOOKUP(G715,Store!A:H,6,FALSE)</f>
        <v>Baldwin</v>
      </c>
      <c r="O715" s="3" t="s">
        <v>16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>
        <v>715.0</v>
      </c>
      <c r="B716" s="1">
        <v>12.0</v>
      </c>
      <c r="C716" s="1">
        <v>3.0</v>
      </c>
      <c r="D716" s="4">
        <v>42781.0</v>
      </c>
      <c r="E716" s="4">
        <v>42781.0</v>
      </c>
      <c r="F716" s="1" t="s">
        <v>18</v>
      </c>
      <c r="G716" s="1">
        <v>2.0</v>
      </c>
      <c r="H716" s="1">
        <v>6.0</v>
      </c>
      <c r="I716" s="3" t="str">
        <f>VLOOKUP(B716,Customers!A:J, 10,FALSE)</f>
        <v>Robby Sykes</v>
      </c>
      <c r="J716" s="3" t="str">
        <f>VLOOKUP(B716,Customers!A:J,8,FALSE)</f>
        <v>NY</v>
      </c>
      <c r="K716" s="3" t="str">
        <f>VLOOKUP(B716,Customers!A:J,7,FALSE)</f>
        <v>Hempstead</v>
      </c>
      <c r="L716" s="3" t="str">
        <f>VLOOKUP(H716,Staff!A:I,9,FALSE)</f>
        <v>Marcelene Boyer</v>
      </c>
      <c r="M716" s="3" t="str">
        <f>VLOOKUP(G716,Store!A:H,2,FALSE)</f>
        <v>Baldwin Bikes</v>
      </c>
      <c r="N716" s="3" t="str">
        <f>VLOOKUP(G716,Store!A:H,6,FALSE)</f>
        <v>Baldwin</v>
      </c>
      <c r="O716" s="3" t="s">
        <v>16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>
        <v>716.0</v>
      </c>
      <c r="B717" s="1">
        <v>672.0</v>
      </c>
      <c r="C717" s="1">
        <v>4.0</v>
      </c>
      <c r="D717" s="4">
        <v>42781.0</v>
      </c>
      <c r="E717" s="4">
        <v>42783.0</v>
      </c>
      <c r="F717" s="4">
        <v>42784.0</v>
      </c>
      <c r="G717" s="1">
        <v>2.0</v>
      </c>
      <c r="H717" s="1">
        <v>6.0</v>
      </c>
      <c r="I717" s="3" t="str">
        <f>VLOOKUP(B717,Customers!A:J, 10,FALSE)</f>
        <v>Elma Molina</v>
      </c>
      <c r="J717" s="3" t="str">
        <f>VLOOKUP(B717,Customers!A:J,8,FALSE)</f>
        <v>NY</v>
      </c>
      <c r="K717" s="3" t="str">
        <f>VLOOKUP(B717,Customers!A:J,7,FALSE)</f>
        <v>New Rochelle</v>
      </c>
      <c r="L717" s="3" t="str">
        <f>VLOOKUP(H717,Staff!A:I,9,FALSE)</f>
        <v>Marcelene Boyer</v>
      </c>
      <c r="M717" s="3" t="str">
        <f>VLOOKUP(G717,Store!A:H,2,FALSE)</f>
        <v>Baldwin Bikes</v>
      </c>
      <c r="N717" s="3" t="str">
        <f>VLOOKUP(G717,Store!A:H,6,FALSE)</f>
        <v>Baldwin</v>
      </c>
      <c r="O717" s="3" t="s">
        <v>16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>
        <v>717.0</v>
      </c>
      <c r="B718" s="1">
        <v>1312.0</v>
      </c>
      <c r="C718" s="1">
        <v>4.0</v>
      </c>
      <c r="D718" s="4">
        <v>42781.0</v>
      </c>
      <c r="E718" s="4">
        <v>42784.0</v>
      </c>
      <c r="F718" s="4">
        <v>42783.0</v>
      </c>
      <c r="G718" s="1">
        <v>2.0</v>
      </c>
      <c r="H718" s="1">
        <v>6.0</v>
      </c>
      <c r="I718" s="3" t="str">
        <f>VLOOKUP(B718,Customers!A:J, 10,FALSE)</f>
        <v>Tereasa Bird</v>
      </c>
      <c r="J718" s="3" t="str">
        <f>VLOOKUP(B718,Customers!A:J,8,FALSE)</f>
        <v>NY</v>
      </c>
      <c r="K718" s="3" t="str">
        <f>VLOOKUP(B718,Customers!A:J,7,FALSE)</f>
        <v>Ronkonkoma</v>
      </c>
      <c r="L718" s="3" t="str">
        <f>VLOOKUP(H718,Staff!A:I,9,FALSE)</f>
        <v>Marcelene Boyer</v>
      </c>
      <c r="M718" s="3" t="str">
        <f>VLOOKUP(G718,Store!A:H,2,FALSE)</f>
        <v>Baldwin Bikes</v>
      </c>
      <c r="N718" s="3" t="str">
        <f>VLOOKUP(G718,Store!A:H,6,FALSE)</f>
        <v>Baldwin</v>
      </c>
      <c r="O718" s="3" t="s">
        <v>16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>
        <v>718.0</v>
      </c>
      <c r="B719" s="1">
        <v>38.0</v>
      </c>
      <c r="C719" s="1">
        <v>4.0</v>
      </c>
      <c r="D719" s="4">
        <v>42782.0</v>
      </c>
      <c r="E719" s="4">
        <v>42783.0</v>
      </c>
      <c r="F719" s="4">
        <v>42783.0</v>
      </c>
      <c r="G719" s="1">
        <v>2.0</v>
      </c>
      <c r="H719" s="1">
        <v>7.0</v>
      </c>
      <c r="I719" s="3" t="str">
        <f>VLOOKUP(B719,Customers!A:J, 10,FALSE)</f>
        <v>Zelma Browning</v>
      </c>
      <c r="J719" s="3" t="str">
        <f>VLOOKUP(B719,Customers!A:J,8,FALSE)</f>
        <v>NY</v>
      </c>
      <c r="K719" s="3" t="str">
        <f>VLOOKUP(B719,Customers!A:J,7,FALSE)</f>
        <v>Astoria</v>
      </c>
      <c r="L719" s="3" t="str">
        <f>VLOOKUP(H719,Staff!A:I,9,FALSE)</f>
        <v>Venita Daniel</v>
      </c>
      <c r="M719" s="3" t="str">
        <f>VLOOKUP(G719,Store!A:H,2,FALSE)</f>
        <v>Baldwin Bikes</v>
      </c>
      <c r="N719" s="3" t="str">
        <f>VLOOKUP(G719,Store!A:H,6,FALSE)</f>
        <v>Baldwin</v>
      </c>
      <c r="O719" s="3" t="s">
        <v>16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>
        <v>719.0</v>
      </c>
      <c r="B720" s="1">
        <v>200.0</v>
      </c>
      <c r="C720" s="1">
        <v>4.0</v>
      </c>
      <c r="D720" s="4">
        <v>42782.0</v>
      </c>
      <c r="E720" s="4">
        <v>42785.0</v>
      </c>
      <c r="F720" s="4">
        <v>42784.0</v>
      </c>
      <c r="G720" s="1">
        <v>2.0</v>
      </c>
      <c r="H720" s="1">
        <v>6.0</v>
      </c>
      <c r="I720" s="3" t="str">
        <f>VLOOKUP(B720,Customers!A:J, 10,FALSE)</f>
        <v>Ashely Holmes</v>
      </c>
      <c r="J720" s="3" t="str">
        <f>VLOOKUP(B720,Customers!A:J,8,FALSE)</f>
        <v>NY</v>
      </c>
      <c r="K720" s="3" t="str">
        <f>VLOOKUP(B720,Customers!A:J,7,FALSE)</f>
        <v>Farmingdale</v>
      </c>
      <c r="L720" s="3" t="str">
        <f>VLOOKUP(H720,Staff!A:I,9,FALSE)</f>
        <v>Marcelene Boyer</v>
      </c>
      <c r="M720" s="3" t="str">
        <f>VLOOKUP(G720,Store!A:H,2,FALSE)</f>
        <v>Baldwin Bikes</v>
      </c>
      <c r="N720" s="3" t="str">
        <f>VLOOKUP(G720,Store!A:H,6,FALSE)</f>
        <v>Baldwin</v>
      </c>
      <c r="O720" s="3" t="s">
        <v>16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>
        <v>720.0</v>
      </c>
      <c r="B721" s="1">
        <v>382.0</v>
      </c>
      <c r="C721" s="1">
        <v>4.0</v>
      </c>
      <c r="D721" s="4">
        <v>42782.0</v>
      </c>
      <c r="E721" s="4">
        <v>42785.0</v>
      </c>
      <c r="F721" s="4">
        <v>42785.0</v>
      </c>
      <c r="G721" s="1">
        <v>2.0</v>
      </c>
      <c r="H721" s="1">
        <v>6.0</v>
      </c>
      <c r="I721" s="3" t="str">
        <f>VLOOKUP(B721,Customers!A:J, 10,FALSE)</f>
        <v>Collin Webster</v>
      </c>
      <c r="J721" s="3" t="str">
        <f>VLOOKUP(B721,Customers!A:J,8,FALSE)</f>
        <v>NY</v>
      </c>
      <c r="K721" s="3" t="str">
        <f>VLOOKUP(B721,Customers!A:J,7,FALSE)</f>
        <v>Howard Beach</v>
      </c>
      <c r="L721" s="3" t="str">
        <f>VLOOKUP(H721,Staff!A:I,9,FALSE)</f>
        <v>Marcelene Boyer</v>
      </c>
      <c r="M721" s="3" t="str">
        <f>VLOOKUP(G721,Store!A:H,2,FALSE)</f>
        <v>Baldwin Bikes</v>
      </c>
      <c r="N721" s="3" t="str">
        <f>VLOOKUP(G721,Store!A:H,6,FALSE)</f>
        <v>Baldwin</v>
      </c>
      <c r="O721" s="3" t="s">
        <v>16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>
        <v>721.0</v>
      </c>
      <c r="B722" s="1">
        <v>625.0</v>
      </c>
      <c r="C722" s="1">
        <v>4.0</v>
      </c>
      <c r="D722" s="4">
        <v>42782.0</v>
      </c>
      <c r="E722" s="4">
        <v>42785.0</v>
      </c>
      <c r="F722" s="4">
        <v>42783.0</v>
      </c>
      <c r="G722" s="1">
        <v>2.0</v>
      </c>
      <c r="H722" s="1">
        <v>7.0</v>
      </c>
      <c r="I722" s="3" t="str">
        <f>VLOOKUP(B722,Customers!A:J, 10,FALSE)</f>
        <v>Donnetta Henson</v>
      </c>
      <c r="J722" s="3" t="str">
        <f>VLOOKUP(B722,Customers!A:J,8,FALSE)</f>
        <v>NY</v>
      </c>
      <c r="K722" s="3" t="str">
        <f>VLOOKUP(B722,Customers!A:J,7,FALSE)</f>
        <v>Webster</v>
      </c>
      <c r="L722" s="3" t="str">
        <f>VLOOKUP(H722,Staff!A:I,9,FALSE)</f>
        <v>Venita Daniel</v>
      </c>
      <c r="M722" s="3" t="str">
        <f>VLOOKUP(G722,Store!A:H,2,FALSE)</f>
        <v>Baldwin Bikes</v>
      </c>
      <c r="N722" s="3" t="str">
        <f>VLOOKUP(G722,Store!A:H,6,FALSE)</f>
        <v>Baldwin</v>
      </c>
      <c r="O722" s="3" t="s">
        <v>16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>
        <v>722.0</v>
      </c>
      <c r="B723" s="1">
        <v>1399.0</v>
      </c>
      <c r="C723" s="1">
        <v>4.0</v>
      </c>
      <c r="D723" s="4">
        <v>42784.0</v>
      </c>
      <c r="E723" s="4">
        <v>42786.0</v>
      </c>
      <c r="F723" s="4">
        <v>42787.0</v>
      </c>
      <c r="G723" s="1">
        <v>2.0</v>
      </c>
      <c r="H723" s="1">
        <v>7.0</v>
      </c>
      <c r="I723" s="3" t="str">
        <f>VLOOKUP(B723,Customers!A:J, 10,FALSE)</f>
        <v>Angelika Perry</v>
      </c>
      <c r="J723" s="3" t="str">
        <f>VLOOKUP(B723,Customers!A:J,8,FALSE)</f>
        <v>NY</v>
      </c>
      <c r="K723" s="3" t="str">
        <f>VLOOKUP(B723,Customers!A:J,7,FALSE)</f>
        <v>Canandaigua</v>
      </c>
      <c r="L723" s="3" t="str">
        <f>VLOOKUP(H723,Staff!A:I,9,FALSE)</f>
        <v>Venita Daniel</v>
      </c>
      <c r="M723" s="3" t="str">
        <f>VLOOKUP(G723,Store!A:H,2,FALSE)</f>
        <v>Baldwin Bikes</v>
      </c>
      <c r="N723" s="3" t="str">
        <f>VLOOKUP(G723,Store!A:H,6,FALSE)</f>
        <v>Baldwin</v>
      </c>
      <c r="O723" s="3" t="s">
        <v>16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>
        <v>723.0</v>
      </c>
      <c r="B724" s="1">
        <v>845.0</v>
      </c>
      <c r="C724" s="1">
        <v>4.0</v>
      </c>
      <c r="D724" s="4">
        <v>42785.0</v>
      </c>
      <c r="E724" s="4">
        <v>42787.0</v>
      </c>
      <c r="F724" s="4">
        <v>42788.0</v>
      </c>
      <c r="G724" s="1">
        <v>2.0</v>
      </c>
      <c r="H724" s="1">
        <v>6.0</v>
      </c>
      <c r="I724" s="3" t="str">
        <f>VLOOKUP(B724,Customers!A:J, 10,FALSE)</f>
        <v>Kathyrn Bush</v>
      </c>
      <c r="J724" s="3" t="str">
        <f>VLOOKUP(B724,Customers!A:J,8,FALSE)</f>
        <v>NY</v>
      </c>
      <c r="K724" s="3" t="str">
        <f>VLOOKUP(B724,Customers!A:J,7,FALSE)</f>
        <v>Bronx</v>
      </c>
      <c r="L724" s="3" t="str">
        <f>VLOOKUP(H724,Staff!A:I,9,FALSE)</f>
        <v>Marcelene Boyer</v>
      </c>
      <c r="M724" s="3" t="str">
        <f>VLOOKUP(G724,Store!A:H,2,FALSE)</f>
        <v>Baldwin Bikes</v>
      </c>
      <c r="N724" s="3" t="str">
        <f>VLOOKUP(G724,Store!A:H,6,FALSE)</f>
        <v>Baldwin</v>
      </c>
      <c r="O724" s="3" t="s">
        <v>16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>
        <v>724.0</v>
      </c>
      <c r="B725" s="1">
        <v>864.0</v>
      </c>
      <c r="C725" s="1">
        <v>4.0</v>
      </c>
      <c r="D725" s="4">
        <v>42785.0</v>
      </c>
      <c r="E725" s="4">
        <v>42788.0</v>
      </c>
      <c r="F725" s="4">
        <v>42787.0</v>
      </c>
      <c r="G725" s="1">
        <v>2.0</v>
      </c>
      <c r="H725" s="1">
        <v>6.0</v>
      </c>
      <c r="I725" s="3" t="str">
        <f>VLOOKUP(B725,Customers!A:J, 10,FALSE)</f>
        <v>Lore Sykes</v>
      </c>
      <c r="J725" s="3" t="str">
        <f>VLOOKUP(B725,Customers!A:J,8,FALSE)</f>
        <v>NY</v>
      </c>
      <c r="K725" s="3" t="str">
        <f>VLOOKUP(B725,Customers!A:J,7,FALSE)</f>
        <v>Buffalo</v>
      </c>
      <c r="L725" s="3" t="str">
        <f>VLOOKUP(H725,Staff!A:I,9,FALSE)</f>
        <v>Marcelene Boyer</v>
      </c>
      <c r="M725" s="3" t="str">
        <f>VLOOKUP(G725,Store!A:H,2,FALSE)</f>
        <v>Baldwin Bikes</v>
      </c>
      <c r="N725" s="3" t="str">
        <f>VLOOKUP(G725,Store!A:H,6,FALSE)</f>
        <v>Baldwin</v>
      </c>
      <c r="O725" s="3" t="s">
        <v>16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>
        <v>725.0</v>
      </c>
      <c r="B726" s="1">
        <v>870.0</v>
      </c>
      <c r="C726" s="1">
        <v>4.0</v>
      </c>
      <c r="D726" s="4">
        <v>42785.0</v>
      </c>
      <c r="E726" s="4">
        <v>42788.0</v>
      </c>
      <c r="F726" s="4">
        <v>42788.0</v>
      </c>
      <c r="G726" s="1">
        <v>2.0</v>
      </c>
      <c r="H726" s="1">
        <v>7.0</v>
      </c>
      <c r="I726" s="3" t="str">
        <f>VLOOKUP(B726,Customers!A:J, 10,FALSE)</f>
        <v>Dwain Carlson</v>
      </c>
      <c r="J726" s="3" t="str">
        <f>VLOOKUP(B726,Customers!A:J,8,FALSE)</f>
        <v>NY</v>
      </c>
      <c r="K726" s="3" t="str">
        <f>VLOOKUP(B726,Customers!A:J,7,FALSE)</f>
        <v>Smithtown</v>
      </c>
      <c r="L726" s="3" t="str">
        <f>VLOOKUP(H726,Staff!A:I,9,FALSE)</f>
        <v>Venita Daniel</v>
      </c>
      <c r="M726" s="3" t="str">
        <f>VLOOKUP(G726,Store!A:H,2,FALSE)</f>
        <v>Baldwin Bikes</v>
      </c>
      <c r="N726" s="3" t="str">
        <f>VLOOKUP(G726,Store!A:H,6,FALSE)</f>
        <v>Baldwin</v>
      </c>
      <c r="O726" s="3" t="s">
        <v>16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>
        <v>726.0</v>
      </c>
      <c r="B727" s="1">
        <v>969.0</v>
      </c>
      <c r="C727" s="1">
        <v>4.0</v>
      </c>
      <c r="D727" s="4">
        <v>42785.0</v>
      </c>
      <c r="E727" s="4">
        <v>42788.0</v>
      </c>
      <c r="F727" s="4">
        <v>42786.0</v>
      </c>
      <c r="G727" s="1">
        <v>2.0</v>
      </c>
      <c r="H727" s="1">
        <v>6.0</v>
      </c>
      <c r="I727" s="3" t="str">
        <f>VLOOKUP(B727,Customers!A:J, 10,FALSE)</f>
        <v>Jennell Solis</v>
      </c>
      <c r="J727" s="3" t="str">
        <f>VLOOKUP(B727,Customers!A:J,8,FALSE)</f>
        <v>NY</v>
      </c>
      <c r="K727" s="3" t="str">
        <f>VLOOKUP(B727,Customers!A:J,7,FALSE)</f>
        <v>Rochester</v>
      </c>
      <c r="L727" s="3" t="str">
        <f>VLOOKUP(H727,Staff!A:I,9,FALSE)</f>
        <v>Marcelene Boyer</v>
      </c>
      <c r="M727" s="3" t="str">
        <f>VLOOKUP(G727,Store!A:H,2,FALSE)</f>
        <v>Baldwin Bikes</v>
      </c>
      <c r="N727" s="3" t="str">
        <f>VLOOKUP(G727,Store!A:H,6,FALSE)</f>
        <v>Baldwin</v>
      </c>
      <c r="O727" s="3" t="s">
        <v>16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>
        <v>727.0</v>
      </c>
      <c r="B728" s="1">
        <v>962.0</v>
      </c>
      <c r="C728" s="1">
        <v>4.0</v>
      </c>
      <c r="D728" s="4">
        <v>42785.0</v>
      </c>
      <c r="E728" s="4">
        <v>42788.0</v>
      </c>
      <c r="F728" s="4">
        <v>42787.0</v>
      </c>
      <c r="G728" s="1">
        <v>3.0</v>
      </c>
      <c r="H728" s="1">
        <v>9.0</v>
      </c>
      <c r="I728" s="3" t="str">
        <f>VLOOKUP(B728,Customers!A:J, 10,FALSE)</f>
        <v>Maple Griffin</v>
      </c>
      <c r="J728" s="3" t="str">
        <f>VLOOKUP(B728,Customers!A:J,8,FALSE)</f>
        <v>TX</v>
      </c>
      <c r="K728" s="3" t="str">
        <f>VLOOKUP(B728,Customers!A:J,7,FALSE)</f>
        <v>Copperas Cove</v>
      </c>
      <c r="L728" s="3" t="str">
        <f>VLOOKUP(H728,Staff!A:I,9,FALSE)</f>
        <v>Layla Terrell</v>
      </c>
      <c r="M728" s="3" t="str">
        <f>VLOOKUP(G728,Store!A:H,2,FALSE)</f>
        <v>Rowlett Bikes</v>
      </c>
      <c r="N728" s="3" t="str">
        <f>VLOOKUP(G728,Store!A:H,6,FALSE)</f>
        <v>Rowlett</v>
      </c>
      <c r="O728" s="3" t="s">
        <v>17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>
        <v>728.0</v>
      </c>
      <c r="B729" s="1">
        <v>1138.0</v>
      </c>
      <c r="C729" s="1">
        <v>4.0</v>
      </c>
      <c r="D729" s="4">
        <v>42786.0</v>
      </c>
      <c r="E729" s="4">
        <v>42787.0</v>
      </c>
      <c r="F729" s="4">
        <v>42789.0</v>
      </c>
      <c r="G729" s="1">
        <v>1.0</v>
      </c>
      <c r="H729" s="1">
        <v>3.0</v>
      </c>
      <c r="I729" s="3" t="str">
        <f>VLOOKUP(B729,Customers!A:J, 10,FALSE)</f>
        <v>Hubert Stone</v>
      </c>
      <c r="J729" s="3" t="str">
        <f>VLOOKUP(B729,Customers!A:J,8,FALSE)</f>
        <v>CA</v>
      </c>
      <c r="K729" s="3" t="str">
        <f>VLOOKUP(B729,Customers!A:J,7,FALSE)</f>
        <v>Ridgecrest</v>
      </c>
      <c r="L729" s="3" t="str">
        <f>VLOOKUP(H729,Staff!A:I,9,FALSE)</f>
        <v>Genna Serrano</v>
      </c>
      <c r="M729" s="3" t="str">
        <f>VLOOKUP(G729,Store!A:H,2,FALSE)</f>
        <v>Santa Cruz Bikes</v>
      </c>
      <c r="N729" s="3" t="str">
        <f>VLOOKUP(G729,Store!A:H,6,FALSE)</f>
        <v>Santa Cruz</v>
      </c>
      <c r="O729" s="3" t="s">
        <v>15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>
        <v>729.0</v>
      </c>
      <c r="B730" s="1">
        <v>897.0</v>
      </c>
      <c r="C730" s="1">
        <v>4.0</v>
      </c>
      <c r="D730" s="4">
        <v>42786.0</v>
      </c>
      <c r="E730" s="4">
        <v>42788.0</v>
      </c>
      <c r="F730" s="4">
        <v>42787.0</v>
      </c>
      <c r="G730" s="1">
        <v>2.0</v>
      </c>
      <c r="H730" s="1">
        <v>7.0</v>
      </c>
      <c r="I730" s="3" t="str">
        <f>VLOOKUP(B730,Customers!A:J, 10,FALSE)</f>
        <v>Bettyann Acosta</v>
      </c>
      <c r="J730" s="3" t="str">
        <f>VLOOKUP(B730,Customers!A:J,8,FALSE)</f>
        <v>NY</v>
      </c>
      <c r="K730" s="3" t="str">
        <f>VLOOKUP(B730,Customers!A:J,7,FALSE)</f>
        <v>Lancaster</v>
      </c>
      <c r="L730" s="3" t="str">
        <f>VLOOKUP(H730,Staff!A:I,9,FALSE)</f>
        <v>Venita Daniel</v>
      </c>
      <c r="M730" s="3" t="str">
        <f>VLOOKUP(G730,Store!A:H,2,FALSE)</f>
        <v>Baldwin Bikes</v>
      </c>
      <c r="N730" s="3" t="str">
        <f>VLOOKUP(G730,Store!A:H,6,FALSE)</f>
        <v>Baldwin</v>
      </c>
      <c r="O730" s="3" t="s">
        <v>16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>
        <v>730.0</v>
      </c>
      <c r="B731" s="1">
        <v>500.0</v>
      </c>
      <c r="C731" s="1">
        <v>4.0</v>
      </c>
      <c r="D731" s="4">
        <v>42787.0</v>
      </c>
      <c r="E731" s="4">
        <v>42790.0</v>
      </c>
      <c r="F731" s="4">
        <v>42788.0</v>
      </c>
      <c r="G731" s="1">
        <v>2.0</v>
      </c>
      <c r="H731" s="1">
        <v>6.0</v>
      </c>
      <c r="I731" s="3" t="str">
        <f>VLOOKUP(B731,Customers!A:J, 10,FALSE)</f>
        <v>Moira Lester</v>
      </c>
      <c r="J731" s="3" t="str">
        <f>VLOOKUP(B731,Customers!A:J,8,FALSE)</f>
        <v>NY</v>
      </c>
      <c r="K731" s="3" t="str">
        <f>VLOOKUP(B731,Customers!A:J,7,FALSE)</f>
        <v>Jackson Heights</v>
      </c>
      <c r="L731" s="3" t="str">
        <f>VLOOKUP(H731,Staff!A:I,9,FALSE)</f>
        <v>Marcelene Boyer</v>
      </c>
      <c r="M731" s="3" t="str">
        <f>VLOOKUP(G731,Store!A:H,2,FALSE)</f>
        <v>Baldwin Bikes</v>
      </c>
      <c r="N731" s="3" t="str">
        <f>VLOOKUP(G731,Store!A:H,6,FALSE)</f>
        <v>Baldwin</v>
      </c>
      <c r="O731" s="3" t="s">
        <v>16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>
        <v>731.0</v>
      </c>
      <c r="B732" s="1">
        <v>910.0</v>
      </c>
      <c r="C732" s="1">
        <v>4.0</v>
      </c>
      <c r="D732" s="4">
        <v>42791.0</v>
      </c>
      <c r="E732" s="4">
        <v>42793.0</v>
      </c>
      <c r="F732" s="4">
        <v>42793.0</v>
      </c>
      <c r="G732" s="1">
        <v>3.0</v>
      </c>
      <c r="H732" s="1">
        <v>9.0</v>
      </c>
      <c r="I732" s="3" t="str">
        <f>VLOOKUP(B732,Customers!A:J, 10,FALSE)</f>
        <v>Elenore William</v>
      </c>
      <c r="J732" s="3" t="str">
        <f>VLOOKUP(B732,Customers!A:J,8,FALSE)</f>
        <v>TX</v>
      </c>
      <c r="K732" s="3" t="str">
        <f>VLOOKUP(B732,Customers!A:J,7,FALSE)</f>
        <v>Mcallen</v>
      </c>
      <c r="L732" s="3" t="str">
        <f>VLOOKUP(H732,Staff!A:I,9,FALSE)</f>
        <v>Layla Terrell</v>
      </c>
      <c r="M732" s="3" t="str">
        <f>VLOOKUP(G732,Store!A:H,2,FALSE)</f>
        <v>Rowlett Bikes</v>
      </c>
      <c r="N732" s="3" t="str">
        <f>VLOOKUP(G732,Store!A:H,6,FALSE)</f>
        <v>Rowlett</v>
      </c>
      <c r="O732" s="3" t="s">
        <v>17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>
        <v>732.0</v>
      </c>
      <c r="B733" s="1">
        <v>147.0</v>
      </c>
      <c r="C733" s="1">
        <v>4.0</v>
      </c>
      <c r="D733" s="4">
        <v>42792.0</v>
      </c>
      <c r="E733" s="4">
        <v>42793.0</v>
      </c>
      <c r="F733" s="4">
        <v>42795.0</v>
      </c>
      <c r="G733" s="1">
        <v>2.0</v>
      </c>
      <c r="H733" s="1">
        <v>7.0</v>
      </c>
      <c r="I733" s="3" t="str">
        <f>VLOOKUP(B733,Customers!A:J, 10,FALSE)</f>
        <v>Bernetta Marquez</v>
      </c>
      <c r="J733" s="3" t="str">
        <f>VLOOKUP(B733,Customers!A:J,8,FALSE)</f>
        <v>NY</v>
      </c>
      <c r="K733" s="3" t="str">
        <f>VLOOKUP(B733,Customers!A:J,7,FALSE)</f>
        <v>Smithtown</v>
      </c>
      <c r="L733" s="3" t="str">
        <f>VLOOKUP(H733,Staff!A:I,9,FALSE)</f>
        <v>Venita Daniel</v>
      </c>
      <c r="M733" s="3" t="str">
        <f>VLOOKUP(G733,Store!A:H,2,FALSE)</f>
        <v>Baldwin Bikes</v>
      </c>
      <c r="N733" s="3" t="str">
        <f>VLOOKUP(G733,Store!A:H,6,FALSE)</f>
        <v>Baldwin</v>
      </c>
      <c r="O733" s="3" t="s">
        <v>16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>
        <v>733.0</v>
      </c>
      <c r="B734" s="1">
        <v>832.0</v>
      </c>
      <c r="C734" s="1">
        <v>4.0</v>
      </c>
      <c r="D734" s="4">
        <v>42792.0</v>
      </c>
      <c r="E734" s="4">
        <v>42795.0</v>
      </c>
      <c r="F734" s="4">
        <v>42793.0</v>
      </c>
      <c r="G734" s="1">
        <v>2.0</v>
      </c>
      <c r="H734" s="1">
        <v>7.0</v>
      </c>
      <c r="I734" s="3" t="str">
        <f>VLOOKUP(B734,Customers!A:J, 10,FALSE)</f>
        <v>Pamala Fowler</v>
      </c>
      <c r="J734" s="3" t="str">
        <f>VLOOKUP(B734,Customers!A:J,8,FALSE)</f>
        <v>NY</v>
      </c>
      <c r="K734" s="3" t="str">
        <f>VLOOKUP(B734,Customers!A:J,7,FALSE)</f>
        <v>Ballston Spa</v>
      </c>
      <c r="L734" s="3" t="str">
        <f>VLOOKUP(H734,Staff!A:I,9,FALSE)</f>
        <v>Venita Daniel</v>
      </c>
      <c r="M734" s="3" t="str">
        <f>VLOOKUP(G734,Store!A:H,2,FALSE)</f>
        <v>Baldwin Bikes</v>
      </c>
      <c r="N734" s="3" t="str">
        <f>VLOOKUP(G734,Store!A:H,6,FALSE)</f>
        <v>Baldwin</v>
      </c>
      <c r="O734" s="3" t="s">
        <v>16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>
        <v>734.0</v>
      </c>
      <c r="B735" s="1">
        <v>939.0</v>
      </c>
      <c r="C735" s="1">
        <v>4.0</v>
      </c>
      <c r="D735" s="4">
        <v>42792.0</v>
      </c>
      <c r="E735" s="4">
        <v>42794.0</v>
      </c>
      <c r="F735" s="4">
        <v>42795.0</v>
      </c>
      <c r="G735" s="1">
        <v>3.0</v>
      </c>
      <c r="H735" s="1">
        <v>9.0</v>
      </c>
      <c r="I735" s="3" t="str">
        <f>VLOOKUP(B735,Customers!A:J, 10,FALSE)</f>
        <v>Maximina Hutchinson</v>
      </c>
      <c r="J735" s="3" t="str">
        <f>VLOOKUP(B735,Customers!A:J,8,FALSE)</f>
        <v>TX</v>
      </c>
      <c r="K735" s="3" t="str">
        <f>VLOOKUP(B735,Customers!A:J,7,FALSE)</f>
        <v>Corpus Christi</v>
      </c>
      <c r="L735" s="3" t="str">
        <f>VLOOKUP(H735,Staff!A:I,9,FALSE)</f>
        <v>Layla Terrell</v>
      </c>
      <c r="M735" s="3" t="str">
        <f>VLOOKUP(G735,Store!A:H,2,FALSE)</f>
        <v>Rowlett Bikes</v>
      </c>
      <c r="N735" s="3" t="str">
        <f>VLOOKUP(G735,Store!A:H,6,FALSE)</f>
        <v>Rowlett</v>
      </c>
      <c r="O735" s="3" t="s">
        <v>17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>
        <v>735.0</v>
      </c>
      <c r="B736" s="1">
        <v>20.0</v>
      </c>
      <c r="C736" s="1">
        <v>3.0</v>
      </c>
      <c r="D736" s="4">
        <v>42793.0</v>
      </c>
      <c r="E736" s="4">
        <v>42793.0</v>
      </c>
      <c r="F736" s="1" t="s">
        <v>18</v>
      </c>
      <c r="G736" s="1">
        <v>3.0</v>
      </c>
      <c r="H736" s="1">
        <v>9.0</v>
      </c>
      <c r="I736" s="3" t="str">
        <f>VLOOKUP(B736,Customers!A:J, 10,FALSE)</f>
        <v>Aleta Shepard</v>
      </c>
      <c r="J736" s="3" t="str">
        <f>VLOOKUP(B736,Customers!A:J,8,FALSE)</f>
        <v>TX</v>
      </c>
      <c r="K736" s="3" t="str">
        <f>VLOOKUP(B736,Customers!A:J,7,FALSE)</f>
        <v>Sugar Land</v>
      </c>
      <c r="L736" s="3" t="str">
        <f>VLOOKUP(H736,Staff!A:I,9,FALSE)</f>
        <v>Layla Terrell</v>
      </c>
      <c r="M736" s="3" t="str">
        <f>VLOOKUP(G736,Store!A:H,2,FALSE)</f>
        <v>Rowlett Bikes</v>
      </c>
      <c r="N736" s="3" t="str">
        <f>VLOOKUP(G736,Store!A:H,6,FALSE)</f>
        <v>Rowlett</v>
      </c>
      <c r="O736" s="3" t="s">
        <v>17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>
        <v>736.0</v>
      </c>
      <c r="B737" s="1">
        <v>184.0</v>
      </c>
      <c r="C737" s="1">
        <v>4.0</v>
      </c>
      <c r="D737" s="4">
        <v>42793.0</v>
      </c>
      <c r="E737" s="4">
        <v>42794.0</v>
      </c>
      <c r="F737" s="4">
        <v>42794.0</v>
      </c>
      <c r="G737" s="1">
        <v>2.0</v>
      </c>
      <c r="H737" s="1">
        <v>7.0</v>
      </c>
      <c r="I737" s="3" t="str">
        <f>VLOOKUP(B737,Customers!A:J, 10,FALSE)</f>
        <v>Klara Stanley</v>
      </c>
      <c r="J737" s="3" t="str">
        <f>VLOOKUP(B737,Customers!A:J,8,FALSE)</f>
        <v>NY</v>
      </c>
      <c r="K737" s="3" t="str">
        <f>VLOOKUP(B737,Customers!A:J,7,FALSE)</f>
        <v>Webster</v>
      </c>
      <c r="L737" s="3" t="str">
        <f>VLOOKUP(H737,Staff!A:I,9,FALSE)</f>
        <v>Venita Daniel</v>
      </c>
      <c r="M737" s="3" t="str">
        <f>VLOOKUP(G737,Store!A:H,2,FALSE)</f>
        <v>Baldwin Bikes</v>
      </c>
      <c r="N737" s="3" t="str">
        <f>VLOOKUP(G737,Store!A:H,6,FALSE)</f>
        <v>Baldwin</v>
      </c>
      <c r="O737" s="3" t="s">
        <v>16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>
        <v>737.0</v>
      </c>
      <c r="B738" s="1">
        <v>694.0</v>
      </c>
      <c r="C738" s="1">
        <v>4.0</v>
      </c>
      <c r="D738" s="4">
        <v>42793.0</v>
      </c>
      <c r="E738" s="4">
        <v>42795.0</v>
      </c>
      <c r="F738" s="4">
        <v>42794.0</v>
      </c>
      <c r="G738" s="1">
        <v>2.0</v>
      </c>
      <c r="H738" s="1">
        <v>6.0</v>
      </c>
      <c r="I738" s="3" t="str">
        <f>VLOOKUP(B738,Customers!A:J, 10,FALSE)</f>
        <v>Lanie Dunn</v>
      </c>
      <c r="J738" s="3" t="str">
        <f>VLOOKUP(B738,Customers!A:J,8,FALSE)</f>
        <v>NY</v>
      </c>
      <c r="K738" s="3" t="str">
        <f>VLOOKUP(B738,Customers!A:J,7,FALSE)</f>
        <v>North Tonawanda</v>
      </c>
      <c r="L738" s="3" t="str">
        <f>VLOOKUP(H738,Staff!A:I,9,FALSE)</f>
        <v>Marcelene Boyer</v>
      </c>
      <c r="M738" s="3" t="str">
        <f>VLOOKUP(G738,Store!A:H,2,FALSE)</f>
        <v>Baldwin Bikes</v>
      </c>
      <c r="N738" s="3" t="str">
        <f>VLOOKUP(G738,Store!A:H,6,FALSE)</f>
        <v>Baldwin</v>
      </c>
      <c r="O738" s="3" t="s">
        <v>16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>
        <v>738.0</v>
      </c>
      <c r="B739" s="1">
        <v>124.0</v>
      </c>
      <c r="C739" s="1">
        <v>4.0</v>
      </c>
      <c r="D739" s="4">
        <v>42794.0</v>
      </c>
      <c r="E739" s="4">
        <v>42795.0</v>
      </c>
      <c r="F739" s="4">
        <v>42797.0</v>
      </c>
      <c r="G739" s="1">
        <v>1.0</v>
      </c>
      <c r="H739" s="1">
        <v>2.0</v>
      </c>
      <c r="I739" s="3" t="str">
        <f>VLOOKUP(B739,Customers!A:J, 10,FALSE)</f>
        <v>Jeni Booker</v>
      </c>
      <c r="J739" s="3" t="str">
        <f>VLOOKUP(B739,Customers!A:J,8,FALSE)</f>
        <v>CA</v>
      </c>
      <c r="K739" s="3" t="str">
        <f>VLOOKUP(B739,Customers!A:J,7,FALSE)</f>
        <v>South El Monte</v>
      </c>
      <c r="L739" s="3" t="str">
        <f>VLOOKUP(H739,Staff!A:I,9,FALSE)</f>
        <v>Mireya Copeland</v>
      </c>
      <c r="M739" s="3" t="str">
        <f>VLOOKUP(G739,Store!A:H,2,FALSE)</f>
        <v>Santa Cruz Bikes</v>
      </c>
      <c r="N739" s="3" t="str">
        <f>VLOOKUP(G739,Store!A:H,6,FALSE)</f>
        <v>Santa Cruz</v>
      </c>
      <c r="O739" s="3" t="s">
        <v>15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>
        <v>739.0</v>
      </c>
      <c r="B740" s="1">
        <v>49.0</v>
      </c>
      <c r="C740" s="1">
        <v>4.0</v>
      </c>
      <c r="D740" s="4">
        <v>42794.0</v>
      </c>
      <c r="E740" s="4">
        <v>42795.0</v>
      </c>
      <c r="F740" s="4">
        <v>42796.0</v>
      </c>
      <c r="G740" s="1">
        <v>2.0</v>
      </c>
      <c r="H740" s="1">
        <v>6.0</v>
      </c>
      <c r="I740" s="3" t="str">
        <f>VLOOKUP(B740,Customers!A:J, 10,FALSE)</f>
        <v>Caroll Hays</v>
      </c>
      <c r="J740" s="3" t="str">
        <f>VLOOKUP(B740,Customers!A:J,8,FALSE)</f>
        <v>NY</v>
      </c>
      <c r="K740" s="3" t="str">
        <f>VLOOKUP(B740,Customers!A:J,7,FALSE)</f>
        <v>Fairport</v>
      </c>
      <c r="L740" s="3" t="str">
        <f>VLOOKUP(H740,Staff!A:I,9,FALSE)</f>
        <v>Marcelene Boyer</v>
      </c>
      <c r="M740" s="3" t="str">
        <f>VLOOKUP(G740,Store!A:H,2,FALSE)</f>
        <v>Baldwin Bikes</v>
      </c>
      <c r="N740" s="3" t="str">
        <f>VLOOKUP(G740,Store!A:H,6,FALSE)</f>
        <v>Baldwin</v>
      </c>
      <c r="O740" s="3" t="s">
        <v>16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>
        <v>740.0</v>
      </c>
      <c r="B741" s="1">
        <v>1113.0</v>
      </c>
      <c r="C741" s="1">
        <v>4.0</v>
      </c>
      <c r="D741" s="4">
        <v>42794.0</v>
      </c>
      <c r="E741" s="4">
        <v>42795.0</v>
      </c>
      <c r="F741" s="4">
        <v>42796.0</v>
      </c>
      <c r="G741" s="1">
        <v>2.0</v>
      </c>
      <c r="H741" s="1">
        <v>6.0</v>
      </c>
      <c r="I741" s="3" t="str">
        <f>VLOOKUP(B741,Customers!A:J, 10,FALSE)</f>
        <v>Kendra Harrington</v>
      </c>
      <c r="J741" s="3" t="str">
        <f>VLOOKUP(B741,Customers!A:J,8,FALSE)</f>
        <v>NY</v>
      </c>
      <c r="K741" s="3" t="str">
        <f>VLOOKUP(B741,Customers!A:J,7,FALSE)</f>
        <v>Jamestown</v>
      </c>
      <c r="L741" s="3" t="str">
        <f>VLOOKUP(H741,Staff!A:I,9,FALSE)</f>
        <v>Marcelene Boyer</v>
      </c>
      <c r="M741" s="3" t="str">
        <f>VLOOKUP(G741,Store!A:H,2,FALSE)</f>
        <v>Baldwin Bikes</v>
      </c>
      <c r="N741" s="3" t="str">
        <f>VLOOKUP(G741,Store!A:H,6,FALSE)</f>
        <v>Baldwin</v>
      </c>
      <c r="O741" s="3" t="s">
        <v>16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>
        <v>741.0</v>
      </c>
      <c r="B742" s="1">
        <v>119.0</v>
      </c>
      <c r="C742" s="1">
        <v>4.0</v>
      </c>
      <c r="D742" s="4">
        <v>42794.0</v>
      </c>
      <c r="E742" s="4">
        <v>42795.0</v>
      </c>
      <c r="F742" s="4">
        <v>42795.0</v>
      </c>
      <c r="G742" s="1">
        <v>3.0</v>
      </c>
      <c r="H742" s="1">
        <v>8.0</v>
      </c>
      <c r="I742" s="3" t="str">
        <f>VLOOKUP(B742,Customers!A:J, 10,FALSE)</f>
        <v>Thalia Dillard</v>
      </c>
      <c r="J742" s="3" t="str">
        <f>VLOOKUP(B742,Customers!A:J,8,FALSE)</f>
        <v>TX</v>
      </c>
      <c r="K742" s="3" t="str">
        <f>VLOOKUP(B742,Customers!A:J,7,FALSE)</f>
        <v>San Angelo</v>
      </c>
      <c r="L742" s="3" t="str">
        <f>VLOOKUP(H742,Staff!A:I,9,FALSE)</f>
        <v>Kali Vargas</v>
      </c>
      <c r="M742" s="3" t="str">
        <f>VLOOKUP(G742,Store!A:H,2,FALSE)</f>
        <v>Rowlett Bikes</v>
      </c>
      <c r="N742" s="3" t="str">
        <f>VLOOKUP(G742,Store!A:H,6,FALSE)</f>
        <v>Rowlett</v>
      </c>
      <c r="O742" s="3" t="s">
        <v>17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>
        <v>742.0</v>
      </c>
      <c r="B743" s="1">
        <v>433.0</v>
      </c>
      <c r="C743" s="1">
        <v>4.0</v>
      </c>
      <c r="D743" s="4">
        <v>42794.0</v>
      </c>
      <c r="E743" s="4">
        <v>42795.0</v>
      </c>
      <c r="F743" s="4">
        <v>42795.0</v>
      </c>
      <c r="G743" s="1">
        <v>3.0</v>
      </c>
      <c r="H743" s="1">
        <v>9.0</v>
      </c>
      <c r="I743" s="3" t="str">
        <f>VLOOKUP(B743,Customers!A:J, 10,FALSE)</f>
        <v>Holly Nieves</v>
      </c>
      <c r="J743" s="3" t="str">
        <f>VLOOKUP(B743,Customers!A:J,8,FALSE)</f>
        <v>TX</v>
      </c>
      <c r="K743" s="3" t="str">
        <f>VLOOKUP(B743,Customers!A:J,7,FALSE)</f>
        <v>Longview</v>
      </c>
      <c r="L743" s="3" t="str">
        <f>VLOOKUP(H743,Staff!A:I,9,FALSE)</f>
        <v>Layla Terrell</v>
      </c>
      <c r="M743" s="3" t="str">
        <f>VLOOKUP(G743,Store!A:H,2,FALSE)</f>
        <v>Rowlett Bikes</v>
      </c>
      <c r="N743" s="3" t="str">
        <f>VLOOKUP(G743,Store!A:H,6,FALSE)</f>
        <v>Rowlett</v>
      </c>
      <c r="O743" s="3" t="s">
        <v>17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>
        <v>743.0</v>
      </c>
      <c r="B744" s="1">
        <v>137.0</v>
      </c>
      <c r="C744" s="1">
        <v>4.0</v>
      </c>
      <c r="D744" s="4">
        <v>42795.0</v>
      </c>
      <c r="E744" s="4">
        <v>42798.0</v>
      </c>
      <c r="F744" s="4">
        <v>42798.0</v>
      </c>
      <c r="G744" s="1">
        <v>2.0</v>
      </c>
      <c r="H744" s="1">
        <v>6.0</v>
      </c>
      <c r="I744" s="3" t="str">
        <f>VLOOKUP(B744,Customers!A:J, 10,FALSE)</f>
        <v>Shonta Mercer</v>
      </c>
      <c r="J744" s="3" t="str">
        <f>VLOOKUP(B744,Customers!A:J,8,FALSE)</f>
        <v>NY</v>
      </c>
      <c r="K744" s="3" t="str">
        <f>VLOOKUP(B744,Customers!A:J,7,FALSE)</f>
        <v>Massapequa</v>
      </c>
      <c r="L744" s="3" t="str">
        <f>VLOOKUP(H744,Staff!A:I,9,FALSE)</f>
        <v>Marcelene Boyer</v>
      </c>
      <c r="M744" s="3" t="str">
        <f>VLOOKUP(G744,Store!A:H,2,FALSE)</f>
        <v>Baldwin Bikes</v>
      </c>
      <c r="N744" s="3" t="str">
        <f>VLOOKUP(G744,Store!A:H,6,FALSE)</f>
        <v>Baldwin</v>
      </c>
      <c r="O744" s="3" t="s">
        <v>16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>
        <v>744.0</v>
      </c>
      <c r="B745" s="1">
        <v>166.0</v>
      </c>
      <c r="C745" s="1">
        <v>4.0</v>
      </c>
      <c r="D745" s="4">
        <v>42795.0</v>
      </c>
      <c r="E745" s="4">
        <v>42796.0</v>
      </c>
      <c r="F745" s="4">
        <v>42796.0</v>
      </c>
      <c r="G745" s="1">
        <v>2.0</v>
      </c>
      <c r="H745" s="1">
        <v>7.0</v>
      </c>
      <c r="I745" s="3" t="str">
        <f>VLOOKUP(B745,Customers!A:J, 10,FALSE)</f>
        <v>Lena Mills</v>
      </c>
      <c r="J745" s="3" t="str">
        <f>VLOOKUP(B745,Customers!A:J,8,FALSE)</f>
        <v>NY</v>
      </c>
      <c r="K745" s="3" t="str">
        <f>VLOOKUP(B745,Customers!A:J,7,FALSE)</f>
        <v>Woodhaven</v>
      </c>
      <c r="L745" s="3" t="str">
        <f>VLOOKUP(H745,Staff!A:I,9,FALSE)</f>
        <v>Venita Daniel</v>
      </c>
      <c r="M745" s="3" t="str">
        <f>VLOOKUP(G745,Store!A:H,2,FALSE)</f>
        <v>Baldwin Bikes</v>
      </c>
      <c r="N745" s="3" t="str">
        <f>VLOOKUP(G745,Store!A:H,6,FALSE)</f>
        <v>Baldwin</v>
      </c>
      <c r="O745" s="3" t="s">
        <v>16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>
        <v>745.0</v>
      </c>
      <c r="B746" s="1">
        <v>698.0</v>
      </c>
      <c r="C746" s="1">
        <v>4.0</v>
      </c>
      <c r="D746" s="4">
        <v>42795.0</v>
      </c>
      <c r="E746" s="4">
        <v>42797.0</v>
      </c>
      <c r="F746" s="4">
        <v>42797.0</v>
      </c>
      <c r="G746" s="1">
        <v>2.0</v>
      </c>
      <c r="H746" s="1">
        <v>7.0</v>
      </c>
      <c r="I746" s="3" t="str">
        <f>VLOOKUP(B746,Customers!A:J, 10,FALSE)</f>
        <v>Charleen Joyner</v>
      </c>
      <c r="J746" s="3" t="str">
        <f>VLOOKUP(B746,Customers!A:J,8,FALSE)</f>
        <v>NY</v>
      </c>
      <c r="K746" s="3" t="str">
        <f>VLOOKUP(B746,Customers!A:J,7,FALSE)</f>
        <v>Corona</v>
      </c>
      <c r="L746" s="3" t="str">
        <f>VLOOKUP(H746,Staff!A:I,9,FALSE)</f>
        <v>Venita Daniel</v>
      </c>
      <c r="M746" s="3" t="str">
        <f>VLOOKUP(G746,Store!A:H,2,FALSE)</f>
        <v>Baldwin Bikes</v>
      </c>
      <c r="N746" s="3" t="str">
        <f>VLOOKUP(G746,Store!A:H,6,FALSE)</f>
        <v>Baldwin</v>
      </c>
      <c r="O746" s="3" t="s">
        <v>16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>
        <v>746.0</v>
      </c>
      <c r="B747" s="1">
        <v>391.0</v>
      </c>
      <c r="C747" s="1">
        <v>4.0</v>
      </c>
      <c r="D747" s="4">
        <v>42796.0</v>
      </c>
      <c r="E747" s="4">
        <v>42798.0</v>
      </c>
      <c r="F747" s="4">
        <v>42799.0</v>
      </c>
      <c r="G747" s="1">
        <v>1.0</v>
      </c>
      <c r="H747" s="1">
        <v>3.0</v>
      </c>
      <c r="I747" s="3" t="str">
        <f>VLOOKUP(B747,Customers!A:J, 10,FALSE)</f>
        <v>Vernita Ball</v>
      </c>
      <c r="J747" s="3" t="str">
        <f>VLOOKUP(B747,Customers!A:J,8,FALSE)</f>
        <v>CA</v>
      </c>
      <c r="K747" s="3" t="str">
        <f>VLOOKUP(B747,Customers!A:J,7,FALSE)</f>
        <v>Los Banos</v>
      </c>
      <c r="L747" s="3" t="str">
        <f>VLOOKUP(H747,Staff!A:I,9,FALSE)</f>
        <v>Genna Serrano</v>
      </c>
      <c r="M747" s="3" t="str">
        <f>VLOOKUP(G747,Store!A:H,2,FALSE)</f>
        <v>Santa Cruz Bikes</v>
      </c>
      <c r="N747" s="3" t="str">
        <f>VLOOKUP(G747,Store!A:H,6,FALSE)</f>
        <v>Santa Cruz</v>
      </c>
      <c r="O747" s="3" t="s">
        <v>15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>
        <v>747.0</v>
      </c>
      <c r="B748" s="1">
        <v>87.0</v>
      </c>
      <c r="C748" s="1">
        <v>4.0</v>
      </c>
      <c r="D748" s="4">
        <v>42797.0</v>
      </c>
      <c r="E748" s="4">
        <v>42798.0</v>
      </c>
      <c r="F748" s="4">
        <v>42799.0</v>
      </c>
      <c r="G748" s="1">
        <v>1.0</v>
      </c>
      <c r="H748" s="1">
        <v>3.0</v>
      </c>
      <c r="I748" s="3" t="str">
        <f>VLOOKUP(B748,Customers!A:J, 10,FALSE)</f>
        <v>Yan Mcgowan</v>
      </c>
      <c r="J748" s="3" t="str">
        <f>VLOOKUP(B748,Customers!A:J,8,FALSE)</f>
        <v>CA</v>
      </c>
      <c r="K748" s="3" t="str">
        <f>VLOOKUP(B748,Customers!A:J,7,FALSE)</f>
        <v>Duarte</v>
      </c>
      <c r="L748" s="3" t="str">
        <f>VLOOKUP(H748,Staff!A:I,9,FALSE)</f>
        <v>Genna Serrano</v>
      </c>
      <c r="M748" s="3" t="str">
        <f>VLOOKUP(G748,Store!A:H,2,FALSE)</f>
        <v>Santa Cruz Bikes</v>
      </c>
      <c r="N748" s="3" t="str">
        <f>VLOOKUP(G748,Store!A:H,6,FALSE)</f>
        <v>Santa Cruz</v>
      </c>
      <c r="O748" s="3" t="s">
        <v>15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>
        <v>748.0</v>
      </c>
      <c r="B749" s="1">
        <v>1072.0</v>
      </c>
      <c r="C749" s="1">
        <v>4.0</v>
      </c>
      <c r="D749" s="4">
        <v>42797.0</v>
      </c>
      <c r="E749" s="4">
        <v>42799.0</v>
      </c>
      <c r="F749" s="4">
        <v>42798.0</v>
      </c>
      <c r="G749" s="1">
        <v>3.0</v>
      </c>
      <c r="H749" s="1">
        <v>8.0</v>
      </c>
      <c r="I749" s="3" t="str">
        <f>VLOOKUP(B749,Customers!A:J, 10,FALSE)</f>
        <v>Maryalice Henry</v>
      </c>
      <c r="J749" s="3" t="str">
        <f>VLOOKUP(B749,Customers!A:J,8,FALSE)</f>
        <v>TX</v>
      </c>
      <c r="K749" s="3" t="str">
        <f>VLOOKUP(B749,Customers!A:J,7,FALSE)</f>
        <v>Richardson</v>
      </c>
      <c r="L749" s="3" t="str">
        <f>VLOOKUP(H749,Staff!A:I,9,FALSE)</f>
        <v>Kali Vargas</v>
      </c>
      <c r="M749" s="3" t="str">
        <f>VLOOKUP(G749,Store!A:H,2,FALSE)</f>
        <v>Rowlett Bikes</v>
      </c>
      <c r="N749" s="3" t="str">
        <f>VLOOKUP(G749,Store!A:H,6,FALSE)</f>
        <v>Rowlett</v>
      </c>
      <c r="O749" s="3" t="s">
        <v>17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>
        <v>749.0</v>
      </c>
      <c r="B750" s="1">
        <v>255.0</v>
      </c>
      <c r="C750" s="1">
        <v>4.0</v>
      </c>
      <c r="D750" s="4">
        <v>42798.0</v>
      </c>
      <c r="E750" s="4">
        <v>42801.0</v>
      </c>
      <c r="F750" s="4">
        <v>42799.0</v>
      </c>
      <c r="G750" s="1">
        <v>2.0</v>
      </c>
      <c r="H750" s="1">
        <v>7.0</v>
      </c>
      <c r="I750" s="3" t="str">
        <f>VLOOKUP(B750,Customers!A:J, 10,FALSE)</f>
        <v>Flossie Holder</v>
      </c>
      <c r="J750" s="3" t="str">
        <f>VLOOKUP(B750,Customers!A:J,8,FALSE)</f>
        <v>NY</v>
      </c>
      <c r="K750" s="3" t="str">
        <f>VLOOKUP(B750,Customers!A:J,7,FALSE)</f>
        <v>Massapequa Park</v>
      </c>
      <c r="L750" s="3" t="str">
        <f>VLOOKUP(H750,Staff!A:I,9,FALSE)</f>
        <v>Venita Daniel</v>
      </c>
      <c r="M750" s="3" t="str">
        <f>VLOOKUP(G750,Store!A:H,2,FALSE)</f>
        <v>Baldwin Bikes</v>
      </c>
      <c r="N750" s="3" t="str">
        <f>VLOOKUP(G750,Store!A:H,6,FALSE)</f>
        <v>Baldwin</v>
      </c>
      <c r="O750" s="3" t="s">
        <v>16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>
        <v>750.0</v>
      </c>
      <c r="B751" s="1">
        <v>232.0</v>
      </c>
      <c r="C751" s="1">
        <v>4.0</v>
      </c>
      <c r="D751" s="4">
        <v>42798.0</v>
      </c>
      <c r="E751" s="4">
        <v>42801.0</v>
      </c>
      <c r="F751" s="4">
        <v>42799.0</v>
      </c>
      <c r="G751" s="1">
        <v>3.0</v>
      </c>
      <c r="H751" s="1">
        <v>8.0</v>
      </c>
      <c r="I751" s="3" t="str">
        <f>VLOOKUP(B751,Customers!A:J, 10,FALSE)</f>
        <v>Freddie Mathis</v>
      </c>
      <c r="J751" s="3" t="str">
        <f>VLOOKUP(B751,Customers!A:J,8,FALSE)</f>
        <v>TX</v>
      </c>
      <c r="K751" s="3" t="str">
        <f>VLOOKUP(B751,Customers!A:J,7,FALSE)</f>
        <v>Euless</v>
      </c>
      <c r="L751" s="3" t="str">
        <f>VLOOKUP(H751,Staff!A:I,9,FALSE)</f>
        <v>Kali Vargas</v>
      </c>
      <c r="M751" s="3" t="str">
        <f>VLOOKUP(G751,Store!A:H,2,FALSE)</f>
        <v>Rowlett Bikes</v>
      </c>
      <c r="N751" s="3" t="str">
        <f>VLOOKUP(G751,Store!A:H,6,FALSE)</f>
        <v>Rowlett</v>
      </c>
      <c r="O751" s="3" t="s">
        <v>17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>
        <v>751.0</v>
      </c>
      <c r="B752" s="1">
        <v>731.0</v>
      </c>
      <c r="C752" s="1">
        <v>4.0</v>
      </c>
      <c r="D752" s="4">
        <v>42799.0</v>
      </c>
      <c r="E752" s="4">
        <v>42802.0</v>
      </c>
      <c r="F752" s="4">
        <v>42801.0</v>
      </c>
      <c r="G752" s="1">
        <v>1.0</v>
      </c>
      <c r="H752" s="1">
        <v>3.0</v>
      </c>
      <c r="I752" s="3" t="str">
        <f>VLOOKUP(B752,Customers!A:J, 10,FALSE)</f>
        <v>Hilary Savage</v>
      </c>
      <c r="J752" s="3" t="str">
        <f>VLOOKUP(B752,Customers!A:J,8,FALSE)</f>
        <v>CA</v>
      </c>
      <c r="K752" s="3" t="str">
        <f>VLOOKUP(B752,Customers!A:J,7,FALSE)</f>
        <v>Oxnard</v>
      </c>
      <c r="L752" s="3" t="str">
        <f>VLOOKUP(H752,Staff!A:I,9,FALSE)</f>
        <v>Genna Serrano</v>
      </c>
      <c r="M752" s="3" t="str">
        <f>VLOOKUP(G752,Store!A:H,2,FALSE)</f>
        <v>Santa Cruz Bikes</v>
      </c>
      <c r="N752" s="3" t="str">
        <f>VLOOKUP(G752,Store!A:H,6,FALSE)</f>
        <v>Santa Cruz</v>
      </c>
      <c r="O752" s="3" t="s">
        <v>15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>
        <v>752.0</v>
      </c>
      <c r="B753" s="1">
        <v>335.0</v>
      </c>
      <c r="C753" s="1">
        <v>4.0</v>
      </c>
      <c r="D753" s="4">
        <v>42799.0</v>
      </c>
      <c r="E753" s="4">
        <v>42800.0</v>
      </c>
      <c r="F753" s="4">
        <v>42801.0</v>
      </c>
      <c r="G753" s="1">
        <v>2.0</v>
      </c>
      <c r="H753" s="1">
        <v>6.0</v>
      </c>
      <c r="I753" s="3" t="str">
        <f>VLOOKUP(B753,Customers!A:J, 10,FALSE)</f>
        <v>Scarlet Reed</v>
      </c>
      <c r="J753" s="3" t="str">
        <f>VLOOKUP(B753,Customers!A:J,8,FALSE)</f>
        <v>NY</v>
      </c>
      <c r="K753" s="3" t="str">
        <f>VLOOKUP(B753,Customers!A:J,7,FALSE)</f>
        <v>Bronx</v>
      </c>
      <c r="L753" s="3" t="str">
        <f>VLOOKUP(H753,Staff!A:I,9,FALSE)</f>
        <v>Marcelene Boyer</v>
      </c>
      <c r="M753" s="3" t="str">
        <f>VLOOKUP(G753,Store!A:H,2,FALSE)</f>
        <v>Baldwin Bikes</v>
      </c>
      <c r="N753" s="3" t="str">
        <f>VLOOKUP(G753,Store!A:H,6,FALSE)</f>
        <v>Baldwin</v>
      </c>
      <c r="O753" s="3" t="s">
        <v>16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>
        <v>753.0</v>
      </c>
      <c r="B754" s="1">
        <v>1201.0</v>
      </c>
      <c r="C754" s="1">
        <v>4.0</v>
      </c>
      <c r="D754" s="4">
        <v>42799.0</v>
      </c>
      <c r="E754" s="4">
        <v>42802.0</v>
      </c>
      <c r="F754" s="4">
        <v>42802.0</v>
      </c>
      <c r="G754" s="1">
        <v>2.0</v>
      </c>
      <c r="H754" s="1">
        <v>7.0</v>
      </c>
      <c r="I754" s="3" t="str">
        <f>VLOOKUP(B754,Customers!A:J, 10,FALSE)</f>
        <v>Nita Guy</v>
      </c>
      <c r="J754" s="3" t="str">
        <f>VLOOKUP(B754,Customers!A:J,8,FALSE)</f>
        <v>NY</v>
      </c>
      <c r="K754" s="3" t="str">
        <f>VLOOKUP(B754,Customers!A:J,7,FALSE)</f>
        <v>Port Chester</v>
      </c>
      <c r="L754" s="3" t="str">
        <f>VLOOKUP(H754,Staff!A:I,9,FALSE)</f>
        <v>Venita Daniel</v>
      </c>
      <c r="M754" s="3" t="str">
        <f>VLOOKUP(G754,Store!A:H,2,FALSE)</f>
        <v>Baldwin Bikes</v>
      </c>
      <c r="N754" s="3" t="str">
        <f>VLOOKUP(G754,Store!A:H,6,FALSE)</f>
        <v>Baldwin</v>
      </c>
      <c r="O754" s="3" t="s">
        <v>16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>
        <v>754.0</v>
      </c>
      <c r="B755" s="1">
        <v>646.0</v>
      </c>
      <c r="C755" s="1">
        <v>4.0</v>
      </c>
      <c r="D755" s="4">
        <v>42800.0</v>
      </c>
      <c r="E755" s="4">
        <v>42801.0</v>
      </c>
      <c r="F755" s="4">
        <v>42802.0</v>
      </c>
      <c r="G755" s="1">
        <v>1.0</v>
      </c>
      <c r="H755" s="1">
        <v>2.0</v>
      </c>
      <c r="I755" s="3" t="str">
        <f>VLOOKUP(B755,Customers!A:J, 10,FALSE)</f>
        <v>Ann Heath</v>
      </c>
      <c r="J755" s="3" t="str">
        <f>VLOOKUP(B755,Customers!A:J,8,FALSE)</f>
        <v>CA</v>
      </c>
      <c r="K755" s="3" t="str">
        <f>VLOOKUP(B755,Customers!A:J,7,FALSE)</f>
        <v>South El Monte</v>
      </c>
      <c r="L755" s="3" t="str">
        <f>VLOOKUP(H755,Staff!A:I,9,FALSE)</f>
        <v>Mireya Copeland</v>
      </c>
      <c r="M755" s="3" t="str">
        <f>VLOOKUP(G755,Store!A:H,2,FALSE)</f>
        <v>Santa Cruz Bikes</v>
      </c>
      <c r="N755" s="3" t="str">
        <f>VLOOKUP(G755,Store!A:H,6,FALSE)</f>
        <v>Santa Cruz</v>
      </c>
      <c r="O755" s="3" t="s">
        <v>15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>
        <v>755.0</v>
      </c>
      <c r="B756" s="1">
        <v>531.0</v>
      </c>
      <c r="C756" s="1">
        <v>4.0</v>
      </c>
      <c r="D756" s="4">
        <v>42800.0</v>
      </c>
      <c r="E756" s="4">
        <v>42801.0</v>
      </c>
      <c r="F756" s="4">
        <v>42801.0</v>
      </c>
      <c r="G756" s="1">
        <v>2.0</v>
      </c>
      <c r="H756" s="1">
        <v>6.0</v>
      </c>
      <c r="I756" s="3" t="str">
        <f>VLOOKUP(B756,Customers!A:J, 10,FALSE)</f>
        <v>Kimberely Bowen</v>
      </c>
      <c r="J756" s="3" t="str">
        <f>VLOOKUP(B756,Customers!A:J,8,FALSE)</f>
        <v>NY</v>
      </c>
      <c r="K756" s="3" t="str">
        <f>VLOOKUP(B756,Customers!A:J,7,FALSE)</f>
        <v>Troy</v>
      </c>
      <c r="L756" s="3" t="str">
        <f>VLOOKUP(H756,Staff!A:I,9,FALSE)</f>
        <v>Marcelene Boyer</v>
      </c>
      <c r="M756" s="3" t="str">
        <f>VLOOKUP(G756,Store!A:H,2,FALSE)</f>
        <v>Baldwin Bikes</v>
      </c>
      <c r="N756" s="3" t="str">
        <f>VLOOKUP(G756,Store!A:H,6,FALSE)</f>
        <v>Baldwin</v>
      </c>
      <c r="O756" s="3" t="s">
        <v>16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>
        <v>756.0</v>
      </c>
      <c r="B757" s="1">
        <v>1143.0</v>
      </c>
      <c r="C757" s="1">
        <v>4.0</v>
      </c>
      <c r="D757" s="4">
        <v>42800.0</v>
      </c>
      <c r="E757" s="4">
        <v>42801.0</v>
      </c>
      <c r="F757" s="4">
        <v>42803.0</v>
      </c>
      <c r="G757" s="1">
        <v>2.0</v>
      </c>
      <c r="H757" s="1">
        <v>6.0</v>
      </c>
      <c r="I757" s="3" t="str">
        <f>VLOOKUP(B757,Customers!A:J, 10,FALSE)</f>
        <v>Sommer Hopkins</v>
      </c>
      <c r="J757" s="3" t="str">
        <f>VLOOKUP(B757,Customers!A:J,8,FALSE)</f>
        <v>NY</v>
      </c>
      <c r="K757" s="3" t="str">
        <f>VLOOKUP(B757,Customers!A:J,7,FALSE)</f>
        <v>Tonawanda</v>
      </c>
      <c r="L757" s="3" t="str">
        <f>VLOOKUP(H757,Staff!A:I,9,FALSE)</f>
        <v>Marcelene Boyer</v>
      </c>
      <c r="M757" s="3" t="str">
        <f>VLOOKUP(G757,Store!A:H,2,FALSE)</f>
        <v>Baldwin Bikes</v>
      </c>
      <c r="N757" s="3" t="str">
        <f>VLOOKUP(G757,Store!A:H,6,FALSE)</f>
        <v>Baldwin</v>
      </c>
      <c r="O757" s="3" t="s">
        <v>16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>
        <v>757.0</v>
      </c>
      <c r="B758" s="1">
        <v>1336.0</v>
      </c>
      <c r="C758" s="1">
        <v>4.0</v>
      </c>
      <c r="D758" s="4">
        <v>42800.0</v>
      </c>
      <c r="E758" s="4">
        <v>42802.0</v>
      </c>
      <c r="F758" s="4">
        <v>42803.0</v>
      </c>
      <c r="G758" s="1">
        <v>2.0</v>
      </c>
      <c r="H758" s="1">
        <v>7.0</v>
      </c>
      <c r="I758" s="3" t="str">
        <f>VLOOKUP(B758,Customers!A:J, 10,FALSE)</f>
        <v>Joe Melton</v>
      </c>
      <c r="J758" s="3" t="str">
        <f>VLOOKUP(B758,Customers!A:J,8,FALSE)</f>
        <v>NY</v>
      </c>
      <c r="K758" s="3" t="str">
        <f>VLOOKUP(B758,Customers!A:J,7,FALSE)</f>
        <v>New Windsor</v>
      </c>
      <c r="L758" s="3" t="str">
        <f>VLOOKUP(H758,Staff!A:I,9,FALSE)</f>
        <v>Venita Daniel</v>
      </c>
      <c r="M758" s="3" t="str">
        <f>VLOOKUP(G758,Store!A:H,2,FALSE)</f>
        <v>Baldwin Bikes</v>
      </c>
      <c r="N758" s="3" t="str">
        <f>VLOOKUP(G758,Store!A:H,6,FALSE)</f>
        <v>Baldwin</v>
      </c>
      <c r="O758" s="3" t="s">
        <v>16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>
        <v>758.0</v>
      </c>
      <c r="B759" s="1">
        <v>953.0</v>
      </c>
      <c r="C759" s="1">
        <v>4.0</v>
      </c>
      <c r="D759" s="4">
        <v>42800.0</v>
      </c>
      <c r="E759" s="4">
        <v>42802.0</v>
      </c>
      <c r="F759" s="4">
        <v>42801.0</v>
      </c>
      <c r="G759" s="1">
        <v>3.0</v>
      </c>
      <c r="H759" s="1">
        <v>9.0</v>
      </c>
      <c r="I759" s="3" t="str">
        <f>VLOOKUP(B759,Customers!A:J, 10,FALSE)</f>
        <v>Kattie Stevenson</v>
      </c>
      <c r="J759" s="3" t="str">
        <f>VLOOKUP(B759,Customers!A:J,8,FALSE)</f>
        <v>TX</v>
      </c>
      <c r="K759" s="3" t="str">
        <f>VLOOKUP(B759,Customers!A:J,7,FALSE)</f>
        <v>Helotes</v>
      </c>
      <c r="L759" s="3" t="str">
        <f>VLOOKUP(H759,Staff!A:I,9,FALSE)</f>
        <v>Layla Terrell</v>
      </c>
      <c r="M759" s="3" t="str">
        <f>VLOOKUP(G759,Store!A:H,2,FALSE)</f>
        <v>Rowlett Bikes</v>
      </c>
      <c r="N759" s="3" t="str">
        <f>VLOOKUP(G759,Store!A:H,6,FALSE)</f>
        <v>Rowlett</v>
      </c>
      <c r="O759" s="3" t="s">
        <v>17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>
        <v>759.0</v>
      </c>
      <c r="B760" s="1">
        <v>284.0</v>
      </c>
      <c r="C760" s="1">
        <v>4.0</v>
      </c>
      <c r="D760" s="4">
        <v>42801.0</v>
      </c>
      <c r="E760" s="4">
        <v>42803.0</v>
      </c>
      <c r="F760" s="4">
        <v>42802.0</v>
      </c>
      <c r="G760" s="1">
        <v>2.0</v>
      </c>
      <c r="H760" s="1">
        <v>7.0</v>
      </c>
      <c r="I760" s="3" t="str">
        <f>VLOOKUP(B760,Customers!A:J, 10,FALSE)</f>
        <v>Susann Bass</v>
      </c>
      <c r="J760" s="3" t="str">
        <f>VLOOKUP(B760,Customers!A:J,8,FALSE)</f>
        <v>NY</v>
      </c>
      <c r="K760" s="3" t="str">
        <f>VLOOKUP(B760,Customers!A:J,7,FALSE)</f>
        <v>Commack</v>
      </c>
      <c r="L760" s="3" t="str">
        <f>VLOOKUP(H760,Staff!A:I,9,FALSE)</f>
        <v>Venita Daniel</v>
      </c>
      <c r="M760" s="3" t="str">
        <f>VLOOKUP(G760,Store!A:H,2,FALSE)</f>
        <v>Baldwin Bikes</v>
      </c>
      <c r="N760" s="3" t="str">
        <f>VLOOKUP(G760,Store!A:H,6,FALSE)</f>
        <v>Baldwin</v>
      </c>
      <c r="O760" s="3" t="s">
        <v>16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>
        <v>760.0</v>
      </c>
      <c r="B761" s="1">
        <v>1104.0</v>
      </c>
      <c r="C761" s="1">
        <v>4.0</v>
      </c>
      <c r="D761" s="4">
        <v>42801.0</v>
      </c>
      <c r="E761" s="4">
        <v>42804.0</v>
      </c>
      <c r="F761" s="4">
        <v>42804.0</v>
      </c>
      <c r="G761" s="1">
        <v>2.0</v>
      </c>
      <c r="H761" s="1">
        <v>6.0</v>
      </c>
      <c r="I761" s="3" t="str">
        <f>VLOOKUP(B761,Customers!A:J, 10,FALSE)</f>
        <v>Khalilah Robertson</v>
      </c>
      <c r="J761" s="3" t="str">
        <f>VLOOKUP(B761,Customers!A:J,8,FALSE)</f>
        <v>NY</v>
      </c>
      <c r="K761" s="3" t="str">
        <f>VLOOKUP(B761,Customers!A:J,7,FALSE)</f>
        <v>Spring Valley</v>
      </c>
      <c r="L761" s="3" t="str">
        <f>VLOOKUP(H761,Staff!A:I,9,FALSE)</f>
        <v>Marcelene Boyer</v>
      </c>
      <c r="M761" s="3" t="str">
        <f>VLOOKUP(G761,Store!A:H,2,FALSE)</f>
        <v>Baldwin Bikes</v>
      </c>
      <c r="N761" s="3" t="str">
        <f>VLOOKUP(G761,Store!A:H,6,FALSE)</f>
        <v>Baldwin</v>
      </c>
      <c r="O761" s="3" t="s">
        <v>16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>
        <v>761.0</v>
      </c>
      <c r="B762" s="1">
        <v>1291.0</v>
      </c>
      <c r="C762" s="1">
        <v>4.0</v>
      </c>
      <c r="D762" s="4">
        <v>42801.0</v>
      </c>
      <c r="E762" s="4">
        <v>42802.0</v>
      </c>
      <c r="F762" s="4">
        <v>42804.0</v>
      </c>
      <c r="G762" s="1">
        <v>2.0</v>
      </c>
      <c r="H762" s="1">
        <v>7.0</v>
      </c>
      <c r="I762" s="3" t="str">
        <f>VLOOKUP(B762,Customers!A:J, 10,FALSE)</f>
        <v>Shiloh Bates</v>
      </c>
      <c r="J762" s="3" t="str">
        <f>VLOOKUP(B762,Customers!A:J,8,FALSE)</f>
        <v>NY</v>
      </c>
      <c r="K762" s="3" t="str">
        <f>VLOOKUP(B762,Customers!A:J,7,FALSE)</f>
        <v>Monsey</v>
      </c>
      <c r="L762" s="3" t="str">
        <f>VLOOKUP(H762,Staff!A:I,9,FALSE)</f>
        <v>Venita Daniel</v>
      </c>
      <c r="M762" s="3" t="str">
        <f>VLOOKUP(G762,Store!A:H,2,FALSE)</f>
        <v>Baldwin Bikes</v>
      </c>
      <c r="N762" s="3" t="str">
        <f>VLOOKUP(G762,Store!A:H,6,FALSE)</f>
        <v>Baldwin</v>
      </c>
      <c r="O762" s="3" t="s">
        <v>16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>
        <v>762.0</v>
      </c>
      <c r="B763" s="1">
        <v>572.0</v>
      </c>
      <c r="C763" s="1">
        <v>4.0</v>
      </c>
      <c r="D763" s="4">
        <v>42802.0</v>
      </c>
      <c r="E763" s="4">
        <v>42803.0</v>
      </c>
      <c r="F763" s="4">
        <v>42803.0</v>
      </c>
      <c r="G763" s="1">
        <v>2.0</v>
      </c>
      <c r="H763" s="1">
        <v>6.0</v>
      </c>
      <c r="I763" s="3" t="str">
        <f>VLOOKUP(B763,Customers!A:J, 10,FALSE)</f>
        <v>Wm Pope</v>
      </c>
      <c r="J763" s="3" t="str">
        <f>VLOOKUP(B763,Customers!A:J,8,FALSE)</f>
        <v>NY</v>
      </c>
      <c r="K763" s="3" t="str">
        <f>VLOOKUP(B763,Customers!A:J,7,FALSE)</f>
        <v>Auburn</v>
      </c>
      <c r="L763" s="3" t="str">
        <f>VLOOKUP(H763,Staff!A:I,9,FALSE)</f>
        <v>Marcelene Boyer</v>
      </c>
      <c r="M763" s="3" t="str">
        <f>VLOOKUP(G763,Store!A:H,2,FALSE)</f>
        <v>Baldwin Bikes</v>
      </c>
      <c r="N763" s="3" t="str">
        <f>VLOOKUP(G763,Store!A:H,6,FALSE)</f>
        <v>Baldwin</v>
      </c>
      <c r="O763" s="3" t="s">
        <v>16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>
        <v>763.0</v>
      </c>
      <c r="B764" s="1">
        <v>842.0</v>
      </c>
      <c r="C764" s="1">
        <v>4.0</v>
      </c>
      <c r="D764" s="4">
        <v>42802.0</v>
      </c>
      <c r="E764" s="4">
        <v>42804.0</v>
      </c>
      <c r="F764" s="4">
        <v>42803.0</v>
      </c>
      <c r="G764" s="1">
        <v>3.0</v>
      </c>
      <c r="H764" s="1">
        <v>9.0</v>
      </c>
      <c r="I764" s="3" t="str">
        <f>VLOOKUP(B764,Customers!A:J, 10,FALSE)</f>
        <v>Giselle Robles</v>
      </c>
      <c r="J764" s="3" t="str">
        <f>VLOOKUP(B764,Customers!A:J,8,FALSE)</f>
        <v>TX</v>
      </c>
      <c r="K764" s="3" t="str">
        <f>VLOOKUP(B764,Customers!A:J,7,FALSE)</f>
        <v>San Angelo</v>
      </c>
      <c r="L764" s="3" t="str">
        <f>VLOOKUP(H764,Staff!A:I,9,FALSE)</f>
        <v>Layla Terrell</v>
      </c>
      <c r="M764" s="3" t="str">
        <f>VLOOKUP(G764,Store!A:H,2,FALSE)</f>
        <v>Rowlett Bikes</v>
      </c>
      <c r="N764" s="3" t="str">
        <f>VLOOKUP(G764,Store!A:H,6,FALSE)</f>
        <v>Rowlett</v>
      </c>
      <c r="O764" s="3" t="s">
        <v>17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>
        <v>764.0</v>
      </c>
      <c r="B765" s="1">
        <v>701.0</v>
      </c>
      <c r="C765" s="1">
        <v>4.0</v>
      </c>
      <c r="D765" s="4">
        <v>42803.0</v>
      </c>
      <c r="E765" s="4">
        <v>42804.0</v>
      </c>
      <c r="F765" s="4">
        <v>42806.0</v>
      </c>
      <c r="G765" s="1">
        <v>1.0</v>
      </c>
      <c r="H765" s="1">
        <v>2.0</v>
      </c>
      <c r="I765" s="3" t="str">
        <f>VLOOKUP(B765,Customers!A:J, 10,FALSE)</f>
        <v>Alysia Nicholson</v>
      </c>
      <c r="J765" s="3" t="str">
        <f>VLOOKUP(B765,Customers!A:J,8,FALSE)</f>
        <v>CA</v>
      </c>
      <c r="K765" s="3" t="str">
        <f>VLOOKUP(B765,Customers!A:J,7,FALSE)</f>
        <v>Oxnard</v>
      </c>
      <c r="L765" s="3" t="str">
        <f>VLOOKUP(H765,Staff!A:I,9,FALSE)</f>
        <v>Mireya Copeland</v>
      </c>
      <c r="M765" s="3" t="str">
        <f>VLOOKUP(G765,Store!A:H,2,FALSE)</f>
        <v>Santa Cruz Bikes</v>
      </c>
      <c r="N765" s="3" t="str">
        <f>VLOOKUP(G765,Store!A:H,6,FALSE)</f>
        <v>Santa Cruz</v>
      </c>
      <c r="O765" s="3" t="s">
        <v>15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>
        <v>765.0</v>
      </c>
      <c r="B766" s="1">
        <v>1152.0</v>
      </c>
      <c r="C766" s="1">
        <v>4.0</v>
      </c>
      <c r="D766" s="4">
        <v>42803.0</v>
      </c>
      <c r="E766" s="4">
        <v>42805.0</v>
      </c>
      <c r="F766" s="4">
        <v>42806.0</v>
      </c>
      <c r="G766" s="1">
        <v>1.0</v>
      </c>
      <c r="H766" s="1">
        <v>2.0</v>
      </c>
      <c r="I766" s="3" t="str">
        <f>VLOOKUP(B766,Customers!A:J, 10,FALSE)</f>
        <v>Tuyet Rosa</v>
      </c>
      <c r="J766" s="3" t="str">
        <f>VLOOKUP(B766,Customers!A:J,8,FALSE)</f>
        <v>CA</v>
      </c>
      <c r="K766" s="3" t="str">
        <f>VLOOKUP(B766,Customers!A:J,7,FALSE)</f>
        <v>South El Monte</v>
      </c>
      <c r="L766" s="3" t="str">
        <f>VLOOKUP(H766,Staff!A:I,9,FALSE)</f>
        <v>Mireya Copeland</v>
      </c>
      <c r="M766" s="3" t="str">
        <f>VLOOKUP(G766,Store!A:H,2,FALSE)</f>
        <v>Santa Cruz Bikes</v>
      </c>
      <c r="N766" s="3" t="str">
        <f>VLOOKUP(G766,Store!A:H,6,FALSE)</f>
        <v>Santa Cruz</v>
      </c>
      <c r="O766" s="3" t="s">
        <v>15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>
        <v>766.0</v>
      </c>
      <c r="B767" s="1">
        <v>141.0</v>
      </c>
      <c r="C767" s="1">
        <v>4.0</v>
      </c>
      <c r="D767" s="4">
        <v>42803.0</v>
      </c>
      <c r="E767" s="4">
        <v>42805.0</v>
      </c>
      <c r="F767" s="4">
        <v>42806.0</v>
      </c>
      <c r="G767" s="1">
        <v>2.0</v>
      </c>
      <c r="H767" s="1">
        <v>6.0</v>
      </c>
      <c r="I767" s="3" t="str">
        <f>VLOOKUP(B767,Customers!A:J, 10,FALSE)</f>
        <v>Ramiro Byers</v>
      </c>
      <c r="J767" s="3" t="str">
        <f>VLOOKUP(B767,Customers!A:J,8,FALSE)</f>
        <v>NY</v>
      </c>
      <c r="K767" s="3" t="str">
        <f>VLOOKUP(B767,Customers!A:J,7,FALSE)</f>
        <v>Saint Albans</v>
      </c>
      <c r="L767" s="3" t="str">
        <f>VLOOKUP(H767,Staff!A:I,9,FALSE)</f>
        <v>Marcelene Boyer</v>
      </c>
      <c r="M767" s="3" t="str">
        <f>VLOOKUP(G767,Store!A:H,2,FALSE)</f>
        <v>Baldwin Bikes</v>
      </c>
      <c r="N767" s="3" t="str">
        <f>VLOOKUP(G767,Store!A:H,6,FALSE)</f>
        <v>Baldwin</v>
      </c>
      <c r="O767" s="3" t="s">
        <v>16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>
        <v>767.0</v>
      </c>
      <c r="B768" s="1">
        <v>564.0</v>
      </c>
      <c r="C768" s="1">
        <v>4.0</v>
      </c>
      <c r="D768" s="4">
        <v>42803.0</v>
      </c>
      <c r="E768" s="4">
        <v>42804.0</v>
      </c>
      <c r="F768" s="4">
        <v>42805.0</v>
      </c>
      <c r="G768" s="1">
        <v>2.0</v>
      </c>
      <c r="H768" s="1">
        <v>7.0</v>
      </c>
      <c r="I768" s="3" t="str">
        <f>VLOOKUP(B768,Customers!A:J, 10,FALSE)</f>
        <v>Bettie Pierce</v>
      </c>
      <c r="J768" s="3" t="str">
        <f>VLOOKUP(B768,Customers!A:J,8,FALSE)</f>
        <v>NY</v>
      </c>
      <c r="K768" s="3" t="str">
        <f>VLOOKUP(B768,Customers!A:J,7,FALSE)</f>
        <v>Farmingdale</v>
      </c>
      <c r="L768" s="3" t="str">
        <f>VLOOKUP(H768,Staff!A:I,9,FALSE)</f>
        <v>Venita Daniel</v>
      </c>
      <c r="M768" s="3" t="str">
        <f>VLOOKUP(G768,Store!A:H,2,FALSE)</f>
        <v>Baldwin Bikes</v>
      </c>
      <c r="N768" s="3" t="str">
        <f>VLOOKUP(G768,Store!A:H,6,FALSE)</f>
        <v>Baldwin</v>
      </c>
      <c r="O768" s="3" t="s">
        <v>16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>
        <v>768.0</v>
      </c>
      <c r="B769" s="1">
        <v>841.0</v>
      </c>
      <c r="C769" s="1">
        <v>4.0</v>
      </c>
      <c r="D769" s="4">
        <v>42803.0</v>
      </c>
      <c r="E769" s="4">
        <v>42806.0</v>
      </c>
      <c r="F769" s="4">
        <v>42804.0</v>
      </c>
      <c r="G769" s="1">
        <v>2.0</v>
      </c>
      <c r="H769" s="1">
        <v>7.0</v>
      </c>
      <c r="I769" s="3" t="str">
        <f>VLOOKUP(B769,Customers!A:J, 10,FALSE)</f>
        <v>Manie Maxwell</v>
      </c>
      <c r="J769" s="3" t="str">
        <f>VLOOKUP(B769,Customers!A:J,8,FALSE)</f>
        <v>NY</v>
      </c>
      <c r="K769" s="3" t="str">
        <f>VLOOKUP(B769,Customers!A:J,7,FALSE)</f>
        <v>Ronkonkoma</v>
      </c>
      <c r="L769" s="3" t="str">
        <f>VLOOKUP(H769,Staff!A:I,9,FALSE)</f>
        <v>Venita Daniel</v>
      </c>
      <c r="M769" s="3" t="str">
        <f>VLOOKUP(G769,Store!A:H,2,FALSE)</f>
        <v>Baldwin Bikes</v>
      </c>
      <c r="N769" s="3" t="str">
        <f>VLOOKUP(G769,Store!A:H,6,FALSE)</f>
        <v>Baldwin</v>
      </c>
      <c r="O769" s="3" t="s">
        <v>16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>
        <v>769.0</v>
      </c>
      <c r="B770" s="1">
        <v>946.0</v>
      </c>
      <c r="C770" s="1">
        <v>4.0</v>
      </c>
      <c r="D770" s="4">
        <v>42803.0</v>
      </c>
      <c r="E770" s="4">
        <v>42805.0</v>
      </c>
      <c r="F770" s="4">
        <v>42805.0</v>
      </c>
      <c r="G770" s="1">
        <v>2.0</v>
      </c>
      <c r="H770" s="1">
        <v>6.0</v>
      </c>
      <c r="I770" s="3" t="str">
        <f>VLOOKUP(B770,Customers!A:J, 10,FALSE)</f>
        <v>Angella Bridges</v>
      </c>
      <c r="J770" s="3" t="str">
        <f>VLOOKUP(B770,Customers!A:J,8,FALSE)</f>
        <v>NY</v>
      </c>
      <c r="K770" s="3" t="str">
        <f>VLOOKUP(B770,Customers!A:J,7,FALSE)</f>
        <v>Pittsford</v>
      </c>
      <c r="L770" s="3" t="str">
        <f>VLOOKUP(H770,Staff!A:I,9,FALSE)</f>
        <v>Marcelene Boyer</v>
      </c>
      <c r="M770" s="3" t="str">
        <f>VLOOKUP(G770,Store!A:H,2,FALSE)</f>
        <v>Baldwin Bikes</v>
      </c>
      <c r="N770" s="3" t="str">
        <f>VLOOKUP(G770,Store!A:H,6,FALSE)</f>
        <v>Baldwin</v>
      </c>
      <c r="O770" s="3" t="s">
        <v>16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>
        <v>770.0</v>
      </c>
      <c r="B771" s="1">
        <v>135.0</v>
      </c>
      <c r="C771" s="1">
        <v>4.0</v>
      </c>
      <c r="D771" s="4">
        <v>42803.0</v>
      </c>
      <c r="E771" s="4">
        <v>42805.0</v>
      </c>
      <c r="F771" s="4">
        <v>42805.0</v>
      </c>
      <c r="G771" s="1">
        <v>3.0</v>
      </c>
      <c r="H771" s="1">
        <v>9.0</v>
      </c>
      <c r="I771" s="3" t="str">
        <f>VLOOKUP(B771,Customers!A:J, 10,FALSE)</f>
        <v>Dorthey Jackson</v>
      </c>
      <c r="J771" s="3" t="str">
        <f>VLOOKUP(B771,Customers!A:J,8,FALSE)</f>
        <v>TX</v>
      </c>
      <c r="K771" s="3" t="str">
        <f>VLOOKUP(B771,Customers!A:J,7,FALSE)</f>
        <v>Houston</v>
      </c>
      <c r="L771" s="3" t="str">
        <f>VLOOKUP(H771,Staff!A:I,9,FALSE)</f>
        <v>Layla Terrell</v>
      </c>
      <c r="M771" s="3" t="str">
        <f>VLOOKUP(G771,Store!A:H,2,FALSE)</f>
        <v>Rowlett Bikes</v>
      </c>
      <c r="N771" s="3" t="str">
        <f>VLOOKUP(G771,Store!A:H,6,FALSE)</f>
        <v>Rowlett</v>
      </c>
      <c r="O771" s="3" t="s">
        <v>17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>
        <v>771.0</v>
      </c>
      <c r="B772" s="1">
        <v>671.0</v>
      </c>
      <c r="C772" s="1">
        <v>4.0</v>
      </c>
      <c r="D772" s="4">
        <v>42805.0</v>
      </c>
      <c r="E772" s="4">
        <v>42808.0</v>
      </c>
      <c r="F772" s="4">
        <v>42806.0</v>
      </c>
      <c r="G772" s="1">
        <v>1.0</v>
      </c>
      <c r="H772" s="1">
        <v>3.0</v>
      </c>
      <c r="I772" s="3" t="str">
        <f>VLOOKUP(B772,Customers!A:J, 10,FALSE)</f>
        <v>Jennette Baker</v>
      </c>
      <c r="J772" s="3" t="str">
        <f>VLOOKUP(B772,Customers!A:J,8,FALSE)</f>
        <v>CA</v>
      </c>
      <c r="K772" s="3" t="str">
        <f>VLOOKUP(B772,Customers!A:J,7,FALSE)</f>
        <v>Banning</v>
      </c>
      <c r="L772" s="3" t="str">
        <f>VLOOKUP(H772,Staff!A:I,9,FALSE)</f>
        <v>Genna Serrano</v>
      </c>
      <c r="M772" s="3" t="str">
        <f>VLOOKUP(G772,Store!A:H,2,FALSE)</f>
        <v>Santa Cruz Bikes</v>
      </c>
      <c r="N772" s="3" t="str">
        <f>VLOOKUP(G772,Store!A:H,6,FALSE)</f>
        <v>Santa Cruz</v>
      </c>
      <c r="O772" s="3" t="s">
        <v>15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>
        <v>772.0</v>
      </c>
      <c r="B773" s="1">
        <v>448.0</v>
      </c>
      <c r="C773" s="1">
        <v>4.0</v>
      </c>
      <c r="D773" s="4">
        <v>42805.0</v>
      </c>
      <c r="E773" s="4">
        <v>42806.0</v>
      </c>
      <c r="F773" s="4">
        <v>42807.0</v>
      </c>
      <c r="G773" s="1">
        <v>2.0</v>
      </c>
      <c r="H773" s="1">
        <v>7.0</v>
      </c>
      <c r="I773" s="3" t="str">
        <f>VLOOKUP(B773,Customers!A:J, 10,FALSE)</f>
        <v>Janella Bright</v>
      </c>
      <c r="J773" s="3" t="str">
        <f>VLOOKUP(B773,Customers!A:J,8,FALSE)</f>
        <v>NY</v>
      </c>
      <c r="K773" s="3" t="str">
        <f>VLOOKUP(B773,Customers!A:J,7,FALSE)</f>
        <v>Rochester</v>
      </c>
      <c r="L773" s="3" t="str">
        <f>VLOOKUP(H773,Staff!A:I,9,FALSE)</f>
        <v>Venita Daniel</v>
      </c>
      <c r="M773" s="3" t="str">
        <f>VLOOKUP(G773,Store!A:H,2,FALSE)</f>
        <v>Baldwin Bikes</v>
      </c>
      <c r="N773" s="3" t="str">
        <f>VLOOKUP(G773,Store!A:H,6,FALSE)</f>
        <v>Baldwin</v>
      </c>
      <c r="O773" s="3" t="s">
        <v>16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>
        <v>773.0</v>
      </c>
      <c r="B774" s="1">
        <v>1385.0</v>
      </c>
      <c r="C774" s="1">
        <v>4.0</v>
      </c>
      <c r="D774" s="4">
        <v>42805.0</v>
      </c>
      <c r="E774" s="4">
        <v>42806.0</v>
      </c>
      <c r="F774" s="4">
        <v>42806.0</v>
      </c>
      <c r="G774" s="1">
        <v>2.0</v>
      </c>
      <c r="H774" s="1">
        <v>6.0</v>
      </c>
      <c r="I774" s="3" t="str">
        <f>VLOOKUP(B774,Customers!A:J, 10,FALSE)</f>
        <v>Kenton Hughes</v>
      </c>
      <c r="J774" s="3" t="str">
        <f>VLOOKUP(B774,Customers!A:J,8,FALSE)</f>
        <v>NY</v>
      </c>
      <c r="K774" s="3" t="str">
        <f>VLOOKUP(B774,Customers!A:J,7,FALSE)</f>
        <v>Canandaigua</v>
      </c>
      <c r="L774" s="3" t="str">
        <f>VLOOKUP(H774,Staff!A:I,9,FALSE)</f>
        <v>Marcelene Boyer</v>
      </c>
      <c r="M774" s="3" t="str">
        <f>VLOOKUP(G774,Store!A:H,2,FALSE)</f>
        <v>Baldwin Bikes</v>
      </c>
      <c r="N774" s="3" t="str">
        <f>VLOOKUP(G774,Store!A:H,6,FALSE)</f>
        <v>Baldwin</v>
      </c>
      <c r="O774" s="3" t="s">
        <v>16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>
        <v>774.0</v>
      </c>
      <c r="B775" s="1">
        <v>690.0</v>
      </c>
      <c r="C775" s="1">
        <v>4.0</v>
      </c>
      <c r="D775" s="4">
        <v>42806.0</v>
      </c>
      <c r="E775" s="4">
        <v>42808.0</v>
      </c>
      <c r="F775" s="4">
        <v>42808.0</v>
      </c>
      <c r="G775" s="1">
        <v>2.0</v>
      </c>
      <c r="H775" s="1">
        <v>6.0</v>
      </c>
      <c r="I775" s="3" t="str">
        <f>VLOOKUP(B775,Customers!A:J, 10,FALSE)</f>
        <v>Yevette Elliott</v>
      </c>
      <c r="J775" s="3" t="str">
        <f>VLOOKUP(B775,Customers!A:J,8,FALSE)</f>
        <v>NY</v>
      </c>
      <c r="K775" s="3" t="str">
        <f>VLOOKUP(B775,Customers!A:J,7,FALSE)</f>
        <v>Jackson Heights</v>
      </c>
      <c r="L775" s="3" t="str">
        <f>VLOOKUP(H775,Staff!A:I,9,FALSE)</f>
        <v>Marcelene Boyer</v>
      </c>
      <c r="M775" s="3" t="str">
        <f>VLOOKUP(G775,Store!A:H,2,FALSE)</f>
        <v>Baldwin Bikes</v>
      </c>
      <c r="N775" s="3" t="str">
        <f>VLOOKUP(G775,Store!A:H,6,FALSE)</f>
        <v>Baldwin</v>
      </c>
      <c r="O775" s="3" t="s">
        <v>16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>
        <v>775.0</v>
      </c>
      <c r="B776" s="1">
        <v>968.0</v>
      </c>
      <c r="C776" s="1">
        <v>4.0</v>
      </c>
      <c r="D776" s="4">
        <v>42806.0</v>
      </c>
      <c r="E776" s="4">
        <v>42807.0</v>
      </c>
      <c r="F776" s="4">
        <v>42807.0</v>
      </c>
      <c r="G776" s="1">
        <v>2.0</v>
      </c>
      <c r="H776" s="1">
        <v>6.0</v>
      </c>
      <c r="I776" s="3" t="str">
        <f>VLOOKUP(B776,Customers!A:J, 10,FALSE)</f>
        <v>Jonna Brown</v>
      </c>
      <c r="J776" s="3" t="str">
        <f>VLOOKUP(B776,Customers!A:J,8,FALSE)</f>
        <v>NY</v>
      </c>
      <c r="K776" s="3" t="str">
        <f>VLOOKUP(B776,Customers!A:J,7,FALSE)</f>
        <v>Mahopac</v>
      </c>
      <c r="L776" s="3" t="str">
        <f>VLOOKUP(H776,Staff!A:I,9,FALSE)</f>
        <v>Marcelene Boyer</v>
      </c>
      <c r="M776" s="3" t="str">
        <f>VLOOKUP(G776,Store!A:H,2,FALSE)</f>
        <v>Baldwin Bikes</v>
      </c>
      <c r="N776" s="3" t="str">
        <f>VLOOKUP(G776,Store!A:H,6,FALSE)</f>
        <v>Baldwin</v>
      </c>
      <c r="O776" s="3" t="s">
        <v>16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>
        <v>776.0</v>
      </c>
      <c r="B777" s="1">
        <v>490.0</v>
      </c>
      <c r="C777" s="1">
        <v>4.0</v>
      </c>
      <c r="D777" s="4">
        <v>42807.0</v>
      </c>
      <c r="E777" s="4">
        <v>42809.0</v>
      </c>
      <c r="F777" s="4">
        <v>42810.0</v>
      </c>
      <c r="G777" s="1">
        <v>2.0</v>
      </c>
      <c r="H777" s="1">
        <v>6.0</v>
      </c>
      <c r="I777" s="3" t="str">
        <f>VLOOKUP(B777,Customers!A:J, 10,FALSE)</f>
        <v>Yu Mcdonald</v>
      </c>
      <c r="J777" s="3" t="str">
        <f>VLOOKUP(B777,Customers!A:J,8,FALSE)</f>
        <v>NY</v>
      </c>
      <c r="K777" s="3" t="str">
        <f>VLOOKUP(B777,Customers!A:J,7,FALSE)</f>
        <v>Ossining</v>
      </c>
      <c r="L777" s="3" t="str">
        <f>VLOOKUP(H777,Staff!A:I,9,FALSE)</f>
        <v>Marcelene Boyer</v>
      </c>
      <c r="M777" s="3" t="str">
        <f>VLOOKUP(G777,Store!A:H,2,FALSE)</f>
        <v>Baldwin Bikes</v>
      </c>
      <c r="N777" s="3" t="str">
        <f>VLOOKUP(G777,Store!A:H,6,FALSE)</f>
        <v>Baldwin</v>
      </c>
      <c r="O777" s="3" t="s">
        <v>16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>
        <v>777.0</v>
      </c>
      <c r="B778" s="1">
        <v>496.0</v>
      </c>
      <c r="C778" s="1">
        <v>4.0</v>
      </c>
      <c r="D778" s="4">
        <v>42807.0</v>
      </c>
      <c r="E778" s="4">
        <v>42810.0</v>
      </c>
      <c r="F778" s="4">
        <v>42810.0</v>
      </c>
      <c r="G778" s="1">
        <v>2.0</v>
      </c>
      <c r="H778" s="1">
        <v>6.0</v>
      </c>
      <c r="I778" s="3" t="str">
        <f>VLOOKUP(B778,Customers!A:J, 10,FALSE)</f>
        <v>Shu Mays</v>
      </c>
      <c r="J778" s="3" t="str">
        <f>VLOOKUP(B778,Customers!A:J,8,FALSE)</f>
        <v>NY</v>
      </c>
      <c r="K778" s="3" t="str">
        <f>VLOOKUP(B778,Customers!A:J,7,FALSE)</f>
        <v>Astoria</v>
      </c>
      <c r="L778" s="3" t="str">
        <f>VLOOKUP(H778,Staff!A:I,9,FALSE)</f>
        <v>Marcelene Boyer</v>
      </c>
      <c r="M778" s="3" t="str">
        <f>VLOOKUP(G778,Store!A:H,2,FALSE)</f>
        <v>Baldwin Bikes</v>
      </c>
      <c r="N778" s="3" t="str">
        <f>VLOOKUP(G778,Store!A:H,6,FALSE)</f>
        <v>Baldwin</v>
      </c>
      <c r="O778" s="3" t="s">
        <v>16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>
        <v>778.0</v>
      </c>
      <c r="B779" s="1">
        <v>56.0</v>
      </c>
      <c r="C779" s="1">
        <v>3.0</v>
      </c>
      <c r="D779" s="4">
        <v>42809.0</v>
      </c>
      <c r="E779" s="4">
        <v>42809.0</v>
      </c>
      <c r="F779" s="1" t="s">
        <v>18</v>
      </c>
      <c r="G779" s="1">
        <v>3.0</v>
      </c>
      <c r="H779" s="1">
        <v>9.0</v>
      </c>
      <c r="I779" s="3" t="str">
        <f>VLOOKUP(B779,Customers!A:J, 10,FALSE)</f>
        <v>Lolita Mosley</v>
      </c>
      <c r="J779" s="3" t="str">
        <f>VLOOKUP(B779,Customers!A:J,8,FALSE)</f>
        <v>TX</v>
      </c>
      <c r="K779" s="3" t="str">
        <f>VLOOKUP(B779,Customers!A:J,7,FALSE)</f>
        <v>Houston</v>
      </c>
      <c r="L779" s="3" t="str">
        <f>VLOOKUP(H779,Staff!A:I,9,FALSE)</f>
        <v>Layla Terrell</v>
      </c>
      <c r="M779" s="3" t="str">
        <f>VLOOKUP(G779,Store!A:H,2,FALSE)</f>
        <v>Rowlett Bikes</v>
      </c>
      <c r="N779" s="3" t="str">
        <f>VLOOKUP(G779,Store!A:H,6,FALSE)</f>
        <v>Rowlett</v>
      </c>
      <c r="O779" s="3" t="s">
        <v>17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>
        <v>779.0</v>
      </c>
      <c r="B780" s="1">
        <v>367.0</v>
      </c>
      <c r="C780" s="1">
        <v>4.0</v>
      </c>
      <c r="D780" s="4">
        <v>42809.0</v>
      </c>
      <c r="E780" s="4">
        <v>42810.0</v>
      </c>
      <c r="F780" s="4">
        <v>42812.0</v>
      </c>
      <c r="G780" s="1">
        <v>2.0</v>
      </c>
      <c r="H780" s="1">
        <v>6.0</v>
      </c>
      <c r="I780" s="3" t="str">
        <f>VLOOKUP(B780,Customers!A:J, 10,FALSE)</f>
        <v>Blanca Hooper</v>
      </c>
      <c r="J780" s="3" t="str">
        <f>VLOOKUP(B780,Customers!A:J,8,FALSE)</f>
        <v>NY</v>
      </c>
      <c r="K780" s="3" t="str">
        <f>VLOOKUP(B780,Customers!A:J,7,FALSE)</f>
        <v>Ozone Park</v>
      </c>
      <c r="L780" s="3" t="str">
        <f>VLOOKUP(H780,Staff!A:I,9,FALSE)</f>
        <v>Marcelene Boyer</v>
      </c>
      <c r="M780" s="3" t="str">
        <f>VLOOKUP(G780,Store!A:H,2,FALSE)</f>
        <v>Baldwin Bikes</v>
      </c>
      <c r="N780" s="3" t="str">
        <f>VLOOKUP(G780,Store!A:H,6,FALSE)</f>
        <v>Baldwin</v>
      </c>
      <c r="O780" s="3" t="s">
        <v>16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>
        <v>780.0</v>
      </c>
      <c r="B781" s="1">
        <v>592.0</v>
      </c>
      <c r="C781" s="1">
        <v>4.0</v>
      </c>
      <c r="D781" s="4">
        <v>42809.0</v>
      </c>
      <c r="E781" s="4">
        <v>42811.0</v>
      </c>
      <c r="F781" s="4">
        <v>42811.0</v>
      </c>
      <c r="G781" s="1">
        <v>2.0</v>
      </c>
      <c r="H781" s="1">
        <v>6.0</v>
      </c>
      <c r="I781" s="3" t="str">
        <f>VLOOKUP(B781,Customers!A:J, 10,FALSE)</f>
        <v>Joni Lee</v>
      </c>
      <c r="J781" s="3" t="str">
        <f>VLOOKUP(B781,Customers!A:J,8,FALSE)</f>
        <v>NY</v>
      </c>
      <c r="K781" s="3" t="str">
        <f>VLOOKUP(B781,Customers!A:J,7,FALSE)</f>
        <v>Centereach</v>
      </c>
      <c r="L781" s="3" t="str">
        <f>VLOOKUP(H781,Staff!A:I,9,FALSE)</f>
        <v>Marcelene Boyer</v>
      </c>
      <c r="M781" s="3" t="str">
        <f>VLOOKUP(G781,Store!A:H,2,FALSE)</f>
        <v>Baldwin Bikes</v>
      </c>
      <c r="N781" s="3" t="str">
        <f>VLOOKUP(G781,Store!A:H,6,FALSE)</f>
        <v>Baldwin</v>
      </c>
      <c r="O781" s="3" t="s">
        <v>16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>
        <v>781.0</v>
      </c>
      <c r="B782" s="1">
        <v>1018.0</v>
      </c>
      <c r="C782" s="1">
        <v>4.0</v>
      </c>
      <c r="D782" s="4">
        <v>42809.0</v>
      </c>
      <c r="E782" s="4">
        <v>42810.0</v>
      </c>
      <c r="F782" s="4">
        <v>42811.0</v>
      </c>
      <c r="G782" s="1">
        <v>2.0</v>
      </c>
      <c r="H782" s="1">
        <v>6.0</v>
      </c>
      <c r="I782" s="3" t="str">
        <f>VLOOKUP(B782,Customers!A:J, 10,FALSE)</f>
        <v>Carita Salinas</v>
      </c>
      <c r="J782" s="3" t="str">
        <f>VLOOKUP(B782,Customers!A:J,8,FALSE)</f>
        <v>NY</v>
      </c>
      <c r="K782" s="3" t="str">
        <f>VLOOKUP(B782,Customers!A:J,7,FALSE)</f>
        <v>Maspeth</v>
      </c>
      <c r="L782" s="3" t="str">
        <f>VLOOKUP(H782,Staff!A:I,9,FALSE)</f>
        <v>Marcelene Boyer</v>
      </c>
      <c r="M782" s="3" t="str">
        <f>VLOOKUP(G782,Store!A:H,2,FALSE)</f>
        <v>Baldwin Bikes</v>
      </c>
      <c r="N782" s="3" t="str">
        <f>VLOOKUP(G782,Store!A:H,6,FALSE)</f>
        <v>Baldwin</v>
      </c>
      <c r="O782" s="3" t="s">
        <v>16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>
        <v>782.0</v>
      </c>
      <c r="B783" s="1">
        <v>1298.0</v>
      </c>
      <c r="C783" s="1">
        <v>4.0</v>
      </c>
      <c r="D783" s="4">
        <v>42809.0</v>
      </c>
      <c r="E783" s="4">
        <v>42810.0</v>
      </c>
      <c r="F783" s="4">
        <v>42812.0</v>
      </c>
      <c r="G783" s="1">
        <v>2.0</v>
      </c>
      <c r="H783" s="1">
        <v>7.0</v>
      </c>
      <c r="I783" s="3" t="str">
        <f>VLOOKUP(B783,Customers!A:J, 10,FALSE)</f>
        <v>Trudy Riddle</v>
      </c>
      <c r="J783" s="3" t="str">
        <f>VLOOKUP(B783,Customers!A:J,8,FALSE)</f>
        <v>NY</v>
      </c>
      <c r="K783" s="3" t="str">
        <f>VLOOKUP(B783,Customers!A:J,7,FALSE)</f>
        <v>Schenectady</v>
      </c>
      <c r="L783" s="3" t="str">
        <f>VLOOKUP(H783,Staff!A:I,9,FALSE)</f>
        <v>Venita Daniel</v>
      </c>
      <c r="M783" s="3" t="str">
        <f>VLOOKUP(G783,Store!A:H,2,FALSE)</f>
        <v>Baldwin Bikes</v>
      </c>
      <c r="N783" s="3" t="str">
        <f>VLOOKUP(G783,Store!A:H,6,FALSE)</f>
        <v>Baldwin</v>
      </c>
      <c r="O783" s="3" t="s">
        <v>16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>
        <v>783.0</v>
      </c>
      <c r="B784" s="1">
        <v>1343.0</v>
      </c>
      <c r="C784" s="1">
        <v>4.0</v>
      </c>
      <c r="D784" s="4">
        <v>42810.0</v>
      </c>
      <c r="E784" s="4">
        <v>42813.0</v>
      </c>
      <c r="F784" s="4">
        <v>42811.0</v>
      </c>
      <c r="G784" s="1">
        <v>1.0</v>
      </c>
      <c r="H784" s="1">
        <v>2.0</v>
      </c>
      <c r="I784" s="3" t="str">
        <f>VLOOKUP(B784,Customers!A:J, 10,FALSE)</f>
        <v>Jama Rodriquez</v>
      </c>
      <c r="J784" s="3" t="str">
        <f>VLOOKUP(B784,Customers!A:J,8,FALSE)</f>
        <v>CA</v>
      </c>
      <c r="K784" s="3" t="str">
        <f>VLOOKUP(B784,Customers!A:J,7,FALSE)</f>
        <v>Upland</v>
      </c>
      <c r="L784" s="3" t="str">
        <f>VLOOKUP(H784,Staff!A:I,9,FALSE)</f>
        <v>Mireya Copeland</v>
      </c>
      <c r="M784" s="3" t="str">
        <f>VLOOKUP(G784,Store!A:H,2,FALSE)</f>
        <v>Santa Cruz Bikes</v>
      </c>
      <c r="N784" s="3" t="str">
        <f>VLOOKUP(G784,Store!A:H,6,FALSE)</f>
        <v>Santa Cruz</v>
      </c>
      <c r="O784" s="3" t="s">
        <v>15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>
        <v>784.0</v>
      </c>
      <c r="B785" s="1">
        <v>430.0</v>
      </c>
      <c r="C785" s="1">
        <v>4.0</v>
      </c>
      <c r="D785" s="4">
        <v>42810.0</v>
      </c>
      <c r="E785" s="4">
        <v>42813.0</v>
      </c>
      <c r="F785" s="4">
        <v>42813.0</v>
      </c>
      <c r="G785" s="1">
        <v>2.0</v>
      </c>
      <c r="H785" s="1">
        <v>7.0</v>
      </c>
      <c r="I785" s="3" t="str">
        <f>VLOOKUP(B785,Customers!A:J, 10,FALSE)</f>
        <v>Kandi Mcneil</v>
      </c>
      <c r="J785" s="3" t="str">
        <f>VLOOKUP(B785,Customers!A:J,8,FALSE)</f>
        <v>NY</v>
      </c>
      <c r="K785" s="3" t="str">
        <f>VLOOKUP(B785,Customers!A:J,7,FALSE)</f>
        <v>Massapequa Park</v>
      </c>
      <c r="L785" s="3" t="str">
        <f>VLOOKUP(H785,Staff!A:I,9,FALSE)</f>
        <v>Venita Daniel</v>
      </c>
      <c r="M785" s="3" t="str">
        <f>VLOOKUP(G785,Store!A:H,2,FALSE)</f>
        <v>Baldwin Bikes</v>
      </c>
      <c r="N785" s="3" t="str">
        <f>VLOOKUP(G785,Store!A:H,6,FALSE)</f>
        <v>Baldwin</v>
      </c>
      <c r="O785" s="3" t="s">
        <v>16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>
        <v>785.0</v>
      </c>
      <c r="B786" s="1">
        <v>794.0</v>
      </c>
      <c r="C786" s="1">
        <v>4.0</v>
      </c>
      <c r="D786" s="4">
        <v>42812.0</v>
      </c>
      <c r="E786" s="4">
        <v>42813.0</v>
      </c>
      <c r="F786" s="4">
        <v>42814.0</v>
      </c>
      <c r="G786" s="1">
        <v>1.0</v>
      </c>
      <c r="H786" s="1">
        <v>2.0</v>
      </c>
      <c r="I786" s="3" t="str">
        <f>VLOOKUP(B786,Customers!A:J, 10,FALSE)</f>
        <v>Donette Mccarthy</v>
      </c>
      <c r="J786" s="3" t="str">
        <f>VLOOKUP(B786,Customers!A:J,8,FALSE)</f>
        <v>CA</v>
      </c>
      <c r="K786" s="3" t="str">
        <f>VLOOKUP(B786,Customers!A:J,7,FALSE)</f>
        <v>Redondo Beach</v>
      </c>
      <c r="L786" s="3" t="str">
        <f>VLOOKUP(H786,Staff!A:I,9,FALSE)</f>
        <v>Mireya Copeland</v>
      </c>
      <c r="M786" s="3" t="str">
        <f>VLOOKUP(G786,Store!A:H,2,FALSE)</f>
        <v>Santa Cruz Bikes</v>
      </c>
      <c r="N786" s="3" t="str">
        <f>VLOOKUP(G786,Store!A:H,6,FALSE)</f>
        <v>Santa Cruz</v>
      </c>
      <c r="O786" s="3" t="s">
        <v>15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>
        <v>786.0</v>
      </c>
      <c r="B787" s="1">
        <v>249.0</v>
      </c>
      <c r="C787" s="1">
        <v>4.0</v>
      </c>
      <c r="D787" s="4">
        <v>42812.0</v>
      </c>
      <c r="E787" s="4">
        <v>42814.0</v>
      </c>
      <c r="F787" s="4">
        <v>42813.0</v>
      </c>
      <c r="G787" s="1">
        <v>2.0</v>
      </c>
      <c r="H787" s="1">
        <v>6.0</v>
      </c>
      <c r="I787" s="3" t="str">
        <f>VLOOKUP(B787,Customers!A:J, 10,FALSE)</f>
        <v>Magda Eaton</v>
      </c>
      <c r="J787" s="3" t="str">
        <f>VLOOKUP(B787,Customers!A:J,8,FALSE)</f>
        <v>NY</v>
      </c>
      <c r="K787" s="3" t="str">
        <f>VLOOKUP(B787,Customers!A:J,7,FALSE)</f>
        <v>Ossining</v>
      </c>
      <c r="L787" s="3" t="str">
        <f>VLOOKUP(H787,Staff!A:I,9,FALSE)</f>
        <v>Marcelene Boyer</v>
      </c>
      <c r="M787" s="3" t="str">
        <f>VLOOKUP(G787,Store!A:H,2,FALSE)</f>
        <v>Baldwin Bikes</v>
      </c>
      <c r="N787" s="3" t="str">
        <f>VLOOKUP(G787,Store!A:H,6,FALSE)</f>
        <v>Baldwin</v>
      </c>
      <c r="O787" s="3" t="s">
        <v>16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>
        <v>787.0</v>
      </c>
      <c r="B788" s="1">
        <v>700.0</v>
      </c>
      <c r="C788" s="1">
        <v>4.0</v>
      </c>
      <c r="D788" s="4">
        <v>42812.0</v>
      </c>
      <c r="E788" s="4">
        <v>42814.0</v>
      </c>
      <c r="F788" s="4">
        <v>42813.0</v>
      </c>
      <c r="G788" s="1">
        <v>3.0</v>
      </c>
      <c r="H788" s="1">
        <v>9.0</v>
      </c>
      <c r="I788" s="3" t="str">
        <f>VLOOKUP(B788,Customers!A:J, 10,FALSE)</f>
        <v>Collene Knox</v>
      </c>
      <c r="J788" s="3" t="str">
        <f>VLOOKUP(B788,Customers!A:J,8,FALSE)</f>
        <v>TX</v>
      </c>
      <c r="K788" s="3" t="str">
        <f>VLOOKUP(B788,Customers!A:J,7,FALSE)</f>
        <v>Corpus Christi</v>
      </c>
      <c r="L788" s="3" t="str">
        <f>VLOOKUP(H788,Staff!A:I,9,FALSE)</f>
        <v>Layla Terrell</v>
      </c>
      <c r="M788" s="3" t="str">
        <f>VLOOKUP(G788,Store!A:H,2,FALSE)</f>
        <v>Rowlett Bikes</v>
      </c>
      <c r="N788" s="3" t="str">
        <f>VLOOKUP(G788,Store!A:H,6,FALSE)</f>
        <v>Rowlett</v>
      </c>
      <c r="O788" s="3" t="s">
        <v>17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>
        <v>788.0</v>
      </c>
      <c r="B789" s="1">
        <v>1363.0</v>
      </c>
      <c r="C789" s="1">
        <v>4.0</v>
      </c>
      <c r="D789" s="4">
        <v>42812.0</v>
      </c>
      <c r="E789" s="4">
        <v>42814.0</v>
      </c>
      <c r="F789" s="4">
        <v>42814.0</v>
      </c>
      <c r="G789" s="1">
        <v>3.0</v>
      </c>
      <c r="H789" s="1">
        <v>9.0</v>
      </c>
      <c r="I789" s="3" t="str">
        <f>VLOOKUP(B789,Customers!A:J, 10,FALSE)</f>
        <v>Nestor Haynes</v>
      </c>
      <c r="J789" s="3" t="str">
        <f>VLOOKUP(B789,Customers!A:J,8,FALSE)</f>
        <v>TX</v>
      </c>
      <c r="K789" s="3" t="str">
        <f>VLOOKUP(B789,Customers!A:J,7,FALSE)</f>
        <v>Houston</v>
      </c>
      <c r="L789" s="3" t="str">
        <f>VLOOKUP(H789,Staff!A:I,9,FALSE)</f>
        <v>Layla Terrell</v>
      </c>
      <c r="M789" s="3" t="str">
        <f>VLOOKUP(G789,Store!A:H,2,FALSE)</f>
        <v>Rowlett Bikes</v>
      </c>
      <c r="N789" s="3" t="str">
        <f>VLOOKUP(G789,Store!A:H,6,FALSE)</f>
        <v>Rowlett</v>
      </c>
      <c r="O789" s="3" t="s">
        <v>17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>
        <v>789.0</v>
      </c>
      <c r="B790" s="1">
        <v>772.0</v>
      </c>
      <c r="C790" s="1">
        <v>4.0</v>
      </c>
      <c r="D790" s="4">
        <v>42813.0</v>
      </c>
      <c r="E790" s="4">
        <v>42814.0</v>
      </c>
      <c r="F790" s="4">
        <v>42814.0</v>
      </c>
      <c r="G790" s="1">
        <v>2.0</v>
      </c>
      <c r="H790" s="1">
        <v>6.0</v>
      </c>
      <c r="I790" s="3" t="str">
        <f>VLOOKUP(B790,Customers!A:J, 10,FALSE)</f>
        <v>Latricia Lindsey</v>
      </c>
      <c r="J790" s="3" t="str">
        <f>VLOOKUP(B790,Customers!A:J,8,FALSE)</f>
        <v>NY</v>
      </c>
      <c r="K790" s="3" t="str">
        <f>VLOOKUP(B790,Customers!A:J,7,FALSE)</f>
        <v>Yorktown Heights</v>
      </c>
      <c r="L790" s="3" t="str">
        <f>VLOOKUP(H790,Staff!A:I,9,FALSE)</f>
        <v>Marcelene Boyer</v>
      </c>
      <c r="M790" s="3" t="str">
        <f>VLOOKUP(G790,Store!A:H,2,FALSE)</f>
        <v>Baldwin Bikes</v>
      </c>
      <c r="N790" s="3" t="str">
        <f>VLOOKUP(G790,Store!A:H,6,FALSE)</f>
        <v>Baldwin</v>
      </c>
      <c r="O790" s="3" t="s">
        <v>16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>
        <v>790.0</v>
      </c>
      <c r="B791" s="1">
        <v>1015.0</v>
      </c>
      <c r="C791" s="1">
        <v>4.0</v>
      </c>
      <c r="D791" s="4">
        <v>42813.0</v>
      </c>
      <c r="E791" s="4">
        <v>42815.0</v>
      </c>
      <c r="F791" s="4">
        <v>42816.0</v>
      </c>
      <c r="G791" s="1">
        <v>2.0</v>
      </c>
      <c r="H791" s="1">
        <v>7.0</v>
      </c>
      <c r="I791" s="3" t="str">
        <f>VLOOKUP(B791,Customers!A:J, 10,FALSE)</f>
        <v>Nichelle Rosario</v>
      </c>
      <c r="J791" s="3" t="str">
        <f>VLOOKUP(B791,Customers!A:J,8,FALSE)</f>
        <v>NY</v>
      </c>
      <c r="K791" s="3" t="str">
        <f>VLOOKUP(B791,Customers!A:J,7,FALSE)</f>
        <v>Garden City</v>
      </c>
      <c r="L791" s="3" t="str">
        <f>VLOOKUP(H791,Staff!A:I,9,FALSE)</f>
        <v>Venita Daniel</v>
      </c>
      <c r="M791" s="3" t="str">
        <f>VLOOKUP(G791,Store!A:H,2,FALSE)</f>
        <v>Baldwin Bikes</v>
      </c>
      <c r="N791" s="3" t="str">
        <f>VLOOKUP(G791,Store!A:H,6,FALSE)</f>
        <v>Baldwin</v>
      </c>
      <c r="O791" s="3" t="s">
        <v>16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>
        <v>791.0</v>
      </c>
      <c r="B792" s="1">
        <v>432.0</v>
      </c>
      <c r="C792" s="1">
        <v>4.0</v>
      </c>
      <c r="D792" s="4">
        <v>42814.0</v>
      </c>
      <c r="E792" s="4">
        <v>42816.0</v>
      </c>
      <c r="F792" s="4">
        <v>42817.0</v>
      </c>
      <c r="G792" s="1">
        <v>2.0</v>
      </c>
      <c r="H792" s="1">
        <v>6.0</v>
      </c>
      <c r="I792" s="3" t="str">
        <f>VLOOKUP(B792,Customers!A:J, 10,FALSE)</f>
        <v>Julius Holt</v>
      </c>
      <c r="J792" s="3" t="str">
        <f>VLOOKUP(B792,Customers!A:J,8,FALSE)</f>
        <v>NY</v>
      </c>
      <c r="K792" s="3" t="str">
        <f>VLOOKUP(B792,Customers!A:J,7,FALSE)</f>
        <v>East Meadow</v>
      </c>
      <c r="L792" s="3" t="str">
        <f>VLOOKUP(H792,Staff!A:I,9,FALSE)</f>
        <v>Marcelene Boyer</v>
      </c>
      <c r="M792" s="3" t="str">
        <f>VLOOKUP(G792,Store!A:H,2,FALSE)</f>
        <v>Baldwin Bikes</v>
      </c>
      <c r="N792" s="3" t="str">
        <f>VLOOKUP(G792,Store!A:H,6,FALSE)</f>
        <v>Baldwin</v>
      </c>
      <c r="O792" s="3" t="s">
        <v>16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>
        <v>792.0</v>
      </c>
      <c r="B793" s="1">
        <v>479.0</v>
      </c>
      <c r="C793" s="1">
        <v>4.0</v>
      </c>
      <c r="D793" s="4">
        <v>42816.0</v>
      </c>
      <c r="E793" s="4">
        <v>42817.0</v>
      </c>
      <c r="F793" s="4">
        <v>42818.0</v>
      </c>
      <c r="G793" s="1">
        <v>2.0</v>
      </c>
      <c r="H793" s="1">
        <v>6.0</v>
      </c>
      <c r="I793" s="3" t="str">
        <f>VLOOKUP(B793,Customers!A:J, 10,FALSE)</f>
        <v>Gertha Mejia</v>
      </c>
      <c r="J793" s="3" t="str">
        <f>VLOOKUP(B793,Customers!A:J,8,FALSE)</f>
        <v>NY</v>
      </c>
      <c r="K793" s="3" t="str">
        <f>VLOOKUP(B793,Customers!A:J,7,FALSE)</f>
        <v>Flushing</v>
      </c>
      <c r="L793" s="3" t="str">
        <f>VLOOKUP(H793,Staff!A:I,9,FALSE)</f>
        <v>Marcelene Boyer</v>
      </c>
      <c r="M793" s="3" t="str">
        <f>VLOOKUP(G793,Store!A:H,2,FALSE)</f>
        <v>Baldwin Bikes</v>
      </c>
      <c r="N793" s="3" t="str">
        <f>VLOOKUP(G793,Store!A:H,6,FALSE)</f>
        <v>Baldwin</v>
      </c>
      <c r="O793" s="3" t="s">
        <v>16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>
        <v>793.0</v>
      </c>
      <c r="B794" s="1">
        <v>653.0</v>
      </c>
      <c r="C794" s="1">
        <v>4.0</v>
      </c>
      <c r="D794" s="4">
        <v>42817.0</v>
      </c>
      <c r="E794" s="4">
        <v>42818.0</v>
      </c>
      <c r="F794" s="4">
        <v>42818.0</v>
      </c>
      <c r="G794" s="1">
        <v>2.0</v>
      </c>
      <c r="H794" s="1">
        <v>6.0</v>
      </c>
      <c r="I794" s="3" t="str">
        <f>VLOOKUP(B794,Customers!A:J, 10,FALSE)</f>
        <v>Florencio Davenport</v>
      </c>
      <c r="J794" s="3" t="str">
        <f>VLOOKUP(B794,Customers!A:J,8,FALSE)</f>
        <v>NY</v>
      </c>
      <c r="K794" s="3" t="str">
        <f>VLOOKUP(B794,Customers!A:J,7,FALSE)</f>
        <v>Jamestown</v>
      </c>
      <c r="L794" s="3" t="str">
        <f>VLOOKUP(H794,Staff!A:I,9,FALSE)</f>
        <v>Marcelene Boyer</v>
      </c>
      <c r="M794" s="3" t="str">
        <f>VLOOKUP(G794,Store!A:H,2,FALSE)</f>
        <v>Baldwin Bikes</v>
      </c>
      <c r="N794" s="3" t="str">
        <f>VLOOKUP(G794,Store!A:H,6,FALSE)</f>
        <v>Baldwin</v>
      </c>
      <c r="O794" s="3" t="s">
        <v>16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>
        <v>794.0</v>
      </c>
      <c r="B795" s="1">
        <v>863.0</v>
      </c>
      <c r="C795" s="1">
        <v>4.0</v>
      </c>
      <c r="D795" s="4">
        <v>42817.0</v>
      </c>
      <c r="E795" s="4">
        <v>42819.0</v>
      </c>
      <c r="F795" s="4">
        <v>42818.0</v>
      </c>
      <c r="G795" s="1">
        <v>2.0</v>
      </c>
      <c r="H795" s="1">
        <v>7.0</v>
      </c>
      <c r="I795" s="3" t="str">
        <f>VLOOKUP(B795,Customers!A:J, 10,FALSE)</f>
        <v>Shonta Preston</v>
      </c>
      <c r="J795" s="3" t="str">
        <f>VLOOKUP(B795,Customers!A:J,8,FALSE)</f>
        <v>NY</v>
      </c>
      <c r="K795" s="3" t="str">
        <f>VLOOKUP(B795,Customers!A:J,7,FALSE)</f>
        <v>Utica</v>
      </c>
      <c r="L795" s="3" t="str">
        <f>VLOOKUP(H795,Staff!A:I,9,FALSE)</f>
        <v>Venita Daniel</v>
      </c>
      <c r="M795" s="3" t="str">
        <f>VLOOKUP(G795,Store!A:H,2,FALSE)</f>
        <v>Baldwin Bikes</v>
      </c>
      <c r="N795" s="3" t="str">
        <f>VLOOKUP(G795,Store!A:H,6,FALSE)</f>
        <v>Baldwin</v>
      </c>
      <c r="O795" s="3" t="s">
        <v>16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>
        <v>795.0</v>
      </c>
      <c r="B796" s="1">
        <v>992.0</v>
      </c>
      <c r="C796" s="1">
        <v>4.0</v>
      </c>
      <c r="D796" s="4">
        <v>42817.0</v>
      </c>
      <c r="E796" s="4">
        <v>42819.0</v>
      </c>
      <c r="F796" s="4">
        <v>42820.0</v>
      </c>
      <c r="G796" s="1">
        <v>2.0</v>
      </c>
      <c r="H796" s="1">
        <v>7.0</v>
      </c>
      <c r="I796" s="3" t="str">
        <f>VLOOKUP(B796,Customers!A:J, 10,FALSE)</f>
        <v>Chere Alston</v>
      </c>
      <c r="J796" s="3" t="str">
        <f>VLOOKUP(B796,Customers!A:J,8,FALSE)</f>
        <v>NY</v>
      </c>
      <c r="K796" s="3" t="str">
        <f>VLOOKUP(B796,Customers!A:J,7,FALSE)</f>
        <v>Patchogue</v>
      </c>
      <c r="L796" s="3" t="str">
        <f>VLOOKUP(H796,Staff!A:I,9,FALSE)</f>
        <v>Venita Daniel</v>
      </c>
      <c r="M796" s="3" t="str">
        <f>VLOOKUP(G796,Store!A:H,2,FALSE)</f>
        <v>Baldwin Bikes</v>
      </c>
      <c r="N796" s="3" t="str">
        <f>VLOOKUP(G796,Store!A:H,6,FALSE)</f>
        <v>Baldwin</v>
      </c>
      <c r="O796" s="3" t="s">
        <v>16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>
        <v>796.0</v>
      </c>
      <c r="B797" s="1">
        <v>154.0</v>
      </c>
      <c r="C797" s="1">
        <v>4.0</v>
      </c>
      <c r="D797" s="4">
        <v>42817.0</v>
      </c>
      <c r="E797" s="4">
        <v>42820.0</v>
      </c>
      <c r="F797" s="4">
        <v>42819.0</v>
      </c>
      <c r="G797" s="1">
        <v>3.0</v>
      </c>
      <c r="H797" s="1">
        <v>9.0</v>
      </c>
      <c r="I797" s="3" t="str">
        <f>VLOOKUP(B797,Customers!A:J, 10,FALSE)</f>
        <v>Jenise Preston</v>
      </c>
      <c r="J797" s="3" t="str">
        <f>VLOOKUP(B797,Customers!A:J,8,FALSE)</f>
        <v>TX</v>
      </c>
      <c r="K797" s="3" t="str">
        <f>VLOOKUP(B797,Customers!A:J,7,FALSE)</f>
        <v>Helotes</v>
      </c>
      <c r="L797" s="3" t="str">
        <f>VLOOKUP(H797,Staff!A:I,9,FALSE)</f>
        <v>Layla Terrell</v>
      </c>
      <c r="M797" s="3" t="str">
        <f>VLOOKUP(G797,Store!A:H,2,FALSE)</f>
        <v>Rowlett Bikes</v>
      </c>
      <c r="N797" s="3" t="str">
        <f>VLOOKUP(G797,Store!A:H,6,FALSE)</f>
        <v>Rowlett</v>
      </c>
      <c r="O797" s="3" t="s">
        <v>17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>
        <v>797.0</v>
      </c>
      <c r="B798" s="1">
        <v>374.0</v>
      </c>
      <c r="C798" s="1">
        <v>4.0</v>
      </c>
      <c r="D798" s="4">
        <v>42818.0</v>
      </c>
      <c r="E798" s="4">
        <v>42820.0</v>
      </c>
      <c r="F798" s="4">
        <v>42820.0</v>
      </c>
      <c r="G798" s="1">
        <v>2.0</v>
      </c>
      <c r="H798" s="1">
        <v>7.0</v>
      </c>
      <c r="I798" s="3" t="str">
        <f>VLOOKUP(B798,Customers!A:J, 10,FALSE)</f>
        <v>Candelaria Coffey</v>
      </c>
      <c r="J798" s="3" t="str">
        <f>VLOOKUP(B798,Customers!A:J,8,FALSE)</f>
        <v>NY</v>
      </c>
      <c r="K798" s="3" t="str">
        <f>VLOOKUP(B798,Customers!A:J,7,FALSE)</f>
        <v>Merrick</v>
      </c>
      <c r="L798" s="3" t="str">
        <f>VLOOKUP(H798,Staff!A:I,9,FALSE)</f>
        <v>Venita Daniel</v>
      </c>
      <c r="M798" s="3" t="str">
        <f>VLOOKUP(G798,Store!A:H,2,FALSE)</f>
        <v>Baldwin Bikes</v>
      </c>
      <c r="N798" s="3" t="str">
        <f>VLOOKUP(G798,Store!A:H,6,FALSE)</f>
        <v>Baldwin</v>
      </c>
      <c r="O798" s="3" t="s">
        <v>16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>
        <v>798.0</v>
      </c>
      <c r="B799" s="1">
        <v>619.0</v>
      </c>
      <c r="C799" s="1">
        <v>4.0</v>
      </c>
      <c r="D799" s="4">
        <v>42820.0</v>
      </c>
      <c r="E799" s="4">
        <v>42822.0</v>
      </c>
      <c r="F799" s="4">
        <v>42823.0</v>
      </c>
      <c r="G799" s="1">
        <v>1.0</v>
      </c>
      <c r="H799" s="1">
        <v>3.0</v>
      </c>
      <c r="I799" s="3" t="str">
        <f>VLOOKUP(B799,Customers!A:J, 10,FALSE)</f>
        <v>Ana Palmer</v>
      </c>
      <c r="J799" s="3" t="str">
        <f>VLOOKUP(B799,Customers!A:J,8,FALSE)</f>
        <v>CA</v>
      </c>
      <c r="K799" s="3" t="str">
        <f>VLOOKUP(B799,Customers!A:J,7,FALSE)</f>
        <v>Anaheim</v>
      </c>
      <c r="L799" s="3" t="str">
        <f>VLOOKUP(H799,Staff!A:I,9,FALSE)</f>
        <v>Genna Serrano</v>
      </c>
      <c r="M799" s="3" t="str">
        <f>VLOOKUP(G799,Store!A:H,2,FALSE)</f>
        <v>Santa Cruz Bikes</v>
      </c>
      <c r="N799" s="3" t="str">
        <f>VLOOKUP(G799,Store!A:H,6,FALSE)</f>
        <v>Santa Cruz</v>
      </c>
      <c r="O799" s="3" t="s">
        <v>15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>
        <v>799.0</v>
      </c>
      <c r="B800" s="1">
        <v>607.0</v>
      </c>
      <c r="C800" s="1">
        <v>4.0</v>
      </c>
      <c r="D800" s="4">
        <v>42821.0</v>
      </c>
      <c r="E800" s="4">
        <v>42822.0</v>
      </c>
      <c r="F800" s="4">
        <v>42823.0</v>
      </c>
      <c r="G800" s="1">
        <v>1.0</v>
      </c>
      <c r="H800" s="1">
        <v>3.0</v>
      </c>
      <c r="I800" s="3" t="str">
        <f>VLOOKUP(B800,Customers!A:J, 10,FALSE)</f>
        <v>Paul Lester</v>
      </c>
      <c r="J800" s="3" t="str">
        <f>VLOOKUP(B800,Customers!A:J,8,FALSE)</f>
        <v>CA</v>
      </c>
      <c r="K800" s="3" t="str">
        <f>VLOOKUP(B800,Customers!A:J,7,FALSE)</f>
        <v>Vista</v>
      </c>
      <c r="L800" s="3" t="str">
        <f>VLOOKUP(H800,Staff!A:I,9,FALSE)</f>
        <v>Genna Serrano</v>
      </c>
      <c r="M800" s="3" t="str">
        <f>VLOOKUP(G800,Store!A:H,2,FALSE)</f>
        <v>Santa Cruz Bikes</v>
      </c>
      <c r="N800" s="3" t="str">
        <f>VLOOKUP(G800,Store!A:H,6,FALSE)</f>
        <v>Santa Cruz</v>
      </c>
      <c r="O800" s="3" t="s">
        <v>15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>
        <v>800.0</v>
      </c>
      <c r="B801" s="1">
        <v>1057.0</v>
      </c>
      <c r="C801" s="1">
        <v>4.0</v>
      </c>
      <c r="D801" s="4">
        <v>42821.0</v>
      </c>
      <c r="E801" s="4">
        <v>42823.0</v>
      </c>
      <c r="F801" s="4">
        <v>42822.0</v>
      </c>
      <c r="G801" s="1">
        <v>2.0</v>
      </c>
      <c r="H801" s="1">
        <v>6.0</v>
      </c>
      <c r="I801" s="3" t="str">
        <f>VLOOKUP(B801,Customers!A:J, 10,FALSE)</f>
        <v>Conchita Boone</v>
      </c>
      <c r="J801" s="3" t="str">
        <f>VLOOKUP(B801,Customers!A:J,8,FALSE)</f>
        <v>NY</v>
      </c>
      <c r="K801" s="3" t="str">
        <f>VLOOKUP(B801,Customers!A:J,7,FALSE)</f>
        <v>Mount Vernon</v>
      </c>
      <c r="L801" s="3" t="str">
        <f>VLOOKUP(H801,Staff!A:I,9,FALSE)</f>
        <v>Marcelene Boyer</v>
      </c>
      <c r="M801" s="3" t="str">
        <f>VLOOKUP(G801,Store!A:H,2,FALSE)</f>
        <v>Baldwin Bikes</v>
      </c>
      <c r="N801" s="3" t="str">
        <f>VLOOKUP(G801,Store!A:H,6,FALSE)</f>
        <v>Baldwin</v>
      </c>
      <c r="O801" s="3" t="s">
        <v>16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>
        <v>801.0</v>
      </c>
      <c r="B802" s="1">
        <v>78.0</v>
      </c>
      <c r="C802" s="1">
        <v>4.0</v>
      </c>
      <c r="D802" s="4">
        <v>42822.0</v>
      </c>
      <c r="E802" s="4">
        <v>42823.0</v>
      </c>
      <c r="F802" s="4">
        <v>42824.0</v>
      </c>
      <c r="G802" s="1">
        <v>1.0</v>
      </c>
      <c r="H802" s="1">
        <v>2.0</v>
      </c>
      <c r="I802" s="3" t="str">
        <f>VLOOKUP(B802,Customers!A:J, 10,FALSE)</f>
        <v>Chi Goff</v>
      </c>
      <c r="J802" s="3" t="str">
        <f>VLOOKUP(B802,Customers!A:J,8,FALSE)</f>
        <v>CA</v>
      </c>
      <c r="K802" s="3" t="str">
        <f>VLOOKUP(B802,Customers!A:J,7,FALSE)</f>
        <v>Palos Verdes Peninsula</v>
      </c>
      <c r="L802" s="3" t="str">
        <f>VLOOKUP(H802,Staff!A:I,9,FALSE)</f>
        <v>Mireya Copeland</v>
      </c>
      <c r="M802" s="3" t="str">
        <f>VLOOKUP(G802,Store!A:H,2,FALSE)</f>
        <v>Santa Cruz Bikes</v>
      </c>
      <c r="N802" s="3" t="str">
        <f>VLOOKUP(G802,Store!A:H,6,FALSE)</f>
        <v>Santa Cruz</v>
      </c>
      <c r="O802" s="3" t="s">
        <v>15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>
        <v>802.0</v>
      </c>
      <c r="B803" s="1">
        <v>340.0</v>
      </c>
      <c r="C803" s="1">
        <v>4.0</v>
      </c>
      <c r="D803" s="4">
        <v>42822.0</v>
      </c>
      <c r="E803" s="4">
        <v>42823.0</v>
      </c>
      <c r="F803" s="4">
        <v>42824.0</v>
      </c>
      <c r="G803" s="1">
        <v>2.0</v>
      </c>
      <c r="H803" s="1">
        <v>6.0</v>
      </c>
      <c r="I803" s="3" t="str">
        <f>VLOOKUP(B803,Customers!A:J, 10,FALSE)</f>
        <v>Yanira Bradshaw</v>
      </c>
      <c r="J803" s="3" t="str">
        <f>VLOOKUP(B803,Customers!A:J,8,FALSE)</f>
        <v>NY</v>
      </c>
      <c r="K803" s="3" t="str">
        <f>VLOOKUP(B803,Customers!A:J,7,FALSE)</f>
        <v>Smithtown</v>
      </c>
      <c r="L803" s="3" t="str">
        <f>VLOOKUP(H803,Staff!A:I,9,FALSE)</f>
        <v>Marcelene Boyer</v>
      </c>
      <c r="M803" s="3" t="str">
        <f>VLOOKUP(G803,Store!A:H,2,FALSE)</f>
        <v>Baldwin Bikes</v>
      </c>
      <c r="N803" s="3" t="str">
        <f>VLOOKUP(G803,Store!A:H,6,FALSE)</f>
        <v>Baldwin</v>
      </c>
      <c r="O803" s="3" t="s">
        <v>16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>
        <v>803.0</v>
      </c>
      <c r="B804" s="1">
        <v>1105.0</v>
      </c>
      <c r="C804" s="1">
        <v>4.0</v>
      </c>
      <c r="D804" s="4">
        <v>42822.0</v>
      </c>
      <c r="E804" s="4">
        <v>42825.0</v>
      </c>
      <c r="F804" s="4">
        <v>42824.0</v>
      </c>
      <c r="G804" s="1">
        <v>3.0</v>
      </c>
      <c r="H804" s="1">
        <v>8.0</v>
      </c>
      <c r="I804" s="3" t="str">
        <f>VLOOKUP(B804,Customers!A:J, 10,FALSE)</f>
        <v>Armando Black</v>
      </c>
      <c r="J804" s="3" t="str">
        <f>VLOOKUP(B804,Customers!A:J,8,FALSE)</f>
        <v>TX</v>
      </c>
      <c r="K804" s="3" t="str">
        <f>VLOOKUP(B804,Customers!A:J,7,FALSE)</f>
        <v>Richardson</v>
      </c>
      <c r="L804" s="3" t="str">
        <f>VLOOKUP(H804,Staff!A:I,9,FALSE)</f>
        <v>Kali Vargas</v>
      </c>
      <c r="M804" s="3" t="str">
        <f>VLOOKUP(G804,Store!A:H,2,FALSE)</f>
        <v>Rowlett Bikes</v>
      </c>
      <c r="N804" s="3" t="str">
        <f>VLOOKUP(G804,Store!A:H,6,FALSE)</f>
        <v>Rowlett</v>
      </c>
      <c r="O804" s="3" t="s">
        <v>17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>
        <v>804.0</v>
      </c>
      <c r="B805" s="1">
        <v>95.0</v>
      </c>
      <c r="C805" s="1">
        <v>4.0</v>
      </c>
      <c r="D805" s="4">
        <v>42823.0</v>
      </c>
      <c r="E805" s="4">
        <v>42825.0</v>
      </c>
      <c r="F805" s="4">
        <v>42824.0</v>
      </c>
      <c r="G805" s="1">
        <v>2.0</v>
      </c>
      <c r="H805" s="1">
        <v>6.0</v>
      </c>
      <c r="I805" s="3" t="str">
        <f>VLOOKUP(B805,Customers!A:J, 10,FALSE)</f>
        <v>Letitia Franco</v>
      </c>
      <c r="J805" s="3" t="str">
        <f>VLOOKUP(B805,Customers!A:J,8,FALSE)</f>
        <v>NY</v>
      </c>
      <c r="K805" s="3" t="str">
        <f>VLOOKUP(B805,Customers!A:J,7,FALSE)</f>
        <v>Saratoga Springs</v>
      </c>
      <c r="L805" s="3" t="str">
        <f>VLOOKUP(H805,Staff!A:I,9,FALSE)</f>
        <v>Marcelene Boyer</v>
      </c>
      <c r="M805" s="3" t="str">
        <f>VLOOKUP(G805,Store!A:H,2,FALSE)</f>
        <v>Baldwin Bikes</v>
      </c>
      <c r="N805" s="3" t="str">
        <f>VLOOKUP(G805,Store!A:H,6,FALSE)</f>
        <v>Baldwin</v>
      </c>
      <c r="O805" s="3" t="s">
        <v>16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>
        <v>805.0</v>
      </c>
      <c r="B806" s="1">
        <v>420.0</v>
      </c>
      <c r="C806" s="1">
        <v>4.0</v>
      </c>
      <c r="D806" s="4">
        <v>42823.0</v>
      </c>
      <c r="E806" s="4">
        <v>42824.0</v>
      </c>
      <c r="F806" s="4">
        <v>42826.0</v>
      </c>
      <c r="G806" s="1">
        <v>2.0</v>
      </c>
      <c r="H806" s="1">
        <v>6.0</v>
      </c>
      <c r="I806" s="3" t="str">
        <f>VLOOKUP(B806,Customers!A:J, 10,FALSE)</f>
        <v>Vince Schneider</v>
      </c>
      <c r="J806" s="3" t="str">
        <f>VLOOKUP(B806,Customers!A:J,8,FALSE)</f>
        <v>NY</v>
      </c>
      <c r="K806" s="3" t="str">
        <f>VLOOKUP(B806,Customers!A:J,7,FALSE)</f>
        <v>Merrick</v>
      </c>
      <c r="L806" s="3" t="str">
        <f>VLOOKUP(H806,Staff!A:I,9,FALSE)</f>
        <v>Marcelene Boyer</v>
      </c>
      <c r="M806" s="3" t="str">
        <f>VLOOKUP(G806,Store!A:H,2,FALSE)</f>
        <v>Baldwin Bikes</v>
      </c>
      <c r="N806" s="3" t="str">
        <f>VLOOKUP(G806,Store!A:H,6,FALSE)</f>
        <v>Baldwin</v>
      </c>
      <c r="O806" s="3" t="s">
        <v>16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>
        <v>806.0</v>
      </c>
      <c r="B807" s="1">
        <v>234.0</v>
      </c>
      <c r="C807" s="1">
        <v>4.0</v>
      </c>
      <c r="D807" s="4">
        <v>42824.0</v>
      </c>
      <c r="E807" s="4">
        <v>42825.0</v>
      </c>
      <c r="F807" s="4">
        <v>42825.0</v>
      </c>
      <c r="G807" s="1">
        <v>2.0</v>
      </c>
      <c r="H807" s="1">
        <v>7.0</v>
      </c>
      <c r="I807" s="3" t="str">
        <f>VLOOKUP(B807,Customers!A:J, 10,FALSE)</f>
        <v>Winfred Harris</v>
      </c>
      <c r="J807" s="3" t="str">
        <f>VLOOKUP(B807,Customers!A:J,8,FALSE)</f>
        <v>NY</v>
      </c>
      <c r="K807" s="3" t="str">
        <f>VLOOKUP(B807,Customers!A:J,7,FALSE)</f>
        <v>East Meadow</v>
      </c>
      <c r="L807" s="3" t="str">
        <f>VLOOKUP(H807,Staff!A:I,9,FALSE)</f>
        <v>Venita Daniel</v>
      </c>
      <c r="M807" s="3" t="str">
        <f>VLOOKUP(G807,Store!A:H,2,FALSE)</f>
        <v>Baldwin Bikes</v>
      </c>
      <c r="N807" s="3" t="str">
        <f>VLOOKUP(G807,Store!A:H,6,FALSE)</f>
        <v>Baldwin</v>
      </c>
      <c r="O807" s="3" t="s">
        <v>16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>
        <v>807.0</v>
      </c>
      <c r="B808" s="1">
        <v>1148.0</v>
      </c>
      <c r="C808" s="1">
        <v>4.0</v>
      </c>
      <c r="D808" s="4">
        <v>42824.0</v>
      </c>
      <c r="E808" s="4">
        <v>42826.0</v>
      </c>
      <c r="F808" s="4">
        <v>42827.0</v>
      </c>
      <c r="G808" s="1">
        <v>2.0</v>
      </c>
      <c r="H808" s="1">
        <v>6.0</v>
      </c>
      <c r="I808" s="3" t="str">
        <f>VLOOKUP(B808,Customers!A:J, 10,FALSE)</f>
        <v>Lenore Valdez</v>
      </c>
      <c r="J808" s="3" t="str">
        <f>VLOOKUP(B808,Customers!A:J,8,FALSE)</f>
        <v>NY</v>
      </c>
      <c r="K808" s="3" t="str">
        <f>VLOOKUP(B808,Customers!A:J,7,FALSE)</f>
        <v>Spring Valley</v>
      </c>
      <c r="L808" s="3" t="str">
        <f>VLOOKUP(H808,Staff!A:I,9,FALSE)</f>
        <v>Marcelene Boyer</v>
      </c>
      <c r="M808" s="3" t="str">
        <f>VLOOKUP(G808,Store!A:H,2,FALSE)</f>
        <v>Baldwin Bikes</v>
      </c>
      <c r="N808" s="3" t="str">
        <f>VLOOKUP(G808,Store!A:H,6,FALSE)</f>
        <v>Baldwin</v>
      </c>
      <c r="O808" s="3" t="s">
        <v>16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>
        <v>808.0</v>
      </c>
      <c r="B809" s="1">
        <v>315.0</v>
      </c>
      <c r="C809" s="1">
        <v>4.0</v>
      </c>
      <c r="D809" s="4">
        <v>42825.0</v>
      </c>
      <c r="E809" s="4">
        <v>42827.0</v>
      </c>
      <c r="F809" s="4">
        <v>42827.0</v>
      </c>
      <c r="G809" s="1">
        <v>2.0</v>
      </c>
      <c r="H809" s="1">
        <v>6.0</v>
      </c>
      <c r="I809" s="3" t="str">
        <f>VLOOKUP(B809,Customers!A:J, 10,FALSE)</f>
        <v>Justina Jenkins</v>
      </c>
      <c r="J809" s="3" t="str">
        <f>VLOOKUP(B809,Customers!A:J,8,FALSE)</f>
        <v>NY</v>
      </c>
      <c r="K809" s="3" t="str">
        <f>VLOOKUP(B809,Customers!A:J,7,FALSE)</f>
        <v>Baldwin</v>
      </c>
      <c r="L809" s="3" t="str">
        <f>VLOOKUP(H809,Staff!A:I,9,FALSE)</f>
        <v>Marcelene Boyer</v>
      </c>
      <c r="M809" s="3" t="str">
        <f>VLOOKUP(G809,Store!A:H,2,FALSE)</f>
        <v>Baldwin Bikes</v>
      </c>
      <c r="N809" s="3" t="str">
        <f>VLOOKUP(G809,Store!A:H,6,FALSE)</f>
        <v>Baldwin</v>
      </c>
      <c r="O809" s="3" t="s">
        <v>16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>
        <v>809.0</v>
      </c>
      <c r="B810" s="1">
        <v>1222.0</v>
      </c>
      <c r="C810" s="1">
        <v>4.0</v>
      </c>
      <c r="D810" s="4">
        <v>42825.0</v>
      </c>
      <c r="E810" s="4">
        <v>42828.0</v>
      </c>
      <c r="F810" s="4">
        <v>42828.0</v>
      </c>
      <c r="G810" s="1">
        <v>2.0</v>
      </c>
      <c r="H810" s="1">
        <v>7.0</v>
      </c>
      <c r="I810" s="3" t="str">
        <f>VLOOKUP(B810,Customers!A:J, 10,FALSE)</f>
        <v>Geraldine O'donnell</v>
      </c>
      <c r="J810" s="3" t="str">
        <f>VLOOKUP(B810,Customers!A:J,8,FALSE)</f>
        <v>NY</v>
      </c>
      <c r="K810" s="3" t="str">
        <f>VLOOKUP(B810,Customers!A:J,7,FALSE)</f>
        <v>Flushing</v>
      </c>
      <c r="L810" s="3" t="str">
        <f>VLOOKUP(H810,Staff!A:I,9,FALSE)</f>
        <v>Venita Daniel</v>
      </c>
      <c r="M810" s="3" t="str">
        <f>VLOOKUP(G810,Store!A:H,2,FALSE)</f>
        <v>Baldwin Bikes</v>
      </c>
      <c r="N810" s="3" t="str">
        <f>VLOOKUP(G810,Store!A:H,6,FALSE)</f>
        <v>Baldwin</v>
      </c>
      <c r="O810" s="3" t="s">
        <v>16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>
        <v>810.0</v>
      </c>
      <c r="B811" s="1">
        <v>153.0</v>
      </c>
      <c r="C811" s="1">
        <v>3.0</v>
      </c>
      <c r="D811" s="4">
        <v>42826.0</v>
      </c>
      <c r="E811" s="4">
        <v>42826.0</v>
      </c>
      <c r="F811" s="1" t="s">
        <v>18</v>
      </c>
      <c r="G811" s="1">
        <v>3.0</v>
      </c>
      <c r="H811" s="1">
        <v>8.0</v>
      </c>
      <c r="I811" s="3" t="str">
        <f>VLOOKUP(B811,Customers!A:J, 10,FALSE)</f>
        <v>Laraine Robbins</v>
      </c>
      <c r="J811" s="3" t="str">
        <f>VLOOKUP(B811,Customers!A:J,8,FALSE)</f>
        <v>TX</v>
      </c>
      <c r="K811" s="3" t="str">
        <f>VLOOKUP(B811,Customers!A:J,7,FALSE)</f>
        <v>San Angelo</v>
      </c>
      <c r="L811" s="3" t="str">
        <f>VLOOKUP(H811,Staff!A:I,9,FALSE)</f>
        <v>Kali Vargas</v>
      </c>
      <c r="M811" s="3" t="str">
        <f>VLOOKUP(G811,Store!A:H,2,FALSE)</f>
        <v>Rowlett Bikes</v>
      </c>
      <c r="N811" s="3" t="str">
        <f>VLOOKUP(G811,Store!A:H,6,FALSE)</f>
        <v>Rowlett</v>
      </c>
      <c r="O811" s="3" t="s">
        <v>17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>
        <v>811.0</v>
      </c>
      <c r="B812" s="1">
        <v>524.0</v>
      </c>
      <c r="C812" s="1">
        <v>4.0</v>
      </c>
      <c r="D812" s="4">
        <v>42826.0</v>
      </c>
      <c r="E812" s="4">
        <v>42829.0</v>
      </c>
      <c r="F812" s="4">
        <v>42829.0</v>
      </c>
      <c r="G812" s="1">
        <v>2.0</v>
      </c>
      <c r="H812" s="1">
        <v>7.0</v>
      </c>
      <c r="I812" s="3" t="str">
        <f>VLOOKUP(B812,Customers!A:J, 10,FALSE)</f>
        <v>Larraine Horn</v>
      </c>
      <c r="J812" s="3" t="str">
        <f>VLOOKUP(B812,Customers!A:J,8,FALSE)</f>
        <v>NY</v>
      </c>
      <c r="K812" s="3" t="str">
        <f>VLOOKUP(B812,Customers!A:J,7,FALSE)</f>
        <v>Utica</v>
      </c>
      <c r="L812" s="3" t="str">
        <f>VLOOKUP(H812,Staff!A:I,9,FALSE)</f>
        <v>Venita Daniel</v>
      </c>
      <c r="M812" s="3" t="str">
        <f>VLOOKUP(G812,Store!A:H,2,FALSE)</f>
        <v>Baldwin Bikes</v>
      </c>
      <c r="N812" s="3" t="str">
        <f>VLOOKUP(G812,Store!A:H,6,FALSE)</f>
        <v>Baldwin</v>
      </c>
      <c r="O812" s="3" t="s">
        <v>16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>
        <v>812.0</v>
      </c>
      <c r="B813" s="1">
        <v>1164.0</v>
      </c>
      <c r="C813" s="1">
        <v>4.0</v>
      </c>
      <c r="D813" s="4">
        <v>42826.0</v>
      </c>
      <c r="E813" s="4">
        <v>42827.0</v>
      </c>
      <c r="F813" s="4">
        <v>42828.0</v>
      </c>
      <c r="G813" s="1">
        <v>2.0</v>
      </c>
      <c r="H813" s="1">
        <v>7.0</v>
      </c>
      <c r="I813" s="3" t="str">
        <f>VLOOKUP(B813,Customers!A:J, 10,FALSE)</f>
        <v>Patrina Tanner</v>
      </c>
      <c r="J813" s="3" t="str">
        <f>VLOOKUP(B813,Customers!A:J,8,FALSE)</f>
        <v>NY</v>
      </c>
      <c r="K813" s="3" t="str">
        <f>VLOOKUP(B813,Customers!A:J,7,FALSE)</f>
        <v>Scarsdale</v>
      </c>
      <c r="L813" s="3" t="str">
        <f>VLOOKUP(H813,Staff!A:I,9,FALSE)</f>
        <v>Venita Daniel</v>
      </c>
      <c r="M813" s="3" t="str">
        <f>VLOOKUP(G813,Store!A:H,2,FALSE)</f>
        <v>Baldwin Bikes</v>
      </c>
      <c r="N813" s="3" t="str">
        <f>VLOOKUP(G813,Store!A:H,6,FALSE)</f>
        <v>Baldwin</v>
      </c>
      <c r="O813" s="3" t="s">
        <v>16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>
        <v>813.0</v>
      </c>
      <c r="B814" s="1">
        <v>1203.0</v>
      </c>
      <c r="C814" s="1">
        <v>4.0</v>
      </c>
      <c r="D814" s="4">
        <v>42826.0</v>
      </c>
      <c r="E814" s="4">
        <v>42828.0</v>
      </c>
      <c r="F814" s="4">
        <v>42827.0</v>
      </c>
      <c r="G814" s="1">
        <v>3.0</v>
      </c>
      <c r="H814" s="1">
        <v>9.0</v>
      </c>
      <c r="I814" s="3" t="str">
        <f>VLOOKUP(B814,Customers!A:J, 10,FALSE)</f>
        <v>Georgeann Rojas</v>
      </c>
      <c r="J814" s="3" t="str">
        <f>VLOOKUP(B814,Customers!A:J,8,FALSE)</f>
        <v>TX</v>
      </c>
      <c r="K814" s="3" t="str">
        <f>VLOOKUP(B814,Customers!A:J,7,FALSE)</f>
        <v>Desoto</v>
      </c>
      <c r="L814" s="3" t="str">
        <f>VLOOKUP(H814,Staff!A:I,9,FALSE)</f>
        <v>Layla Terrell</v>
      </c>
      <c r="M814" s="3" t="str">
        <f>VLOOKUP(G814,Store!A:H,2,FALSE)</f>
        <v>Rowlett Bikes</v>
      </c>
      <c r="N814" s="3" t="str">
        <f>VLOOKUP(G814,Store!A:H,6,FALSE)</f>
        <v>Rowlett</v>
      </c>
      <c r="O814" s="3" t="s">
        <v>17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>
        <v>814.0</v>
      </c>
      <c r="B815" s="1">
        <v>629.0</v>
      </c>
      <c r="C815" s="1">
        <v>4.0</v>
      </c>
      <c r="D815" s="4">
        <v>42827.0</v>
      </c>
      <c r="E815" s="4">
        <v>42830.0</v>
      </c>
      <c r="F815" s="4">
        <v>42828.0</v>
      </c>
      <c r="G815" s="1">
        <v>2.0</v>
      </c>
      <c r="H815" s="1">
        <v>7.0</v>
      </c>
      <c r="I815" s="3" t="str">
        <f>VLOOKUP(B815,Customers!A:J, 10,FALSE)</f>
        <v>Evelina Byrd</v>
      </c>
      <c r="J815" s="3" t="str">
        <f>VLOOKUP(B815,Customers!A:J,8,FALSE)</f>
        <v>NY</v>
      </c>
      <c r="K815" s="3" t="str">
        <f>VLOOKUP(B815,Customers!A:J,7,FALSE)</f>
        <v>Buffalo</v>
      </c>
      <c r="L815" s="3" t="str">
        <f>VLOOKUP(H815,Staff!A:I,9,FALSE)</f>
        <v>Venita Daniel</v>
      </c>
      <c r="M815" s="3" t="str">
        <f>VLOOKUP(G815,Store!A:H,2,FALSE)</f>
        <v>Baldwin Bikes</v>
      </c>
      <c r="N815" s="3" t="str">
        <f>VLOOKUP(G815,Store!A:H,6,FALSE)</f>
        <v>Baldwin</v>
      </c>
      <c r="O815" s="3" t="s">
        <v>16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>
        <v>815.0</v>
      </c>
      <c r="B816" s="1">
        <v>1251.0</v>
      </c>
      <c r="C816" s="1">
        <v>4.0</v>
      </c>
      <c r="D816" s="4">
        <v>42828.0</v>
      </c>
      <c r="E816" s="4">
        <v>42830.0</v>
      </c>
      <c r="F816" s="4">
        <v>42829.0</v>
      </c>
      <c r="G816" s="1">
        <v>1.0</v>
      </c>
      <c r="H816" s="1">
        <v>3.0</v>
      </c>
      <c r="I816" s="3" t="str">
        <f>VLOOKUP(B816,Customers!A:J, 10,FALSE)</f>
        <v>Nanette Roman</v>
      </c>
      <c r="J816" s="3" t="str">
        <f>VLOOKUP(B816,Customers!A:J,8,FALSE)</f>
        <v>CA</v>
      </c>
      <c r="K816" s="3" t="str">
        <f>VLOOKUP(B816,Customers!A:J,7,FALSE)</f>
        <v>Glendora</v>
      </c>
      <c r="L816" s="3" t="str">
        <f>VLOOKUP(H816,Staff!A:I,9,FALSE)</f>
        <v>Genna Serrano</v>
      </c>
      <c r="M816" s="3" t="str">
        <f>VLOOKUP(G816,Store!A:H,2,FALSE)</f>
        <v>Santa Cruz Bikes</v>
      </c>
      <c r="N816" s="3" t="str">
        <f>VLOOKUP(G816,Store!A:H,6,FALSE)</f>
        <v>Santa Cruz</v>
      </c>
      <c r="O816" s="3" t="s">
        <v>15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>
        <v>816.0</v>
      </c>
      <c r="B817" s="1">
        <v>811.0</v>
      </c>
      <c r="C817" s="1">
        <v>4.0</v>
      </c>
      <c r="D817" s="4">
        <v>42828.0</v>
      </c>
      <c r="E817" s="4">
        <v>42830.0</v>
      </c>
      <c r="F817" s="4">
        <v>42830.0</v>
      </c>
      <c r="G817" s="1">
        <v>2.0</v>
      </c>
      <c r="H817" s="1">
        <v>6.0</v>
      </c>
      <c r="I817" s="3" t="str">
        <f>VLOOKUP(B817,Customers!A:J, 10,FALSE)</f>
        <v>Shanti Johnston</v>
      </c>
      <c r="J817" s="3" t="str">
        <f>VLOOKUP(B817,Customers!A:J,8,FALSE)</f>
        <v>NY</v>
      </c>
      <c r="K817" s="3" t="str">
        <f>VLOOKUP(B817,Customers!A:J,7,FALSE)</f>
        <v>Staten Island</v>
      </c>
      <c r="L817" s="3" t="str">
        <f>VLOOKUP(H817,Staff!A:I,9,FALSE)</f>
        <v>Marcelene Boyer</v>
      </c>
      <c r="M817" s="3" t="str">
        <f>VLOOKUP(G817,Store!A:H,2,FALSE)</f>
        <v>Baldwin Bikes</v>
      </c>
      <c r="N817" s="3" t="str">
        <f>VLOOKUP(G817,Store!A:H,6,FALSE)</f>
        <v>Baldwin</v>
      </c>
      <c r="O817" s="3" t="s">
        <v>16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>
        <v>817.0</v>
      </c>
      <c r="B818" s="1">
        <v>301.0</v>
      </c>
      <c r="C818" s="1">
        <v>4.0</v>
      </c>
      <c r="D818" s="4">
        <v>42829.0</v>
      </c>
      <c r="E818" s="4">
        <v>42830.0</v>
      </c>
      <c r="F818" s="4">
        <v>42832.0</v>
      </c>
      <c r="G818" s="1">
        <v>2.0</v>
      </c>
      <c r="H818" s="1">
        <v>7.0</v>
      </c>
      <c r="I818" s="3" t="str">
        <f>VLOOKUP(B818,Customers!A:J, 10,FALSE)</f>
        <v>Annett Garrett</v>
      </c>
      <c r="J818" s="3" t="str">
        <f>VLOOKUP(B818,Customers!A:J,8,FALSE)</f>
        <v>NY</v>
      </c>
      <c r="K818" s="3" t="str">
        <f>VLOOKUP(B818,Customers!A:J,7,FALSE)</f>
        <v>Scarsdale</v>
      </c>
      <c r="L818" s="3" t="str">
        <f>VLOOKUP(H818,Staff!A:I,9,FALSE)</f>
        <v>Venita Daniel</v>
      </c>
      <c r="M818" s="3" t="str">
        <f>VLOOKUP(G818,Store!A:H,2,FALSE)</f>
        <v>Baldwin Bikes</v>
      </c>
      <c r="N818" s="3" t="str">
        <f>VLOOKUP(G818,Store!A:H,6,FALSE)</f>
        <v>Baldwin</v>
      </c>
      <c r="O818" s="3" t="s">
        <v>16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>
        <v>818.0</v>
      </c>
      <c r="B819" s="1">
        <v>1319.0</v>
      </c>
      <c r="C819" s="1">
        <v>4.0</v>
      </c>
      <c r="D819" s="4">
        <v>42829.0</v>
      </c>
      <c r="E819" s="4">
        <v>42832.0</v>
      </c>
      <c r="F819" s="4">
        <v>42832.0</v>
      </c>
      <c r="G819" s="1">
        <v>2.0</v>
      </c>
      <c r="H819" s="1">
        <v>6.0</v>
      </c>
      <c r="I819" s="3" t="str">
        <f>VLOOKUP(B819,Customers!A:J, 10,FALSE)</f>
        <v>Claris Santiago</v>
      </c>
      <c r="J819" s="3" t="str">
        <f>VLOOKUP(B819,Customers!A:J,8,FALSE)</f>
        <v>NY</v>
      </c>
      <c r="K819" s="3" t="str">
        <f>VLOOKUP(B819,Customers!A:J,7,FALSE)</f>
        <v>Newburgh</v>
      </c>
      <c r="L819" s="3" t="str">
        <f>VLOOKUP(H819,Staff!A:I,9,FALSE)</f>
        <v>Marcelene Boyer</v>
      </c>
      <c r="M819" s="3" t="str">
        <f>VLOOKUP(G819,Store!A:H,2,FALSE)</f>
        <v>Baldwin Bikes</v>
      </c>
      <c r="N819" s="3" t="str">
        <f>VLOOKUP(G819,Store!A:H,6,FALSE)</f>
        <v>Baldwin</v>
      </c>
      <c r="O819" s="3" t="s">
        <v>16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>
        <v>819.0</v>
      </c>
      <c r="B820" s="1">
        <v>221.0</v>
      </c>
      <c r="C820" s="1">
        <v>4.0</v>
      </c>
      <c r="D820" s="4">
        <v>42829.0</v>
      </c>
      <c r="E820" s="4">
        <v>42832.0</v>
      </c>
      <c r="F820" s="4">
        <v>42830.0</v>
      </c>
      <c r="G820" s="1">
        <v>3.0</v>
      </c>
      <c r="H820" s="1">
        <v>9.0</v>
      </c>
      <c r="I820" s="3" t="str">
        <f>VLOOKUP(B820,Customers!A:J, 10,FALSE)</f>
        <v>Clementine Mooney</v>
      </c>
      <c r="J820" s="3" t="str">
        <f>VLOOKUP(B820,Customers!A:J,8,FALSE)</f>
        <v>TX</v>
      </c>
      <c r="K820" s="3" t="str">
        <f>VLOOKUP(B820,Customers!A:J,7,FALSE)</f>
        <v>Mcallen</v>
      </c>
      <c r="L820" s="3" t="str">
        <f>VLOOKUP(H820,Staff!A:I,9,FALSE)</f>
        <v>Layla Terrell</v>
      </c>
      <c r="M820" s="3" t="str">
        <f>VLOOKUP(G820,Store!A:H,2,FALSE)</f>
        <v>Rowlett Bikes</v>
      </c>
      <c r="N820" s="3" t="str">
        <f>VLOOKUP(G820,Store!A:H,6,FALSE)</f>
        <v>Rowlett</v>
      </c>
      <c r="O820" s="3" t="s">
        <v>17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>
        <v>820.0</v>
      </c>
      <c r="B821" s="1">
        <v>725.0</v>
      </c>
      <c r="C821" s="1">
        <v>4.0</v>
      </c>
      <c r="D821" s="4">
        <v>42830.0</v>
      </c>
      <c r="E821" s="4">
        <v>42833.0</v>
      </c>
      <c r="F821" s="4">
        <v>42832.0</v>
      </c>
      <c r="G821" s="1">
        <v>2.0</v>
      </c>
      <c r="H821" s="1">
        <v>7.0</v>
      </c>
      <c r="I821" s="3" t="str">
        <f>VLOOKUP(B821,Customers!A:J, 10,FALSE)</f>
        <v>Carola Mcpherson</v>
      </c>
      <c r="J821" s="3" t="str">
        <f>VLOOKUP(B821,Customers!A:J,8,FALSE)</f>
        <v>NY</v>
      </c>
      <c r="K821" s="3" t="str">
        <f>VLOOKUP(B821,Customers!A:J,7,FALSE)</f>
        <v>Rego Park</v>
      </c>
      <c r="L821" s="3" t="str">
        <f>VLOOKUP(H821,Staff!A:I,9,FALSE)</f>
        <v>Venita Daniel</v>
      </c>
      <c r="M821" s="3" t="str">
        <f>VLOOKUP(G821,Store!A:H,2,FALSE)</f>
        <v>Baldwin Bikes</v>
      </c>
      <c r="N821" s="3" t="str">
        <f>VLOOKUP(G821,Store!A:H,6,FALSE)</f>
        <v>Baldwin</v>
      </c>
      <c r="O821" s="3" t="s">
        <v>16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>
        <v>821.0</v>
      </c>
      <c r="B822" s="1">
        <v>1181.0</v>
      </c>
      <c r="C822" s="1">
        <v>4.0</v>
      </c>
      <c r="D822" s="4">
        <v>42830.0</v>
      </c>
      <c r="E822" s="4">
        <v>42832.0</v>
      </c>
      <c r="F822" s="4">
        <v>42833.0</v>
      </c>
      <c r="G822" s="1">
        <v>2.0</v>
      </c>
      <c r="H822" s="1">
        <v>7.0</v>
      </c>
      <c r="I822" s="3" t="str">
        <f>VLOOKUP(B822,Customers!A:J, 10,FALSE)</f>
        <v>Agustina Lawrence</v>
      </c>
      <c r="J822" s="3" t="str">
        <f>VLOOKUP(B822,Customers!A:J,8,FALSE)</f>
        <v>NY</v>
      </c>
      <c r="K822" s="3" t="str">
        <f>VLOOKUP(B822,Customers!A:J,7,FALSE)</f>
        <v>Brooklyn</v>
      </c>
      <c r="L822" s="3" t="str">
        <f>VLOOKUP(H822,Staff!A:I,9,FALSE)</f>
        <v>Venita Daniel</v>
      </c>
      <c r="M822" s="3" t="str">
        <f>VLOOKUP(G822,Store!A:H,2,FALSE)</f>
        <v>Baldwin Bikes</v>
      </c>
      <c r="N822" s="3" t="str">
        <f>VLOOKUP(G822,Store!A:H,6,FALSE)</f>
        <v>Baldwin</v>
      </c>
      <c r="O822" s="3" t="s">
        <v>16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>
        <v>822.0</v>
      </c>
      <c r="B823" s="1">
        <v>294.0</v>
      </c>
      <c r="C823" s="1">
        <v>4.0</v>
      </c>
      <c r="D823" s="4">
        <v>42831.0</v>
      </c>
      <c r="E823" s="4">
        <v>42833.0</v>
      </c>
      <c r="F823" s="4">
        <v>42834.0</v>
      </c>
      <c r="G823" s="1">
        <v>2.0</v>
      </c>
      <c r="H823" s="1">
        <v>7.0</v>
      </c>
      <c r="I823" s="3" t="str">
        <f>VLOOKUP(B823,Customers!A:J, 10,FALSE)</f>
        <v>Clementina Sargent</v>
      </c>
      <c r="J823" s="3" t="str">
        <f>VLOOKUP(B823,Customers!A:J,8,FALSE)</f>
        <v>NY</v>
      </c>
      <c r="K823" s="3" t="str">
        <f>VLOOKUP(B823,Customers!A:J,7,FALSE)</f>
        <v>Rome</v>
      </c>
      <c r="L823" s="3" t="str">
        <f>VLOOKUP(H823,Staff!A:I,9,FALSE)</f>
        <v>Venita Daniel</v>
      </c>
      <c r="M823" s="3" t="str">
        <f>VLOOKUP(G823,Store!A:H,2,FALSE)</f>
        <v>Baldwin Bikes</v>
      </c>
      <c r="N823" s="3" t="str">
        <f>VLOOKUP(G823,Store!A:H,6,FALSE)</f>
        <v>Baldwin</v>
      </c>
      <c r="O823" s="3" t="s">
        <v>16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>
        <v>823.0</v>
      </c>
      <c r="B824" s="1">
        <v>415.0</v>
      </c>
      <c r="C824" s="1">
        <v>4.0</v>
      </c>
      <c r="D824" s="4">
        <v>42831.0</v>
      </c>
      <c r="E824" s="4">
        <v>42832.0</v>
      </c>
      <c r="F824" s="4">
        <v>42833.0</v>
      </c>
      <c r="G824" s="1">
        <v>3.0</v>
      </c>
      <c r="H824" s="1">
        <v>8.0</v>
      </c>
      <c r="I824" s="3" t="str">
        <f>VLOOKUP(B824,Customers!A:J, 10,FALSE)</f>
        <v>Gwendolyn Miller</v>
      </c>
      <c r="J824" s="3" t="str">
        <f>VLOOKUP(B824,Customers!A:J,8,FALSE)</f>
        <v>TX</v>
      </c>
      <c r="K824" s="3" t="str">
        <f>VLOOKUP(B824,Customers!A:J,7,FALSE)</f>
        <v>Harlingen</v>
      </c>
      <c r="L824" s="3" t="str">
        <f>VLOOKUP(H824,Staff!A:I,9,FALSE)</f>
        <v>Kali Vargas</v>
      </c>
      <c r="M824" s="3" t="str">
        <f>VLOOKUP(G824,Store!A:H,2,FALSE)</f>
        <v>Rowlett Bikes</v>
      </c>
      <c r="N824" s="3" t="str">
        <f>VLOOKUP(G824,Store!A:H,6,FALSE)</f>
        <v>Rowlett</v>
      </c>
      <c r="O824" s="3" t="s">
        <v>17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>
        <v>824.0</v>
      </c>
      <c r="B825" s="1">
        <v>993.0</v>
      </c>
      <c r="C825" s="1">
        <v>4.0</v>
      </c>
      <c r="D825" s="4">
        <v>42832.0</v>
      </c>
      <c r="E825" s="4">
        <v>42834.0</v>
      </c>
      <c r="F825" s="4">
        <v>42835.0</v>
      </c>
      <c r="G825" s="1">
        <v>1.0</v>
      </c>
      <c r="H825" s="1">
        <v>2.0</v>
      </c>
      <c r="I825" s="3" t="str">
        <f>VLOOKUP(B825,Customers!A:J, 10,FALSE)</f>
        <v>Giovanna Jefferson</v>
      </c>
      <c r="J825" s="3" t="str">
        <f>VLOOKUP(B825,Customers!A:J,8,FALSE)</f>
        <v>CA</v>
      </c>
      <c r="K825" s="3" t="str">
        <f>VLOOKUP(B825,Customers!A:J,7,FALSE)</f>
        <v>Ridgecrest</v>
      </c>
      <c r="L825" s="3" t="str">
        <f>VLOOKUP(H825,Staff!A:I,9,FALSE)</f>
        <v>Mireya Copeland</v>
      </c>
      <c r="M825" s="3" t="str">
        <f>VLOOKUP(G825,Store!A:H,2,FALSE)</f>
        <v>Santa Cruz Bikes</v>
      </c>
      <c r="N825" s="3" t="str">
        <f>VLOOKUP(G825,Store!A:H,6,FALSE)</f>
        <v>Santa Cruz</v>
      </c>
      <c r="O825" s="3" t="s">
        <v>15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>
        <v>825.0</v>
      </c>
      <c r="B826" s="1">
        <v>10.0</v>
      </c>
      <c r="C826" s="1">
        <v>4.0</v>
      </c>
      <c r="D826" s="4">
        <v>42832.0</v>
      </c>
      <c r="E826" s="4">
        <v>42833.0</v>
      </c>
      <c r="F826" s="4">
        <v>42834.0</v>
      </c>
      <c r="G826" s="1">
        <v>2.0</v>
      </c>
      <c r="H826" s="1">
        <v>7.0</v>
      </c>
      <c r="I826" s="3" t="str">
        <f>VLOOKUP(B826,Customers!A:J, 10,FALSE)</f>
        <v>Pamelia Newman</v>
      </c>
      <c r="J826" s="3" t="str">
        <f>VLOOKUP(B826,Customers!A:J,8,FALSE)</f>
        <v>NY</v>
      </c>
      <c r="K826" s="3" t="str">
        <f>VLOOKUP(B826,Customers!A:J,7,FALSE)</f>
        <v>Monroe</v>
      </c>
      <c r="L826" s="3" t="str">
        <f>VLOOKUP(H826,Staff!A:I,9,FALSE)</f>
        <v>Venita Daniel</v>
      </c>
      <c r="M826" s="3" t="str">
        <f>VLOOKUP(G826,Store!A:H,2,FALSE)</f>
        <v>Baldwin Bikes</v>
      </c>
      <c r="N826" s="3" t="str">
        <f>VLOOKUP(G826,Store!A:H,6,FALSE)</f>
        <v>Baldwin</v>
      </c>
      <c r="O826" s="3" t="s">
        <v>16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>
        <v>826.0</v>
      </c>
      <c r="B827" s="1">
        <v>45.0</v>
      </c>
      <c r="C827" s="1">
        <v>4.0</v>
      </c>
      <c r="D827" s="4">
        <v>42832.0</v>
      </c>
      <c r="E827" s="4">
        <v>42835.0</v>
      </c>
      <c r="F827" s="4">
        <v>42835.0</v>
      </c>
      <c r="G827" s="1">
        <v>2.0</v>
      </c>
      <c r="H827" s="1">
        <v>6.0</v>
      </c>
      <c r="I827" s="3" t="str">
        <f>VLOOKUP(B827,Customers!A:J, 10,FALSE)</f>
        <v>Bennett Armstrong</v>
      </c>
      <c r="J827" s="3" t="str">
        <f>VLOOKUP(B827,Customers!A:J,8,FALSE)</f>
        <v>NY</v>
      </c>
      <c r="K827" s="3" t="str">
        <f>VLOOKUP(B827,Customers!A:J,7,FALSE)</f>
        <v>Bethpage</v>
      </c>
      <c r="L827" s="3" t="str">
        <f>VLOOKUP(H827,Staff!A:I,9,FALSE)</f>
        <v>Marcelene Boyer</v>
      </c>
      <c r="M827" s="3" t="str">
        <f>VLOOKUP(G827,Store!A:H,2,FALSE)</f>
        <v>Baldwin Bikes</v>
      </c>
      <c r="N827" s="3" t="str">
        <f>VLOOKUP(G827,Store!A:H,6,FALSE)</f>
        <v>Baldwin</v>
      </c>
      <c r="O827" s="3" t="s">
        <v>16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>
        <v>827.0</v>
      </c>
      <c r="B828" s="1">
        <v>666.0</v>
      </c>
      <c r="C828" s="1">
        <v>4.0</v>
      </c>
      <c r="D828" s="4">
        <v>42832.0</v>
      </c>
      <c r="E828" s="4">
        <v>42835.0</v>
      </c>
      <c r="F828" s="4">
        <v>42835.0</v>
      </c>
      <c r="G828" s="1">
        <v>2.0</v>
      </c>
      <c r="H828" s="1">
        <v>7.0</v>
      </c>
      <c r="I828" s="3" t="str">
        <f>VLOOKUP(B828,Customers!A:J, 10,FALSE)</f>
        <v>Brittni Green</v>
      </c>
      <c r="J828" s="3" t="str">
        <f>VLOOKUP(B828,Customers!A:J,8,FALSE)</f>
        <v>NY</v>
      </c>
      <c r="K828" s="3" t="str">
        <f>VLOOKUP(B828,Customers!A:J,7,FALSE)</f>
        <v>Floral Park</v>
      </c>
      <c r="L828" s="3" t="str">
        <f>VLOOKUP(H828,Staff!A:I,9,FALSE)</f>
        <v>Venita Daniel</v>
      </c>
      <c r="M828" s="3" t="str">
        <f>VLOOKUP(G828,Store!A:H,2,FALSE)</f>
        <v>Baldwin Bikes</v>
      </c>
      <c r="N828" s="3" t="str">
        <f>VLOOKUP(G828,Store!A:H,6,FALSE)</f>
        <v>Baldwin</v>
      </c>
      <c r="O828" s="3" t="s">
        <v>16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>
        <v>828.0</v>
      </c>
      <c r="B829" s="1">
        <v>246.0</v>
      </c>
      <c r="C829" s="1">
        <v>4.0</v>
      </c>
      <c r="D829" s="4">
        <v>42834.0</v>
      </c>
      <c r="E829" s="4">
        <v>42835.0</v>
      </c>
      <c r="F829" s="4">
        <v>42837.0</v>
      </c>
      <c r="G829" s="1">
        <v>2.0</v>
      </c>
      <c r="H829" s="1">
        <v>6.0</v>
      </c>
      <c r="I829" s="3" t="str">
        <f>VLOOKUP(B829,Customers!A:J, 10,FALSE)</f>
        <v>Dionne Norris</v>
      </c>
      <c r="J829" s="3" t="str">
        <f>VLOOKUP(B829,Customers!A:J,8,FALSE)</f>
        <v>NY</v>
      </c>
      <c r="K829" s="3" t="str">
        <f>VLOOKUP(B829,Customers!A:J,7,FALSE)</f>
        <v>Niagara Falls</v>
      </c>
      <c r="L829" s="3" t="str">
        <f>VLOOKUP(H829,Staff!A:I,9,FALSE)</f>
        <v>Marcelene Boyer</v>
      </c>
      <c r="M829" s="3" t="str">
        <f>VLOOKUP(G829,Store!A:H,2,FALSE)</f>
        <v>Baldwin Bikes</v>
      </c>
      <c r="N829" s="3" t="str">
        <f>VLOOKUP(G829,Store!A:H,6,FALSE)</f>
        <v>Baldwin</v>
      </c>
      <c r="O829" s="3" t="s">
        <v>16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>
        <v>829.0</v>
      </c>
      <c r="B830" s="1">
        <v>674.0</v>
      </c>
      <c r="C830" s="1">
        <v>4.0</v>
      </c>
      <c r="D830" s="4">
        <v>42834.0</v>
      </c>
      <c r="E830" s="4">
        <v>42835.0</v>
      </c>
      <c r="F830" s="4">
        <v>42835.0</v>
      </c>
      <c r="G830" s="1">
        <v>2.0</v>
      </c>
      <c r="H830" s="1">
        <v>7.0</v>
      </c>
      <c r="I830" s="3" t="str">
        <f>VLOOKUP(B830,Customers!A:J, 10,FALSE)</f>
        <v>Ira Moore</v>
      </c>
      <c r="J830" s="3" t="str">
        <f>VLOOKUP(B830,Customers!A:J,8,FALSE)</f>
        <v>NY</v>
      </c>
      <c r="K830" s="3" t="str">
        <f>VLOOKUP(B830,Customers!A:J,7,FALSE)</f>
        <v>Saratoga Springs</v>
      </c>
      <c r="L830" s="3" t="str">
        <f>VLOOKUP(H830,Staff!A:I,9,FALSE)</f>
        <v>Venita Daniel</v>
      </c>
      <c r="M830" s="3" t="str">
        <f>VLOOKUP(G830,Store!A:H,2,FALSE)</f>
        <v>Baldwin Bikes</v>
      </c>
      <c r="N830" s="3" t="str">
        <f>VLOOKUP(G830,Store!A:H,6,FALSE)</f>
        <v>Baldwin</v>
      </c>
      <c r="O830" s="3" t="s">
        <v>16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>
        <v>830.0</v>
      </c>
      <c r="B831" s="1">
        <v>431.0</v>
      </c>
      <c r="C831" s="1">
        <v>4.0</v>
      </c>
      <c r="D831" s="4">
        <v>42836.0</v>
      </c>
      <c r="E831" s="4">
        <v>42839.0</v>
      </c>
      <c r="F831" s="4">
        <v>42837.0</v>
      </c>
      <c r="G831" s="1">
        <v>2.0</v>
      </c>
      <c r="H831" s="1">
        <v>6.0</v>
      </c>
      <c r="I831" s="3" t="str">
        <f>VLOOKUP(B831,Customers!A:J, 10,FALSE)</f>
        <v>Luciano Marsh</v>
      </c>
      <c r="J831" s="3" t="str">
        <f>VLOOKUP(B831,Customers!A:J,8,FALSE)</f>
        <v>NY</v>
      </c>
      <c r="K831" s="3" t="str">
        <f>VLOOKUP(B831,Customers!A:J,7,FALSE)</f>
        <v>Bellmore</v>
      </c>
      <c r="L831" s="3" t="str">
        <f>VLOOKUP(H831,Staff!A:I,9,FALSE)</f>
        <v>Marcelene Boyer</v>
      </c>
      <c r="M831" s="3" t="str">
        <f>VLOOKUP(G831,Store!A:H,2,FALSE)</f>
        <v>Baldwin Bikes</v>
      </c>
      <c r="N831" s="3" t="str">
        <f>VLOOKUP(G831,Store!A:H,6,FALSE)</f>
        <v>Baldwin</v>
      </c>
      <c r="O831" s="3" t="s">
        <v>16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>
        <v>831.0</v>
      </c>
      <c r="B832" s="1">
        <v>1000.0</v>
      </c>
      <c r="C832" s="1">
        <v>4.0</v>
      </c>
      <c r="D832" s="4">
        <v>42836.0</v>
      </c>
      <c r="E832" s="4">
        <v>42837.0</v>
      </c>
      <c r="F832" s="4">
        <v>42837.0</v>
      </c>
      <c r="G832" s="1">
        <v>2.0</v>
      </c>
      <c r="H832" s="1">
        <v>7.0</v>
      </c>
      <c r="I832" s="3" t="str">
        <f>VLOOKUP(B832,Customers!A:J, 10,FALSE)</f>
        <v>Shiloh Reeves</v>
      </c>
      <c r="J832" s="3" t="str">
        <f>VLOOKUP(B832,Customers!A:J,8,FALSE)</f>
        <v>NY</v>
      </c>
      <c r="K832" s="3" t="str">
        <f>VLOOKUP(B832,Customers!A:J,7,FALSE)</f>
        <v>West Babylon</v>
      </c>
      <c r="L832" s="3" t="str">
        <f>VLOOKUP(H832,Staff!A:I,9,FALSE)</f>
        <v>Venita Daniel</v>
      </c>
      <c r="M832" s="3" t="str">
        <f>VLOOKUP(G832,Store!A:H,2,FALSE)</f>
        <v>Baldwin Bikes</v>
      </c>
      <c r="N832" s="3" t="str">
        <f>VLOOKUP(G832,Store!A:H,6,FALSE)</f>
        <v>Baldwin</v>
      </c>
      <c r="O832" s="3" t="s">
        <v>16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>
        <v>832.0</v>
      </c>
      <c r="B833" s="1">
        <v>1215.0</v>
      </c>
      <c r="C833" s="1">
        <v>4.0</v>
      </c>
      <c r="D833" s="4">
        <v>42836.0</v>
      </c>
      <c r="E833" s="4">
        <v>42837.0</v>
      </c>
      <c r="F833" s="4">
        <v>42837.0</v>
      </c>
      <c r="G833" s="1">
        <v>2.0</v>
      </c>
      <c r="H833" s="1">
        <v>7.0</v>
      </c>
      <c r="I833" s="3" t="str">
        <f>VLOOKUP(B833,Customers!A:J, 10,FALSE)</f>
        <v>Karl Stephens</v>
      </c>
      <c r="J833" s="3" t="str">
        <f>VLOOKUP(B833,Customers!A:J,8,FALSE)</f>
        <v>NY</v>
      </c>
      <c r="K833" s="3" t="str">
        <f>VLOOKUP(B833,Customers!A:J,7,FALSE)</f>
        <v>Rockville Centre</v>
      </c>
      <c r="L833" s="3" t="str">
        <f>VLOOKUP(H833,Staff!A:I,9,FALSE)</f>
        <v>Venita Daniel</v>
      </c>
      <c r="M833" s="3" t="str">
        <f>VLOOKUP(G833,Store!A:H,2,FALSE)</f>
        <v>Baldwin Bikes</v>
      </c>
      <c r="N833" s="3" t="str">
        <f>VLOOKUP(G833,Store!A:H,6,FALSE)</f>
        <v>Baldwin</v>
      </c>
      <c r="O833" s="3" t="s">
        <v>16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>
        <v>833.0</v>
      </c>
      <c r="B834" s="1">
        <v>406.0</v>
      </c>
      <c r="C834" s="1">
        <v>4.0</v>
      </c>
      <c r="D834" s="4">
        <v>42837.0</v>
      </c>
      <c r="E834" s="4">
        <v>42839.0</v>
      </c>
      <c r="F834" s="4">
        <v>42840.0</v>
      </c>
      <c r="G834" s="1">
        <v>2.0</v>
      </c>
      <c r="H834" s="1">
        <v>7.0</v>
      </c>
      <c r="I834" s="3" t="str">
        <f>VLOOKUP(B834,Customers!A:J, 10,FALSE)</f>
        <v>Kerrie O'neill</v>
      </c>
      <c r="J834" s="3" t="str">
        <f>VLOOKUP(B834,Customers!A:J,8,FALSE)</f>
        <v>NY</v>
      </c>
      <c r="K834" s="3" t="str">
        <f>VLOOKUP(B834,Customers!A:J,7,FALSE)</f>
        <v>Shirley</v>
      </c>
      <c r="L834" s="3" t="str">
        <f>VLOOKUP(H834,Staff!A:I,9,FALSE)</f>
        <v>Venita Daniel</v>
      </c>
      <c r="M834" s="3" t="str">
        <f>VLOOKUP(G834,Store!A:H,2,FALSE)</f>
        <v>Baldwin Bikes</v>
      </c>
      <c r="N834" s="3" t="str">
        <f>VLOOKUP(G834,Store!A:H,6,FALSE)</f>
        <v>Baldwin</v>
      </c>
      <c r="O834" s="3" t="s">
        <v>16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>
        <v>834.0</v>
      </c>
      <c r="B835" s="1">
        <v>890.0</v>
      </c>
      <c r="C835" s="1">
        <v>4.0</v>
      </c>
      <c r="D835" s="4">
        <v>42837.0</v>
      </c>
      <c r="E835" s="4">
        <v>42838.0</v>
      </c>
      <c r="F835" s="4">
        <v>42840.0</v>
      </c>
      <c r="G835" s="1">
        <v>2.0</v>
      </c>
      <c r="H835" s="1">
        <v>6.0</v>
      </c>
      <c r="I835" s="3" t="str">
        <f>VLOOKUP(B835,Customers!A:J, 10,FALSE)</f>
        <v>Rosanne George</v>
      </c>
      <c r="J835" s="3" t="str">
        <f>VLOOKUP(B835,Customers!A:J,8,FALSE)</f>
        <v>NY</v>
      </c>
      <c r="K835" s="3" t="str">
        <f>VLOOKUP(B835,Customers!A:J,7,FALSE)</f>
        <v>Ossining</v>
      </c>
      <c r="L835" s="3" t="str">
        <f>VLOOKUP(H835,Staff!A:I,9,FALSE)</f>
        <v>Marcelene Boyer</v>
      </c>
      <c r="M835" s="3" t="str">
        <f>VLOOKUP(G835,Store!A:H,2,FALSE)</f>
        <v>Baldwin Bikes</v>
      </c>
      <c r="N835" s="3" t="str">
        <f>VLOOKUP(G835,Store!A:H,6,FALSE)</f>
        <v>Baldwin</v>
      </c>
      <c r="O835" s="3" t="s">
        <v>16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>
        <v>835.0</v>
      </c>
      <c r="B836" s="1">
        <v>940.0</v>
      </c>
      <c r="C836" s="1">
        <v>4.0</v>
      </c>
      <c r="D836" s="4">
        <v>42838.0</v>
      </c>
      <c r="E836" s="4">
        <v>42840.0</v>
      </c>
      <c r="F836" s="4">
        <v>42839.0</v>
      </c>
      <c r="G836" s="1">
        <v>1.0</v>
      </c>
      <c r="H836" s="1">
        <v>2.0</v>
      </c>
      <c r="I836" s="3" t="str">
        <f>VLOOKUP(B836,Customers!A:J, 10,FALSE)</f>
        <v>Marina Hinton</v>
      </c>
      <c r="J836" s="3" t="str">
        <f>VLOOKUP(B836,Customers!A:J,8,FALSE)</f>
        <v>CA</v>
      </c>
      <c r="K836" s="3" t="str">
        <f>VLOOKUP(B836,Customers!A:J,7,FALSE)</f>
        <v>Encino</v>
      </c>
      <c r="L836" s="3" t="str">
        <f>VLOOKUP(H836,Staff!A:I,9,FALSE)</f>
        <v>Mireya Copeland</v>
      </c>
      <c r="M836" s="3" t="str">
        <f>VLOOKUP(G836,Store!A:H,2,FALSE)</f>
        <v>Santa Cruz Bikes</v>
      </c>
      <c r="N836" s="3" t="str">
        <f>VLOOKUP(G836,Store!A:H,6,FALSE)</f>
        <v>Santa Cruz</v>
      </c>
      <c r="O836" s="3" t="s">
        <v>15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>
        <v>836.0</v>
      </c>
      <c r="B837" s="1">
        <v>455.0</v>
      </c>
      <c r="C837" s="1">
        <v>4.0</v>
      </c>
      <c r="D837" s="4">
        <v>42838.0</v>
      </c>
      <c r="E837" s="4">
        <v>42841.0</v>
      </c>
      <c r="F837" s="4">
        <v>42839.0</v>
      </c>
      <c r="G837" s="1">
        <v>2.0</v>
      </c>
      <c r="H837" s="1">
        <v>6.0</v>
      </c>
      <c r="I837" s="3" t="str">
        <f>VLOOKUP(B837,Customers!A:J, 10,FALSE)</f>
        <v>Sherita Cherry</v>
      </c>
      <c r="J837" s="3" t="str">
        <f>VLOOKUP(B837,Customers!A:J,8,FALSE)</f>
        <v>NY</v>
      </c>
      <c r="K837" s="3" t="str">
        <f>VLOOKUP(B837,Customers!A:J,7,FALSE)</f>
        <v>Liverpool</v>
      </c>
      <c r="L837" s="3" t="str">
        <f>VLOOKUP(H837,Staff!A:I,9,FALSE)</f>
        <v>Marcelene Boyer</v>
      </c>
      <c r="M837" s="3" t="str">
        <f>VLOOKUP(G837,Store!A:H,2,FALSE)</f>
        <v>Baldwin Bikes</v>
      </c>
      <c r="N837" s="3" t="str">
        <f>VLOOKUP(G837,Store!A:H,6,FALSE)</f>
        <v>Baldwin</v>
      </c>
      <c r="O837" s="3" t="s">
        <v>16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>
        <v>837.0</v>
      </c>
      <c r="B838" s="1">
        <v>948.0</v>
      </c>
      <c r="C838" s="1">
        <v>4.0</v>
      </c>
      <c r="D838" s="4">
        <v>42838.0</v>
      </c>
      <c r="E838" s="4">
        <v>42841.0</v>
      </c>
      <c r="F838" s="4">
        <v>42839.0</v>
      </c>
      <c r="G838" s="1">
        <v>2.0</v>
      </c>
      <c r="H838" s="1">
        <v>7.0</v>
      </c>
      <c r="I838" s="3" t="str">
        <f>VLOOKUP(B838,Customers!A:J, 10,FALSE)</f>
        <v>Siobhan Lang</v>
      </c>
      <c r="J838" s="3" t="str">
        <f>VLOOKUP(B838,Customers!A:J,8,FALSE)</f>
        <v>NY</v>
      </c>
      <c r="K838" s="3" t="str">
        <f>VLOOKUP(B838,Customers!A:J,7,FALSE)</f>
        <v>Levittown</v>
      </c>
      <c r="L838" s="3" t="str">
        <f>VLOOKUP(H838,Staff!A:I,9,FALSE)</f>
        <v>Venita Daniel</v>
      </c>
      <c r="M838" s="3" t="str">
        <f>VLOOKUP(G838,Store!A:H,2,FALSE)</f>
        <v>Baldwin Bikes</v>
      </c>
      <c r="N838" s="3" t="str">
        <f>VLOOKUP(G838,Store!A:H,6,FALSE)</f>
        <v>Baldwin</v>
      </c>
      <c r="O838" s="3" t="s">
        <v>16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>
        <v>838.0</v>
      </c>
      <c r="B839" s="1">
        <v>1395.0</v>
      </c>
      <c r="C839" s="1">
        <v>4.0</v>
      </c>
      <c r="D839" s="4">
        <v>42839.0</v>
      </c>
      <c r="E839" s="4">
        <v>42842.0</v>
      </c>
      <c r="F839" s="4">
        <v>42840.0</v>
      </c>
      <c r="G839" s="1">
        <v>2.0</v>
      </c>
      <c r="H839" s="1">
        <v>7.0</v>
      </c>
      <c r="I839" s="3" t="str">
        <f>VLOOKUP(B839,Customers!A:J, 10,FALSE)</f>
        <v>Eliseo Knight</v>
      </c>
      <c r="J839" s="3" t="str">
        <f>VLOOKUP(B839,Customers!A:J,8,FALSE)</f>
        <v>NY</v>
      </c>
      <c r="K839" s="3" t="str">
        <f>VLOOKUP(B839,Customers!A:J,7,FALSE)</f>
        <v>Woodhaven</v>
      </c>
      <c r="L839" s="3" t="str">
        <f>VLOOKUP(H839,Staff!A:I,9,FALSE)</f>
        <v>Venita Daniel</v>
      </c>
      <c r="M839" s="3" t="str">
        <f>VLOOKUP(G839,Store!A:H,2,FALSE)</f>
        <v>Baldwin Bikes</v>
      </c>
      <c r="N839" s="3" t="str">
        <f>VLOOKUP(G839,Store!A:H,6,FALSE)</f>
        <v>Baldwin</v>
      </c>
      <c r="O839" s="3" t="s">
        <v>16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>
        <v>839.0</v>
      </c>
      <c r="B840" s="1">
        <v>1332.0</v>
      </c>
      <c r="C840" s="1">
        <v>4.0</v>
      </c>
      <c r="D840" s="4">
        <v>42840.0</v>
      </c>
      <c r="E840" s="4">
        <v>42843.0</v>
      </c>
      <c r="F840" s="4">
        <v>42841.0</v>
      </c>
      <c r="G840" s="1">
        <v>1.0</v>
      </c>
      <c r="H840" s="1">
        <v>3.0</v>
      </c>
      <c r="I840" s="3" t="str">
        <f>VLOOKUP(B840,Customers!A:J, 10,FALSE)</f>
        <v>Novella Ross</v>
      </c>
      <c r="J840" s="3" t="str">
        <f>VLOOKUP(B840,Customers!A:J,8,FALSE)</f>
        <v>CA</v>
      </c>
      <c r="K840" s="3" t="str">
        <f>VLOOKUP(B840,Customers!A:J,7,FALSE)</f>
        <v>Glendora</v>
      </c>
      <c r="L840" s="3" t="str">
        <f>VLOOKUP(H840,Staff!A:I,9,FALSE)</f>
        <v>Genna Serrano</v>
      </c>
      <c r="M840" s="3" t="str">
        <f>VLOOKUP(G840,Store!A:H,2,FALSE)</f>
        <v>Santa Cruz Bikes</v>
      </c>
      <c r="N840" s="3" t="str">
        <f>VLOOKUP(G840,Store!A:H,6,FALSE)</f>
        <v>Santa Cruz</v>
      </c>
      <c r="O840" s="3" t="s">
        <v>15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>
        <v>840.0</v>
      </c>
      <c r="B841" s="1">
        <v>372.0</v>
      </c>
      <c r="C841" s="1">
        <v>4.0</v>
      </c>
      <c r="D841" s="4">
        <v>42840.0</v>
      </c>
      <c r="E841" s="4">
        <v>42841.0</v>
      </c>
      <c r="F841" s="4">
        <v>42841.0</v>
      </c>
      <c r="G841" s="1">
        <v>2.0</v>
      </c>
      <c r="H841" s="1">
        <v>6.0</v>
      </c>
      <c r="I841" s="3" t="str">
        <f>VLOOKUP(B841,Customers!A:J, 10,FALSE)</f>
        <v>Collene Roman</v>
      </c>
      <c r="J841" s="3" t="str">
        <f>VLOOKUP(B841,Customers!A:J,8,FALSE)</f>
        <v>NY</v>
      </c>
      <c r="K841" s="3" t="str">
        <f>VLOOKUP(B841,Customers!A:J,7,FALSE)</f>
        <v>Wappingers Falls</v>
      </c>
      <c r="L841" s="3" t="str">
        <f>VLOOKUP(H841,Staff!A:I,9,FALSE)</f>
        <v>Marcelene Boyer</v>
      </c>
      <c r="M841" s="3" t="str">
        <f>VLOOKUP(G841,Store!A:H,2,FALSE)</f>
        <v>Baldwin Bikes</v>
      </c>
      <c r="N841" s="3" t="str">
        <f>VLOOKUP(G841,Store!A:H,6,FALSE)</f>
        <v>Baldwin</v>
      </c>
      <c r="O841" s="3" t="s">
        <v>16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>
        <v>841.0</v>
      </c>
      <c r="B842" s="1">
        <v>428.0</v>
      </c>
      <c r="C842" s="1">
        <v>4.0</v>
      </c>
      <c r="D842" s="4">
        <v>42840.0</v>
      </c>
      <c r="E842" s="4">
        <v>42843.0</v>
      </c>
      <c r="F842" s="4">
        <v>42842.0</v>
      </c>
      <c r="G842" s="1">
        <v>2.0</v>
      </c>
      <c r="H842" s="1">
        <v>7.0</v>
      </c>
      <c r="I842" s="3" t="str">
        <f>VLOOKUP(B842,Customers!A:J, 10,FALSE)</f>
        <v>Hipolito Padilla</v>
      </c>
      <c r="J842" s="3" t="str">
        <f>VLOOKUP(B842,Customers!A:J,8,FALSE)</f>
        <v>NY</v>
      </c>
      <c r="K842" s="3" t="str">
        <f>VLOOKUP(B842,Customers!A:J,7,FALSE)</f>
        <v>New Rochelle</v>
      </c>
      <c r="L842" s="3" t="str">
        <f>VLOOKUP(H842,Staff!A:I,9,FALSE)</f>
        <v>Venita Daniel</v>
      </c>
      <c r="M842" s="3" t="str">
        <f>VLOOKUP(G842,Store!A:H,2,FALSE)</f>
        <v>Baldwin Bikes</v>
      </c>
      <c r="N842" s="3" t="str">
        <f>VLOOKUP(G842,Store!A:H,6,FALSE)</f>
        <v>Baldwin</v>
      </c>
      <c r="O842" s="3" t="s">
        <v>16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>
        <v>842.0</v>
      </c>
      <c r="B843" s="1">
        <v>1133.0</v>
      </c>
      <c r="C843" s="1">
        <v>4.0</v>
      </c>
      <c r="D843" s="4">
        <v>42840.0</v>
      </c>
      <c r="E843" s="4">
        <v>42843.0</v>
      </c>
      <c r="F843" s="4">
        <v>42841.0</v>
      </c>
      <c r="G843" s="1">
        <v>2.0</v>
      </c>
      <c r="H843" s="1">
        <v>6.0</v>
      </c>
      <c r="I843" s="3" t="str">
        <f>VLOOKUP(B843,Customers!A:J, 10,FALSE)</f>
        <v>Dung King</v>
      </c>
      <c r="J843" s="3" t="str">
        <f>VLOOKUP(B843,Customers!A:J,8,FALSE)</f>
        <v>NY</v>
      </c>
      <c r="K843" s="3" t="str">
        <f>VLOOKUP(B843,Customers!A:J,7,FALSE)</f>
        <v>West Islip</v>
      </c>
      <c r="L843" s="3" t="str">
        <f>VLOOKUP(H843,Staff!A:I,9,FALSE)</f>
        <v>Marcelene Boyer</v>
      </c>
      <c r="M843" s="3" t="str">
        <f>VLOOKUP(G843,Store!A:H,2,FALSE)</f>
        <v>Baldwin Bikes</v>
      </c>
      <c r="N843" s="3" t="str">
        <f>VLOOKUP(G843,Store!A:H,6,FALSE)</f>
        <v>Baldwin</v>
      </c>
      <c r="O843" s="3" t="s">
        <v>16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>
        <v>843.0</v>
      </c>
      <c r="B844" s="1">
        <v>1059.0</v>
      </c>
      <c r="C844" s="1">
        <v>4.0</v>
      </c>
      <c r="D844" s="4">
        <v>42841.0</v>
      </c>
      <c r="E844" s="4">
        <v>42842.0</v>
      </c>
      <c r="F844" s="4">
        <v>42844.0</v>
      </c>
      <c r="G844" s="1">
        <v>2.0</v>
      </c>
      <c r="H844" s="1">
        <v>7.0</v>
      </c>
      <c r="I844" s="3" t="str">
        <f>VLOOKUP(B844,Customers!A:J, 10,FALSE)</f>
        <v>Season Harvey</v>
      </c>
      <c r="J844" s="3" t="str">
        <f>VLOOKUP(B844,Customers!A:J,8,FALSE)</f>
        <v>NY</v>
      </c>
      <c r="K844" s="3" t="str">
        <f>VLOOKUP(B844,Customers!A:J,7,FALSE)</f>
        <v>East Northport</v>
      </c>
      <c r="L844" s="3" t="str">
        <f>VLOOKUP(H844,Staff!A:I,9,FALSE)</f>
        <v>Venita Daniel</v>
      </c>
      <c r="M844" s="3" t="str">
        <f>VLOOKUP(G844,Store!A:H,2,FALSE)</f>
        <v>Baldwin Bikes</v>
      </c>
      <c r="N844" s="3" t="str">
        <f>VLOOKUP(G844,Store!A:H,6,FALSE)</f>
        <v>Baldwin</v>
      </c>
      <c r="O844" s="3" t="s">
        <v>16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>
        <v>844.0</v>
      </c>
      <c r="B845" s="1">
        <v>1436.0</v>
      </c>
      <c r="C845" s="1">
        <v>4.0</v>
      </c>
      <c r="D845" s="4">
        <v>42841.0</v>
      </c>
      <c r="E845" s="4">
        <v>42842.0</v>
      </c>
      <c r="F845" s="4">
        <v>42843.0</v>
      </c>
      <c r="G845" s="1">
        <v>2.0</v>
      </c>
      <c r="H845" s="1">
        <v>6.0</v>
      </c>
      <c r="I845" s="3" t="str">
        <f>VLOOKUP(B845,Customers!A:J, 10,FALSE)</f>
        <v>Macie Ayers</v>
      </c>
      <c r="J845" s="3" t="str">
        <f>VLOOKUP(B845,Customers!A:J,8,FALSE)</f>
        <v>NY</v>
      </c>
      <c r="K845" s="3" t="str">
        <f>VLOOKUP(B845,Customers!A:J,7,FALSE)</f>
        <v>Bellmore</v>
      </c>
      <c r="L845" s="3" t="str">
        <f>VLOOKUP(H845,Staff!A:I,9,FALSE)</f>
        <v>Marcelene Boyer</v>
      </c>
      <c r="M845" s="3" t="str">
        <f>VLOOKUP(G845,Store!A:H,2,FALSE)</f>
        <v>Baldwin Bikes</v>
      </c>
      <c r="N845" s="3" t="str">
        <f>VLOOKUP(G845,Store!A:H,6,FALSE)</f>
        <v>Baldwin</v>
      </c>
      <c r="O845" s="3" t="s">
        <v>16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>
        <v>845.0</v>
      </c>
      <c r="B846" s="1">
        <v>662.0</v>
      </c>
      <c r="C846" s="1">
        <v>4.0</v>
      </c>
      <c r="D846" s="4">
        <v>42842.0</v>
      </c>
      <c r="E846" s="4">
        <v>42843.0</v>
      </c>
      <c r="F846" s="4">
        <v>42843.0</v>
      </c>
      <c r="G846" s="1">
        <v>2.0</v>
      </c>
      <c r="H846" s="1">
        <v>7.0</v>
      </c>
      <c r="I846" s="3" t="str">
        <f>VLOOKUP(B846,Customers!A:J, 10,FALSE)</f>
        <v>Loraine Sykes</v>
      </c>
      <c r="J846" s="3" t="str">
        <f>VLOOKUP(B846,Customers!A:J,8,FALSE)</f>
        <v>NY</v>
      </c>
      <c r="K846" s="3" t="str">
        <f>VLOOKUP(B846,Customers!A:J,7,FALSE)</f>
        <v>Scarsdale</v>
      </c>
      <c r="L846" s="3" t="str">
        <f>VLOOKUP(H846,Staff!A:I,9,FALSE)</f>
        <v>Venita Daniel</v>
      </c>
      <c r="M846" s="3" t="str">
        <f>VLOOKUP(G846,Store!A:H,2,FALSE)</f>
        <v>Baldwin Bikes</v>
      </c>
      <c r="N846" s="3" t="str">
        <f>VLOOKUP(G846,Store!A:H,6,FALSE)</f>
        <v>Baldwin</v>
      </c>
      <c r="O846" s="3" t="s">
        <v>16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>
        <v>846.0</v>
      </c>
      <c r="B847" s="1">
        <v>715.0</v>
      </c>
      <c r="C847" s="1">
        <v>4.0</v>
      </c>
      <c r="D847" s="4">
        <v>42842.0</v>
      </c>
      <c r="E847" s="4">
        <v>42844.0</v>
      </c>
      <c r="F847" s="4">
        <v>42844.0</v>
      </c>
      <c r="G847" s="1">
        <v>2.0</v>
      </c>
      <c r="H847" s="1">
        <v>6.0</v>
      </c>
      <c r="I847" s="3" t="str">
        <f>VLOOKUP(B847,Customers!A:J, 10,FALSE)</f>
        <v>Larae Carney</v>
      </c>
      <c r="J847" s="3" t="str">
        <f>VLOOKUP(B847,Customers!A:J,8,FALSE)</f>
        <v>NY</v>
      </c>
      <c r="K847" s="3" t="str">
        <f>VLOOKUP(B847,Customers!A:J,7,FALSE)</f>
        <v>Sunnyside</v>
      </c>
      <c r="L847" s="3" t="str">
        <f>VLOOKUP(H847,Staff!A:I,9,FALSE)</f>
        <v>Marcelene Boyer</v>
      </c>
      <c r="M847" s="3" t="str">
        <f>VLOOKUP(G847,Store!A:H,2,FALSE)</f>
        <v>Baldwin Bikes</v>
      </c>
      <c r="N847" s="3" t="str">
        <f>VLOOKUP(G847,Store!A:H,6,FALSE)</f>
        <v>Baldwin</v>
      </c>
      <c r="O847" s="3" t="s">
        <v>16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>
        <v>847.0</v>
      </c>
      <c r="B848" s="1">
        <v>329.0</v>
      </c>
      <c r="C848" s="1">
        <v>4.0</v>
      </c>
      <c r="D848" s="4">
        <v>42843.0</v>
      </c>
      <c r="E848" s="4">
        <v>42844.0</v>
      </c>
      <c r="F848" s="4">
        <v>42844.0</v>
      </c>
      <c r="G848" s="1">
        <v>2.0</v>
      </c>
      <c r="H848" s="1">
        <v>7.0</v>
      </c>
      <c r="I848" s="3" t="str">
        <f>VLOOKUP(B848,Customers!A:J, 10,FALSE)</f>
        <v>Marilyn Frank</v>
      </c>
      <c r="J848" s="3" t="str">
        <f>VLOOKUP(B848,Customers!A:J,8,FALSE)</f>
        <v>NY</v>
      </c>
      <c r="K848" s="3" t="str">
        <f>VLOOKUP(B848,Customers!A:J,7,FALSE)</f>
        <v>Port Chester</v>
      </c>
      <c r="L848" s="3" t="str">
        <f>VLOOKUP(H848,Staff!A:I,9,FALSE)</f>
        <v>Venita Daniel</v>
      </c>
      <c r="M848" s="3" t="str">
        <f>VLOOKUP(G848,Store!A:H,2,FALSE)</f>
        <v>Baldwin Bikes</v>
      </c>
      <c r="N848" s="3" t="str">
        <f>VLOOKUP(G848,Store!A:H,6,FALSE)</f>
        <v>Baldwin</v>
      </c>
      <c r="O848" s="3" t="s">
        <v>16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>
        <v>848.0</v>
      </c>
      <c r="B849" s="1">
        <v>597.0</v>
      </c>
      <c r="C849" s="1">
        <v>4.0</v>
      </c>
      <c r="D849" s="4">
        <v>42843.0</v>
      </c>
      <c r="E849" s="4">
        <v>42845.0</v>
      </c>
      <c r="F849" s="4">
        <v>42845.0</v>
      </c>
      <c r="G849" s="1">
        <v>2.0</v>
      </c>
      <c r="H849" s="1">
        <v>7.0</v>
      </c>
      <c r="I849" s="3" t="str">
        <f>VLOOKUP(B849,Customers!A:J, 10,FALSE)</f>
        <v>Rudolf Moran</v>
      </c>
      <c r="J849" s="3" t="str">
        <f>VLOOKUP(B849,Customers!A:J,8,FALSE)</f>
        <v>NY</v>
      </c>
      <c r="K849" s="3" t="str">
        <f>VLOOKUP(B849,Customers!A:J,7,FALSE)</f>
        <v>Maspeth</v>
      </c>
      <c r="L849" s="3" t="str">
        <f>VLOOKUP(H849,Staff!A:I,9,FALSE)</f>
        <v>Venita Daniel</v>
      </c>
      <c r="M849" s="3" t="str">
        <f>VLOOKUP(G849,Store!A:H,2,FALSE)</f>
        <v>Baldwin Bikes</v>
      </c>
      <c r="N849" s="3" t="str">
        <f>VLOOKUP(G849,Store!A:H,6,FALSE)</f>
        <v>Baldwin</v>
      </c>
      <c r="O849" s="3" t="s">
        <v>16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>
        <v>849.0</v>
      </c>
      <c r="B850" s="1">
        <v>776.0</v>
      </c>
      <c r="C850" s="1">
        <v>4.0</v>
      </c>
      <c r="D850" s="4">
        <v>42844.0</v>
      </c>
      <c r="E850" s="4">
        <v>42845.0</v>
      </c>
      <c r="F850" s="4">
        <v>42846.0</v>
      </c>
      <c r="G850" s="1">
        <v>1.0</v>
      </c>
      <c r="H850" s="1">
        <v>2.0</v>
      </c>
      <c r="I850" s="3" t="str">
        <f>VLOOKUP(B850,Customers!A:J, 10,FALSE)</f>
        <v>Angelique Merrill</v>
      </c>
      <c r="J850" s="3" t="str">
        <f>VLOOKUP(B850,Customers!A:J,8,FALSE)</f>
        <v>CA</v>
      </c>
      <c r="K850" s="3" t="str">
        <f>VLOOKUP(B850,Customers!A:J,7,FALSE)</f>
        <v>South El Monte</v>
      </c>
      <c r="L850" s="3" t="str">
        <f>VLOOKUP(H850,Staff!A:I,9,FALSE)</f>
        <v>Mireya Copeland</v>
      </c>
      <c r="M850" s="3" t="str">
        <f>VLOOKUP(G850,Store!A:H,2,FALSE)</f>
        <v>Santa Cruz Bikes</v>
      </c>
      <c r="N850" s="3" t="str">
        <f>VLOOKUP(G850,Store!A:H,6,FALSE)</f>
        <v>Santa Cruz</v>
      </c>
      <c r="O850" s="3" t="s">
        <v>15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>
        <v>850.0</v>
      </c>
      <c r="B851" s="1">
        <v>1346.0</v>
      </c>
      <c r="C851" s="1">
        <v>4.0</v>
      </c>
      <c r="D851" s="4">
        <v>42844.0</v>
      </c>
      <c r="E851" s="4">
        <v>42847.0</v>
      </c>
      <c r="F851" s="4">
        <v>42847.0</v>
      </c>
      <c r="G851" s="1">
        <v>1.0</v>
      </c>
      <c r="H851" s="1">
        <v>3.0</v>
      </c>
      <c r="I851" s="3" t="str">
        <f>VLOOKUP(B851,Customers!A:J, 10,FALSE)</f>
        <v>Sanora Webster</v>
      </c>
      <c r="J851" s="3" t="str">
        <f>VLOOKUP(B851,Customers!A:J,8,FALSE)</f>
        <v>CA</v>
      </c>
      <c r="K851" s="3" t="str">
        <f>VLOOKUP(B851,Customers!A:J,7,FALSE)</f>
        <v>Los Angeles</v>
      </c>
      <c r="L851" s="3" t="str">
        <f>VLOOKUP(H851,Staff!A:I,9,FALSE)</f>
        <v>Genna Serrano</v>
      </c>
      <c r="M851" s="3" t="str">
        <f>VLOOKUP(G851,Store!A:H,2,FALSE)</f>
        <v>Santa Cruz Bikes</v>
      </c>
      <c r="N851" s="3" t="str">
        <f>VLOOKUP(G851,Store!A:H,6,FALSE)</f>
        <v>Santa Cruz</v>
      </c>
      <c r="O851" s="3" t="s">
        <v>15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>
        <v>851.0</v>
      </c>
      <c r="B852" s="1">
        <v>1139.0</v>
      </c>
      <c r="C852" s="1">
        <v>4.0</v>
      </c>
      <c r="D852" s="4">
        <v>42845.0</v>
      </c>
      <c r="E852" s="4">
        <v>42846.0</v>
      </c>
      <c r="F852" s="4">
        <v>42847.0</v>
      </c>
      <c r="G852" s="1">
        <v>2.0</v>
      </c>
      <c r="H852" s="1">
        <v>6.0</v>
      </c>
      <c r="I852" s="3" t="str">
        <f>VLOOKUP(B852,Customers!A:J, 10,FALSE)</f>
        <v>Gabriella Jones</v>
      </c>
      <c r="J852" s="3" t="str">
        <f>VLOOKUP(B852,Customers!A:J,8,FALSE)</f>
        <v>NY</v>
      </c>
      <c r="K852" s="3" t="str">
        <f>VLOOKUP(B852,Customers!A:J,7,FALSE)</f>
        <v>Mount Vernon</v>
      </c>
      <c r="L852" s="3" t="str">
        <f>VLOOKUP(H852,Staff!A:I,9,FALSE)</f>
        <v>Marcelene Boyer</v>
      </c>
      <c r="M852" s="3" t="str">
        <f>VLOOKUP(G852,Store!A:H,2,FALSE)</f>
        <v>Baldwin Bikes</v>
      </c>
      <c r="N852" s="3" t="str">
        <f>VLOOKUP(G852,Store!A:H,6,FALSE)</f>
        <v>Baldwin</v>
      </c>
      <c r="O852" s="3" t="s">
        <v>16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>
        <v>852.0</v>
      </c>
      <c r="B853" s="1">
        <v>13.0</v>
      </c>
      <c r="C853" s="1">
        <v>4.0</v>
      </c>
      <c r="D853" s="4">
        <v>42846.0</v>
      </c>
      <c r="E853" s="4">
        <v>42848.0</v>
      </c>
      <c r="F853" s="4">
        <v>42847.0</v>
      </c>
      <c r="G853" s="1">
        <v>3.0</v>
      </c>
      <c r="H853" s="1">
        <v>9.0</v>
      </c>
      <c r="I853" s="3" t="str">
        <f>VLOOKUP(B853,Customers!A:J, 10,FALSE)</f>
        <v>Lashawn Ortiz</v>
      </c>
      <c r="J853" s="3" t="str">
        <f>VLOOKUP(B853,Customers!A:J,8,FALSE)</f>
        <v>TX</v>
      </c>
      <c r="K853" s="3" t="str">
        <f>VLOOKUP(B853,Customers!A:J,7,FALSE)</f>
        <v>Longview</v>
      </c>
      <c r="L853" s="3" t="str">
        <f>VLOOKUP(H853,Staff!A:I,9,FALSE)</f>
        <v>Layla Terrell</v>
      </c>
      <c r="M853" s="3" t="str">
        <f>VLOOKUP(G853,Store!A:H,2,FALSE)</f>
        <v>Rowlett Bikes</v>
      </c>
      <c r="N853" s="3" t="str">
        <f>VLOOKUP(G853,Store!A:H,6,FALSE)</f>
        <v>Rowlett</v>
      </c>
      <c r="O853" s="3" t="s">
        <v>17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>
        <v>853.0</v>
      </c>
      <c r="B854" s="1">
        <v>883.0</v>
      </c>
      <c r="C854" s="1">
        <v>4.0</v>
      </c>
      <c r="D854" s="4">
        <v>42846.0</v>
      </c>
      <c r="E854" s="4">
        <v>42849.0</v>
      </c>
      <c r="F854" s="4">
        <v>42849.0</v>
      </c>
      <c r="G854" s="1">
        <v>3.0</v>
      </c>
      <c r="H854" s="1">
        <v>8.0</v>
      </c>
      <c r="I854" s="3" t="str">
        <f>VLOOKUP(B854,Customers!A:J, 10,FALSE)</f>
        <v>Gilberte Duke</v>
      </c>
      <c r="J854" s="3" t="str">
        <f>VLOOKUP(B854,Customers!A:J,8,FALSE)</f>
        <v>TX</v>
      </c>
      <c r="K854" s="3" t="str">
        <f>VLOOKUP(B854,Customers!A:J,7,FALSE)</f>
        <v>El Paso</v>
      </c>
      <c r="L854" s="3" t="str">
        <f>VLOOKUP(H854,Staff!A:I,9,FALSE)</f>
        <v>Kali Vargas</v>
      </c>
      <c r="M854" s="3" t="str">
        <f>VLOOKUP(G854,Store!A:H,2,FALSE)</f>
        <v>Rowlett Bikes</v>
      </c>
      <c r="N854" s="3" t="str">
        <f>VLOOKUP(G854,Store!A:H,6,FALSE)</f>
        <v>Rowlett</v>
      </c>
      <c r="O854" s="3" t="s">
        <v>17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>
        <v>854.0</v>
      </c>
      <c r="B855" s="1">
        <v>177.0</v>
      </c>
      <c r="C855" s="1">
        <v>4.0</v>
      </c>
      <c r="D855" s="4">
        <v>42847.0</v>
      </c>
      <c r="E855" s="4">
        <v>42850.0</v>
      </c>
      <c r="F855" s="4">
        <v>42848.0</v>
      </c>
      <c r="G855" s="1">
        <v>2.0</v>
      </c>
      <c r="H855" s="1">
        <v>6.0</v>
      </c>
      <c r="I855" s="3" t="str">
        <f>VLOOKUP(B855,Customers!A:J, 10,FALSE)</f>
        <v>Carissa Foreman</v>
      </c>
      <c r="J855" s="3" t="str">
        <f>VLOOKUP(B855,Customers!A:J,8,FALSE)</f>
        <v>NY</v>
      </c>
      <c r="K855" s="3" t="str">
        <f>VLOOKUP(B855,Customers!A:J,7,FALSE)</f>
        <v>Maspeth</v>
      </c>
      <c r="L855" s="3" t="str">
        <f>VLOOKUP(H855,Staff!A:I,9,FALSE)</f>
        <v>Marcelene Boyer</v>
      </c>
      <c r="M855" s="3" t="str">
        <f>VLOOKUP(G855,Store!A:H,2,FALSE)</f>
        <v>Baldwin Bikes</v>
      </c>
      <c r="N855" s="3" t="str">
        <f>VLOOKUP(G855,Store!A:H,6,FALSE)</f>
        <v>Baldwin</v>
      </c>
      <c r="O855" s="3" t="s">
        <v>16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>
        <v>855.0</v>
      </c>
      <c r="B856" s="1">
        <v>775.0</v>
      </c>
      <c r="C856" s="1">
        <v>4.0</v>
      </c>
      <c r="D856" s="4">
        <v>42847.0</v>
      </c>
      <c r="E856" s="4">
        <v>42848.0</v>
      </c>
      <c r="F856" s="4">
        <v>42850.0</v>
      </c>
      <c r="G856" s="1">
        <v>2.0</v>
      </c>
      <c r="H856" s="1">
        <v>6.0</v>
      </c>
      <c r="I856" s="3" t="str">
        <f>VLOOKUP(B856,Customers!A:J, 10,FALSE)</f>
        <v>Kermit Hyde</v>
      </c>
      <c r="J856" s="3" t="str">
        <f>VLOOKUP(B856,Customers!A:J,8,FALSE)</f>
        <v>NY</v>
      </c>
      <c r="K856" s="3" t="str">
        <f>VLOOKUP(B856,Customers!A:J,7,FALSE)</f>
        <v>Patchogue</v>
      </c>
      <c r="L856" s="3" t="str">
        <f>VLOOKUP(H856,Staff!A:I,9,FALSE)</f>
        <v>Marcelene Boyer</v>
      </c>
      <c r="M856" s="3" t="str">
        <f>VLOOKUP(G856,Store!A:H,2,FALSE)</f>
        <v>Baldwin Bikes</v>
      </c>
      <c r="N856" s="3" t="str">
        <f>VLOOKUP(G856,Store!A:H,6,FALSE)</f>
        <v>Baldwin</v>
      </c>
      <c r="O856" s="3" t="s">
        <v>16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>
        <v>856.0</v>
      </c>
      <c r="B857" s="1">
        <v>477.0</v>
      </c>
      <c r="C857" s="1">
        <v>4.0</v>
      </c>
      <c r="D857" s="4">
        <v>42848.0</v>
      </c>
      <c r="E857" s="4">
        <v>42850.0</v>
      </c>
      <c r="F857" s="4">
        <v>42851.0</v>
      </c>
      <c r="G857" s="1">
        <v>2.0</v>
      </c>
      <c r="H857" s="1">
        <v>6.0</v>
      </c>
      <c r="I857" s="3" t="str">
        <f>VLOOKUP(B857,Customers!A:J, 10,FALSE)</f>
        <v>Arminda Weber</v>
      </c>
      <c r="J857" s="3" t="str">
        <f>VLOOKUP(B857,Customers!A:J,8,FALSE)</f>
        <v>NY</v>
      </c>
      <c r="K857" s="3" t="str">
        <f>VLOOKUP(B857,Customers!A:J,7,FALSE)</f>
        <v>Bellmore</v>
      </c>
      <c r="L857" s="3" t="str">
        <f>VLOOKUP(H857,Staff!A:I,9,FALSE)</f>
        <v>Marcelene Boyer</v>
      </c>
      <c r="M857" s="3" t="str">
        <f>VLOOKUP(G857,Store!A:H,2,FALSE)</f>
        <v>Baldwin Bikes</v>
      </c>
      <c r="N857" s="3" t="str">
        <f>VLOOKUP(G857,Store!A:H,6,FALSE)</f>
        <v>Baldwin</v>
      </c>
      <c r="O857" s="3" t="s">
        <v>16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>
        <v>857.0</v>
      </c>
      <c r="B858" s="1">
        <v>1402.0</v>
      </c>
      <c r="C858" s="1">
        <v>4.0</v>
      </c>
      <c r="D858" s="4">
        <v>42849.0</v>
      </c>
      <c r="E858" s="4">
        <v>42850.0</v>
      </c>
      <c r="F858" s="4">
        <v>42851.0</v>
      </c>
      <c r="G858" s="1">
        <v>2.0</v>
      </c>
      <c r="H858" s="1">
        <v>7.0</v>
      </c>
      <c r="I858" s="3" t="str">
        <f>VLOOKUP(B858,Customers!A:J, 10,FALSE)</f>
        <v>Sandee Alvarado</v>
      </c>
      <c r="J858" s="3" t="str">
        <f>VLOOKUP(B858,Customers!A:J,8,FALSE)</f>
        <v>NY</v>
      </c>
      <c r="K858" s="3" t="str">
        <f>VLOOKUP(B858,Customers!A:J,7,FALSE)</f>
        <v>Depew</v>
      </c>
      <c r="L858" s="3" t="str">
        <f>VLOOKUP(H858,Staff!A:I,9,FALSE)</f>
        <v>Venita Daniel</v>
      </c>
      <c r="M858" s="3" t="str">
        <f>VLOOKUP(G858,Store!A:H,2,FALSE)</f>
        <v>Baldwin Bikes</v>
      </c>
      <c r="N858" s="3" t="str">
        <f>VLOOKUP(G858,Store!A:H,6,FALSE)</f>
        <v>Baldwin</v>
      </c>
      <c r="O858" s="3" t="s">
        <v>16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>
        <v>858.0</v>
      </c>
      <c r="B859" s="1">
        <v>162.0</v>
      </c>
      <c r="C859" s="1">
        <v>4.0</v>
      </c>
      <c r="D859" s="4">
        <v>42850.0</v>
      </c>
      <c r="E859" s="4">
        <v>42852.0</v>
      </c>
      <c r="F859" s="4">
        <v>42853.0</v>
      </c>
      <c r="G859" s="1">
        <v>2.0</v>
      </c>
      <c r="H859" s="1">
        <v>6.0</v>
      </c>
      <c r="I859" s="3" t="str">
        <f>VLOOKUP(B859,Customers!A:J, 10,FALSE)</f>
        <v>Kam Wilder</v>
      </c>
      <c r="J859" s="3" t="str">
        <f>VLOOKUP(B859,Customers!A:J,8,FALSE)</f>
        <v>NY</v>
      </c>
      <c r="K859" s="3" t="str">
        <f>VLOOKUP(B859,Customers!A:J,7,FALSE)</f>
        <v>Newburgh</v>
      </c>
      <c r="L859" s="3" t="str">
        <f>VLOOKUP(H859,Staff!A:I,9,FALSE)</f>
        <v>Marcelene Boyer</v>
      </c>
      <c r="M859" s="3" t="str">
        <f>VLOOKUP(G859,Store!A:H,2,FALSE)</f>
        <v>Baldwin Bikes</v>
      </c>
      <c r="N859" s="3" t="str">
        <f>VLOOKUP(G859,Store!A:H,6,FALSE)</f>
        <v>Baldwin</v>
      </c>
      <c r="O859" s="3" t="s">
        <v>16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>
        <v>859.0</v>
      </c>
      <c r="B860" s="1">
        <v>644.0</v>
      </c>
      <c r="C860" s="1">
        <v>4.0</v>
      </c>
      <c r="D860" s="4">
        <v>42850.0</v>
      </c>
      <c r="E860" s="4">
        <v>42851.0</v>
      </c>
      <c r="F860" s="4">
        <v>42851.0</v>
      </c>
      <c r="G860" s="1">
        <v>2.0</v>
      </c>
      <c r="H860" s="1">
        <v>6.0</v>
      </c>
      <c r="I860" s="3" t="str">
        <f>VLOOKUP(B860,Customers!A:J, 10,FALSE)</f>
        <v>Valentin Mclaughlin</v>
      </c>
      <c r="J860" s="3" t="str">
        <f>VLOOKUP(B860,Customers!A:J,8,FALSE)</f>
        <v>NY</v>
      </c>
      <c r="K860" s="3" t="str">
        <f>VLOOKUP(B860,Customers!A:J,7,FALSE)</f>
        <v>Lindenhurst</v>
      </c>
      <c r="L860" s="3" t="str">
        <f>VLOOKUP(H860,Staff!A:I,9,FALSE)</f>
        <v>Marcelene Boyer</v>
      </c>
      <c r="M860" s="3" t="str">
        <f>VLOOKUP(G860,Store!A:H,2,FALSE)</f>
        <v>Baldwin Bikes</v>
      </c>
      <c r="N860" s="3" t="str">
        <f>VLOOKUP(G860,Store!A:H,6,FALSE)</f>
        <v>Baldwin</v>
      </c>
      <c r="O860" s="3" t="s">
        <v>16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>
        <v>860.0</v>
      </c>
      <c r="B861" s="1">
        <v>473.0</v>
      </c>
      <c r="C861" s="1">
        <v>4.0</v>
      </c>
      <c r="D861" s="4">
        <v>42852.0</v>
      </c>
      <c r="E861" s="4">
        <v>42854.0</v>
      </c>
      <c r="F861" s="4">
        <v>42853.0</v>
      </c>
      <c r="G861" s="1">
        <v>2.0</v>
      </c>
      <c r="H861" s="1">
        <v>7.0</v>
      </c>
      <c r="I861" s="3" t="str">
        <f>VLOOKUP(B861,Customers!A:J, 10,FALSE)</f>
        <v>Lashawna Richardson</v>
      </c>
      <c r="J861" s="3" t="str">
        <f>VLOOKUP(B861,Customers!A:J,8,FALSE)</f>
        <v>NY</v>
      </c>
      <c r="K861" s="3" t="str">
        <f>VLOOKUP(B861,Customers!A:J,7,FALSE)</f>
        <v>Baldwin</v>
      </c>
      <c r="L861" s="3" t="str">
        <f>VLOOKUP(H861,Staff!A:I,9,FALSE)</f>
        <v>Venita Daniel</v>
      </c>
      <c r="M861" s="3" t="str">
        <f>VLOOKUP(G861,Store!A:H,2,FALSE)</f>
        <v>Baldwin Bikes</v>
      </c>
      <c r="N861" s="3" t="str">
        <f>VLOOKUP(G861,Store!A:H,6,FALSE)</f>
        <v>Baldwin</v>
      </c>
      <c r="O861" s="3" t="s">
        <v>16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>
        <v>861.0</v>
      </c>
      <c r="B862" s="1">
        <v>1177.0</v>
      </c>
      <c r="C862" s="1">
        <v>4.0</v>
      </c>
      <c r="D862" s="4">
        <v>42852.0</v>
      </c>
      <c r="E862" s="4">
        <v>42854.0</v>
      </c>
      <c r="F862" s="4">
        <v>42855.0</v>
      </c>
      <c r="G862" s="1">
        <v>2.0</v>
      </c>
      <c r="H862" s="1">
        <v>7.0</v>
      </c>
      <c r="I862" s="3" t="str">
        <f>VLOOKUP(B862,Customers!A:J, 10,FALSE)</f>
        <v>Charlesetta Soto</v>
      </c>
      <c r="J862" s="3" t="str">
        <f>VLOOKUP(B862,Customers!A:J,8,FALSE)</f>
        <v>NY</v>
      </c>
      <c r="K862" s="3" t="str">
        <f>VLOOKUP(B862,Customers!A:J,7,FALSE)</f>
        <v>Poughkeepsie</v>
      </c>
      <c r="L862" s="3" t="str">
        <f>VLOOKUP(H862,Staff!A:I,9,FALSE)</f>
        <v>Venita Daniel</v>
      </c>
      <c r="M862" s="3" t="str">
        <f>VLOOKUP(G862,Store!A:H,2,FALSE)</f>
        <v>Baldwin Bikes</v>
      </c>
      <c r="N862" s="3" t="str">
        <f>VLOOKUP(G862,Store!A:H,6,FALSE)</f>
        <v>Baldwin</v>
      </c>
      <c r="O862" s="3" t="s">
        <v>16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>
        <v>862.0</v>
      </c>
      <c r="B863" s="1">
        <v>1230.0</v>
      </c>
      <c r="C863" s="1">
        <v>4.0</v>
      </c>
      <c r="D863" s="4">
        <v>42852.0</v>
      </c>
      <c r="E863" s="4">
        <v>42855.0</v>
      </c>
      <c r="F863" s="4">
        <v>42854.0</v>
      </c>
      <c r="G863" s="1">
        <v>3.0</v>
      </c>
      <c r="H863" s="1">
        <v>8.0</v>
      </c>
      <c r="I863" s="3" t="str">
        <f>VLOOKUP(B863,Customers!A:J, 10,FALSE)</f>
        <v>Jesus Burch</v>
      </c>
      <c r="J863" s="3" t="str">
        <f>VLOOKUP(B863,Customers!A:J,8,FALSE)</f>
        <v>TX</v>
      </c>
      <c r="K863" s="3" t="str">
        <f>VLOOKUP(B863,Customers!A:J,7,FALSE)</f>
        <v>Desoto</v>
      </c>
      <c r="L863" s="3" t="str">
        <f>VLOOKUP(H863,Staff!A:I,9,FALSE)</f>
        <v>Kali Vargas</v>
      </c>
      <c r="M863" s="3" t="str">
        <f>VLOOKUP(G863,Store!A:H,2,FALSE)</f>
        <v>Rowlett Bikes</v>
      </c>
      <c r="N863" s="3" t="str">
        <f>VLOOKUP(G863,Store!A:H,6,FALSE)</f>
        <v>Rowlett</v>
      </c>
      <c r="O863" s="3" t="s">
        <v>17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>
        <v>863.0</v>
      </c>
      <c r="B864" s="1">
        <v>446.0</v>
      </c>
      <c r="C864" s="1">
        <v>4.0</v>
      </c>
      <c r="D864" s="4">
        <v>42853.0</v>
      </c>
      <c r="E864" s="4">
        <v>42855.0</v>
      </c>
      <c r="F864" s="4">
        <v>42856.0</v>
      </c>
      <c r="G864" s="1">
        <v>2.0</v>
      </c>
      <c r="H864" s="1">
        <v>7.0</v>
      </c>
      <c r="I864" s="3" t="str">
        <f>VLOOKUP(B864,Customers!A:J, 10,FALSE)</f>
        <v>Nathanael Bradley</v>
      </c>
      <c r="J864" s="3" t="str">
        <f>VLOOKUP(B864,Customers!A:J,8,FALSE)</f>
        <v>NY</v>
      </c>
      <c r="K864" s="3" t="str">
        <f>VLOOKUP(B864,Customers!A:J,7,FALSE)</f>
        <v>Amsterdam</v>
      </c>
      <c r="L864" s="3" t="str">
        <f>VLOOKUP(H864,Staff!A:I,9,FALSE)</f>
        <v>Venita Daniel</v>
      </c>
      <c r="M864" s="3" t="str">
        <f>VLOOKUP(G864,Store!A:H,2,FALSE)</f>
        <v>Baldwin Bikes</v>
      </c>
      <c r="N864" s="3" t="str">
        <f>VLOOKUP(G864,Store!A:H,6,FALSE)</f>
        <v>Baldwin</v>
      </c>
      <c r="O864" s="3" t="s">
        <v>16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>
        <v>864.0</v>
      </c>
      <c r="B865" s="1">
        <v>902.0</v>
      </c>
      <c r="C865" s="1">
        <v>4.0</v>
      </c>
      <c r="D865" s="4">
        <v>42853.0</v>
      </c>
      <c r="E865" s="4">
        <v>42855.0</v>
      </c>
      <c r="F865" s="4">
        <v>42854.0</v>
      </c>
      <c r="G865" s="1">
        <v>2.0</v>
      </c>
      <c r="H865" s="1">
        <v>6.0</v>
      </c>
      <c r="I865" s="3" t="str">
        <f>VLOOKUP(B865,Customers!A:J, 10,FALSE)</f>
        <v>Elease Dejesus</v>
      </c>
      <c r="J865" s="3" t="str">
        <f>VLOOKUP(B865,Customers!A:J,8,FALSE)</f>
        <v>NY</v>
      </c>
      <c r="K865" s="3" t="str">
        <f>VLOOKUP(B865,Customers!A:J,7,FALSE)</f>
        <v>Oswego</v>
      </c>
      <c r="L865" s="3" t="str">
        <f>VLOOKUP(H865,Staff!A:I,9,FALSE)</f>
        <v>Marcelene Boyer</v>
      </c>
      <c r="M865" s="3" t="str">
        <f>VLOOKUP(G865,Store!A:H,2,FALSE)</f>
        <v>Baldwin Bikes</v>
      </c>
      <c r="N865" s="3" t="str">
        <f>VLOOKUP(G865,Store!A:H,6,FALSE)</f>
        <v>Baldwin</v>
      </c>
      <c r="O865" s="3" t="s">
        <v>16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>
        <v>865.0</v>
      </c>
      <c r="B866" s="1">
        <v>974.0</v>
      </c>
      <c r="C866" s="1">
        <v>4.0</v>
      </c>
      <c r="D866" s="4">
        <v>42854.0</v>
      </c>
      <c r="E866" s="4">
        <v>42857.0</v>
      </c>
      <c r="F866" s="4">
        <v>42856.0</v>
      </c>
      <c r="G866" s="1">
        <v>2.0</v>
      </c>
      <c r="H866" s="1">
        <v>6.0</v>
      </c>
      <c r="I866" s="3" t="str">
        <f>VLOOKUP(B866,Customers!A:J, 10,FALSE)</f>
        <v>Marcell Barrett</v>
      </c>
      <c r="J866" s="3" t="str">
        <f>VLOOKUP(B866,Customers!A:J,8,FALSE)</f>
        <v>NY</v>
      </c>
      <c r="K866" s="3" t="str">
        <f>VLOOKUP(B866,Customers!A:J,7,FALSE)</f>
        <v>Astoria</v>
      </c>
      <c r="L866" s="3" t="str">
        <f>VLOOKUP(H866,Staff!A:I,9,FALSE)</f>
        <v>Marcelene Boyer</v>
      </c>
      <c r="M866" s="3" t="str">
        <f>VLOOKUP(G866,Store!A:H,2,FALSE)</f>
        <v>Baldwin Bikes</v>
      </c>
      <c r="N866" s="3" t="str">
        <f>VLOOKUP(G866,Store!A:H,6,FALSE)</f>
        <v>Baldwin</v>
      </c>
      <c r="O866" s="3" t="s">
        <v>16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>
        <v>866.0</v>
      </c>
      <c r="B867" s="1">
        <v>1410.0</v>
      </c>
      <c r="C867" s="1">
        <v>4.0</v>
      </c>
      <c r="D867" s="4">
        <v>42854.0</v>
      </c>
      <c r="E867" s="4">
        <v>42855.0</v>
      </c>
      <c r="F867" s="4">
        <v>42856.0</v>
      </c>
      <c r="G867" s="1">
        <v>2.0</v>
      </c>
      <c r="H867" s="1">
        <v>6.0</v>
      </c>
      <c r="I867" s="3" t="str">
        <f>VLOOKUP(B867,Customers!A:J, 10,FALSE)</f>
        <v>Lurlene Finch</v>
      </c>
      <c r="J867" s="3" t="str">
        <f>VLOOKUP(B867,Customers!A:J,8,FALSE)</f>
        <v>NY</v>
      </c>
      <c r="K867" s="3" t="str">
        <f>VLOOKUP(B867,Customers!A:J,7,FALSE)</f>
        <v>Yonkers</v>
      </c>
      <c r="L867" s="3" t="str">
        <f>VLOOKUP(H867,Staff!A:I,9,FALSE)</f>
        <v>Marcelene Boyer</v>
      </c>
      <c r="M867" s="3" t="str">
        <f>VLOOKUP(G867,Store!A:H,2,FALSE)</f>
        <v>Baldwin Bikes</v>
      </c>
      <c r="N867" s="3" t="str">
        <f>VLOOKUP(G867,Store!A:H,6,FALSE)</f>
        <v>Baldwin</v>
      </c>
      <c r="O867" s="3" t="s">
        <v>16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>
        <v>867.0</v>
      </c>
      <c r="B868" s="1">
        <v>97.0</v>
      </c>
      <c r="C868" s="1">
        <v>4.0</v>
      </c>
      <c r="D868" s="4">
        <v>42856.0</v>
      </c>
      <c r="E868" s="4">
        <v>42858.0</v>
      </c>
      <c r="F868" s="4">
        <v>42857.0</v>
      </c>
      <c r="G868" s="1">
        <v>1.0</v>
      </c>
      <c r="H868" s="1">
        <v>3.0</v>
      </c>
      <c r="I868" s="3" t="str">
        <f>VLOOKUP(B868,Customers!A:J, 10,FALSE)</f>
        <v>Louanne Martin</v>
      </c>
      <c r="J868" s="3" t="str">
        <f>VLOOKUP(B868,Customers!A:J,8,FALSE)</f>
        <v>CA</v>
      </c>
      <c r="K868" s="3" t="str">
        <f>VLOOKUP(B868,Customers!A:J,7,FALSE)</f>
        <v>Yuba City</v>
      </c>
      <c r="L868" s="3" t="str">
        <f>VLOOKUP(H868,Staff!A:I,9,FALSE)</f>
        <v>Genna Serrano</v>
      </c>
      <c r="M868" s="3" t="str">
        <f>VLOOKUP(G868,Store!A:H,2,FALSE)</f>
        <v>Santa Cruz Bikes</v>
      </c>
      <c r="N868" s="3" t="str">
        <f>VLOOKUP(G868,Store!A:H,6,FALSE)</f>
        <v>Santa Cruz</v>
      </c>
      <c r="O868" s="3" t="s">
        <v>15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>
        <v>868.0</v>
      </c>
      <c r="B869" s="1">
        <v>868.0</v>
      </c>
      <c r="C869" s="1">
        <v>4.0</v>
      </c>
      <c r="D869" s="4">
        <v>42856.0</v>
      </c>
      <c r="E869" s="4">
        <v>42859.0</v>
      </c>
      <c r="F869" s="4">
        <v>42857.0</v>
      </c>
      <c r="G869" s="1">
        <v>1.0</v>
      </c>
      <c r="H869" s="1">
        <v>3.0</v>
      </c>
      <c r="I869" s="3" t="str">
        <f>VLOOKUP(B869,Customers!A:J, 10,FALSE)</f>
        <v>Domingo Casey</v>
      </c>
      <c r="J869" s="3" t="str">
        <f>VLOOKUP(B869,Customers!A:J,8,FALSE)</f>
        <v>CA</v>
      </c>
      <c r="K869" s="3" t="str">
        <f>VLOOKUP(B869,Customers!A:J,7,FALSE)</f>
        <v>San Jose</v>
      </c>
      <c r="L869" s="3" t="str">
        <f>VLOOKUP(H869,Staff!A:I,9,FALSE)</f>
        <v>Genna Serrano</v>
      </c>
      <c r="M869" s="3" t="str">
        <f>VLOOKUP(G869,Store!A:H,2,FALSE)</f>
        <v>Santa Cruz Bikes</v>
      </c>
      <c r="N869" s="3" t="str">
        <f>VLOOKUP(G869,Store!A:H,6,FALSE)</f>
        <v>Santa Cruz</v>
      </c>
      <c r="O869" s="3" t="s">
        <v>15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>
        <v>869.0</v>
      </c>
      <c r="B870" s="1">
        <v>844.0</v>
      </c>
      <c r="C870" s="1">
        <v>4.0</v>
      </c>
      <c r="D870" s="4">
        <v>42856.0</v>
      </c>
      <c r="E870" s="4">
        <v>42859.0</v>
      </c>
      <c r="F870" s="4">
        <v>42857.0</v>
      </c>
      <c r="G870" s="1">
        <v>2.0</v>
      </c>
      <c r="H870" s="1">
        <v>7.0</v>
      </c>
      <c r="I870" s="3" t="str">
        <f>VLOOKUP(B870,Customers!A:J, 10,FALSE)</f>
        <v>Felica Munoz</v>
      </c>
      <c r="J870" s="3" t="str">
        <f>VLOOKUP(B870,Customers!A:J,8,FALSE)</f>
        <v>NY</v>
      </c>
      <c r="K870" s="3" t="str">
        <f>VLOOKUP(B870,Customers!A:J,7,FALSE)</f>
        <v>South Ozone Park</v>
      </c>
      <c r="L870" s="3" t="str">
        <f>VLOOKUP(H870,Staff!A:I,9,FALSE)</f>
        <v>Venita Daniel</v>
      </c>
      <c r="M870" s="3" t="str">
        <f>VLOOKUP(G870,Store!A:H,2,FALSE)</f>
        <v>Baldwin Bikes</v>
      </c>
      <c r="N870" s="3" t="str">
        <f>VLOOKUP(G870,Store!A:H,6,FALSE)</f>
        <v>Baldwin</v>
      </c>
      <c r="O870" s="3" t="s">
        <v>16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>
        <v>870.0</v>
      </c>
      <c r="B871" s="1">
        <v>1416.0</v>
      </c>
      <c r="C871" s="1">
        <v>4.0</v>
      </c>
      <c r="D871" s="4">
        <v>42856.0</v>
      </c>
      <c r="E871" s="4">
        <v>42859.0</v>
      </c>
      <c r="F871" s="4">
        <v>42857.0</v>
      </c>
      <c r="G871" s="1">
        <v>2.0</v>
      </c>
      <c r="H871" s="1">
        <v>6.0</v>
      </c>
      <c r="I871" s="3" t="str">
        <f>VLOOKUP(B871,Customers!A:J, 10,FALSE)</f>
        <v>Miranda Kennedy</v>
      </c>
      <c r="J871" s="3" t="str">
        <f>VLOOKUP(B871,Customers!A:J,8,FALSE)</f>
        <v>NY</v>
      </c>
      <c r="K871" s="3" t="str">
        <f>VLOOKUP(B871,Customers!A:J,7,FALSE)</f>
        <v>Astoria</v>
      </c>
      <c r="L871" s="3" t="str">
        <f>VLOOKUP(H871,Staff!A:I,9,FALSE)</f>
        <v>Marcelene Boyer</v>
      </c>
      <c r="M871" s="3" t="str">
        <f>VLOOKUP(G871,Store!A:H,2,FALSE)</f>
        <v>Baldwin Bikes</v>
      </c>
      <c r="N871" s="3" t="str">
        <f>VLOOKUP(G871,Store!A:H,6,FALSE)</f>
        <v>Baldwin</v>
      </c>
      <c r="O871" s="3" t="s">
        <v>16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>
        <v>871.0</v>
      </c>
      <c r="B872" s="1">
        <v>358.0</v>
      </c>
      <c r="C872" s="1">
        <v>4.0</v>
      </c>
      <c r="D872" s="4">
        <v>42857.0</v>
      </c>
      <c r="E872" s="4">
        <v>42859.0</v>
      </c>
      <c r="F872" s="4">
        <v>42858.0</v>
      </c>
      <c r="G872" s="1">
        <v>2.0</v>
      </c>
      <c r="H872" s="1">
        <v>7.0</v>
      </c>
      <c r="I872" s="3" t="str">
        <f>VLOOKUP(B872,Customers!A:J, 10,FALSE)</f>
        <v>Kandace Giles</v>
      </c>
      <c r="J872" s="3" t="str">
        <f>VLOOKUP(B872,Customers!A:J,8,FALSE)</f>
        <v>NY</v>
      </c>
      <c r="K872" s="3" t="str">
        <f>VLOOKUP(B872,Customers!A:J,7,FALSE)</f>
        <v>Wantagh</v>
      </c>
      <c r="L872" s="3" t="str">
        <f>VLOOKUP(H872,Staff!A:I,9,FALSE)</f>
        <v>Venita Daniel</v>
      </c>
      <c r="M872" s="3" t="str">
        <f>VLOOKUP(G872,Store!A:H,2,FALSE)</f>
        <v>Baldwin Bikes</v>
      </c>
      <c r="N872" s="3" t="str">
        <f>VLOOKUP(G872,Store!A:H,6,FALSE)</f>
        <v>Baldwin</v>
      </c>
      <c r="O872" s="3" t="s">
        <v>16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>
        <v>872.0</v>
      </c>
      <c r="B873" s="1">
        <v>394.0</v>
      </c>
      <c r="C873" s="1">
        <v>4.0</v>
      </c>
      <c r="D873" s="4">
        <v>42858.0</v>
      </c>
      <c r="E873" s="4">
        <v>42861.0</v>
      </c>
      <c r="F873" s="4">
        <v>42861.0</v>
      </c>
      <c r="G873" s="1">
        <v>1.0</v>
      </c>
      <c r="H873" s="1">
        <v>3.0</v>
      </c>
      <c r="I873" s="3" t="str">
        <f>VLOOKUP(B873,Customers!A:J, 10,FALSE)</f>
        <v>Virgen Clemons</v>
      </c>
      <c r="J873" s="3" t="str">
        <f>VLOOKUP(B873,Customers!A:J,8,FALSE)</f>
        <v>CA</v>
      </c>
      <c r="K873" s="3" t="str">
        <f>VLOOKUP(B873,Customers!A:J,7,FALSE)</f>
        <v>South El Monte</v>
      </c>
      <c r="L873" s="3" t="str">
        <f>VLOOKUP(H873,Staff!A:I,9,FALSE)</f>
        <v>Genna Serrano</v>
      </c>
      <c r="M873" s="3" t="str">
        <f>VLOOKUP(G873,Store!A:H,2,FALSE)</f>
        <v>Santa Cruz Bikes</v>
      </c>
      <c r="N873" s="3" t="str">
        <f>VLOOKUP(G873,Store!A:H,6,FALSE)</f>
        <v>Santa Cruz</v>
      </c>
      <c r="O873" s="3" t="s">
        <v>15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>
        <v>873.0</v>
      </c>
      <c r="B874" s="1">
        <v>829.0</v>
      </c>
      <c r="C874" s="1">
        <v>4.0</v>
      </c>
      <c r="D874" s="4">
        <v>42858.0</v>
      </c>
      <c r="E874" s="4">
        <v>42860.0</v>
      </c>
      <c r="F874" s="4">
        <v>42860.0</v>
      </c>
      <c r="G874" s="1">
        <v>2.0</v>
      </c>
      <c r="H874" s="1">
        <v>7.0</v>
      </c>
      <c r="I874" s="3" t="str">
        <f>VLOOKUP(B874,Customers!A:J, 10,FALSE)</f>
        <v>Marcy Rodriguez</v>
      </c>
      <c r="J874" s="3" t="str">
        <f>VLOOKUP(B874,Customers!A:J,8,FALSE)</f>
        <v>NY</v>
      </c>
      <c r="K874" s="3" t="str">
        <f>VLOOKUP(B874,Customers!A:J,7,FALSE)</f>
        <v>Lockport</v>
      </c>
      <c r="L874" s="3" t="str">
        <f>VLOOKUP(H874,Staff!A:I,9,FALSE)</f>
        <v>Venita Daniel</v>
      </c>
      <c r="M874" s="3" t="str">
        <f>VLOOKUP(G874,Store!A:H,2,FALSE)</f>
        <v>Baldwin Bikes</v>
      </c>
      <c r="N874" s="3" t="str">
        <f>VLOOKUP(G874,Store!A:H,6,FALSE)</f>
        <v>Baldwin</v>
      </c>
      <c r="O874" s="3" t="s">
        <v>16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>
        <v>874.0</v>
      </c>
      <c r="B875" s="1">
        <v>661.0</v>
      </c>
      <c r="C875" s="1">
        <v>4.0</v>
      </c>
      <c r="D875" s="4">
        <v>42859.0</v>
      </c>
      <c r="E875" s="4">
        <v>42860.0</v>
      </c>
      <c r="F875" s="4">
        <v>42861.0</v>
      </c>
      <c r="G875" s="1">
        <v>2.0</v>
      </c>
      <c r="H875" s="1">
        <v>7.0</v>
      </c>
      <c r="I875" s="3" t="str">
        <f>VLOOKUP(B875,Customers!A:J, 10,FALSE)</f>
        <v>Trena Hudson</v>
      </c>
      <c r="J875" s="3" t="str">
        <f>VLOOKUP(B875,Customers!A:J,8,FALSE)</f>
        <v>NY</v>
      </c>
      <c r="K875" s="3" t="str">
        <f>VLOOKUP(B875,Customers!A:J,7,FALSE)</f>
        <v>Monroe</v>
      </c>
      <c r="L875" s="3" t="str">
        <f>VLOOKUP(H875,Staff!A:I,9,FALSE)</f>
        <v>Venita Daniel</v>
      </c>
      <c r="M875" s="3" t="str">
        <f>VLOOKUP(G875,Store!A:H,2,FALSE)</f>
        <v>Baldwin Bikes</v>
      </c>
      <c r="N875" s="3" t="str">
        <f>VLOOKUP(G875,Store!A:H,6,FALSE)</f>
        <v>Baldwin</v>
      </c>
      <c r="O875" s="3" t="s">
        <v>16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>
        <v>875.0</v>
      </c>
      <c r="B876" s="1">
        <v>386.0</v>
      </c>
      <c r="C876" s="1">
        <v>4.0</v>
      </c>
      <c r="D876" s="4">
        <v>42860.0</v>
      </c>
      <c r="E876" s="4">
        <v>42861.0</v>
      </c>
      <c r="F876" s="4">
        <v>42863.0</v>
      </c>
      <c r="G876" s="1">
        <v>1.0</v>
      </c>
      <c r="H876" s="1">
        <v>3.0</v>
      </c>
      <c r="I876" s="3" t="str">
        <f>VLOOKUP(B876,Customers!A:J, 10,FALSE)</f>
        <v>Nelle Beck</v>
      </c>
      <c r="J876" s="3" t="str">
        <f>VLOOKUP(B876,Customers!A:J,8,FALSE)</f>
        <v>CA</v>
      </c>
      <c r="K876" s="3" t="str">
        <f>VLOOKUP(B876,Customers!A:J,7,FALSE)</f>
        <v>Upland</v>
      </c>
      <c r="L876" s="3" t="str">
        <f>VLOOKUP(H876,Staff!A:I,9,FALSE)</f>
        <v>Genna Serrano</v>
      </c>
      <c r="M876" s="3" t="str">
        <f>VLOOKUP(G876,Store!A:H,2,FALSE)</f>
        <v>Santa Cruz Bikes</v>
      </c>
      <c r="N876" s="3" t="str">
        <f>VLOOKUP(G876,Store!A:H,6,FALSE)</f>
        <v>Santa Cruz</v>
      </c>
      <c r="O876" s="3" t="s">
        <v>15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>
        <v>876.0</v>
      </c>
      <c r="B877" s="1">
        <v>1046.0</v>
      </c>
      <c r="C877" s="1">
        <v>4.0</v>
      </c>
      <c r="D877" s="4">
        <v>42860.0</v>
      </c>
      <c r="E877" s="4">
        <v>42863.0</v>
      </c>
      <c r="F877" s="4">
        <v>42861.0</v>
      </c>
      <c r="G877" s="1">
        <v>2.0</v>
      </c>
      <c r="H877" s="1">
        <v>7.0</v>
      </c>
      <c r="I877" s="3" t="str">
        <f>VLOOKUP(B877,Customers!A:J, 10,FALSE)</f>
        <v>Dane Mcdaniel</v>
      </c>
      <c r="J877" s="3" t="str">
        <f>VLOOKUP(B877,Customers!A:J,8,FALSE)</f>
        <v>NY</v>
      </c>
      <c r="K877" s="3" t="str">
        <f>VLOOKUP(B877,Customers!A:J,7,FALSE)</f>
        <v>Canandaigua</v>
      </c>
      <c r="L877" s="3" t="str">
        <f>VLOOKUP(H877,Staff!A:I,9,FALSE)</f>
        <v>Venita Daniel</v>
      </c>
      <c r="M877" s="3" t="str">
        <f>VLOOKUP(G877,Store!A:H,2,FALSE)</f>
        <v>Baldwin Bikes</v>
      </c>
      <c r="N877" s="3" t="str">
        <f>VLOOKUP(G877,Store!A:H,6,FALSE)</f>
        <v>Baldwin</v>
      </c>
      <c r="O877" s="3" t="s">
        <v>16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>
        <v>877.0</v>
      </c>
      <c r="B878" s="1">
        <v>784.0</v>
      </c>
      <c r="C878" s="1">
        <v>4.0</v>
      </c>
      <c r="D878" s="4">
        <v>42861.0</v>
      </c>
      <c r="E878" s="4">
        <v>42862.0</v>
      </c>
      <c r="F878" s="4">
        <v>42863.0</v>
      </c>
      <c r="G878" s="1">
        <v>2.0</v>
      </c>
      <c r="H878" s="1">
        <v>6.0</v>
      </c>
      <c r="I878" s="3" t="str">
        <f>VLOOKUP(B878,Customers!A:J, 10,FALSE)</f>
        <v>Debbra Jacobson</v>
      </c>
      <c r="J878" s="3" t="str">
        <f>VLOOKUP(B878,Customers!A:J,8,FALSE)</f>
        <v>NY</v>
      </c>
      <c r="K878" s="3" t="str">
        <f>VLOOKUP(B878,Customers!A:J,7,FALSE)</f>
        <v>Ballston Spa</v>
      </c>
      <c r="L878" s="3" t="str">
        <f>VLOOKUP(H878,Staff!A:I,9,FALSE)</f>
        <v>Marcelene Boyer</v>
      </c>
      <c r="M878" s="3" t="str">
        <f>VLOOKUP(G878,Store!A:H,2,FALSE)</f>
        <v>Baldwin Bikes</v>
      </c>
      <c r="N878" s="3" t="str">
        <f>VLOOKUP(G878,Store!A:H,6,FALSE)</f>
        <v>Baldwin</v>
      </c>
      <c r="O878" s="3" t="s">
        <v>16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>
        <v>878.0</v>
      </c>
      <c r="B879" s="1">
        <v>224.0</v>
      </c>
      <c r="C879" s="1">
        <v>4.0</v>
      </c>
      <c r="D879" s="4">
        <v>42862.0</v>
      </c>
      <c r="E879" s="4">
        <v>42865.0</v>
      </c>
      <c r="F879" s="4">
        <v>42864.0</v>
      </c>
      <c r="G879" s="1">
        <v>1.0</v>
      </c>
      <c r="H879" s="1">
        <v>3.0</v>
      </c>
      <c r="I879" s="3" t="str">
        <f>VLOOKUP(B879,Customers!A:J, 10,FALSE)</f>
        <v>Moses Pope</v>
      </c>
      <c r="J879" s="3" t="str">
        <f>VLOOKUP(B879,Customers!A:J,8,FALSE)</f>
        <v>CA</v>
      </c>
      <c r="K879" s="3" t="str">
        <f>VLOOKUP(B879,Customers!A:J,7,FALSE)</f>
        <v>Lawndale</v>
      </c>
      <c r="L879" s="3" t="str">
        <f>VLOOKUP(H879,Staff!A:I,9,FALSE)</f>
        <v>Genna Serrano</v>
      </c>
      <c r="M879" s="3" t="str">
        <f>VLOOKUP(G879,Store!A:H,2,FALSE)</f>
        <v>Santa Cruz Bikes</v>
      </c>
      <c r="N879" s="3" t="str">
        <f>VLOOKUP(G879,Store!A:H,6,FALSE)</f>
        <v>Santa Cruz</v>
      </c>
      <c r="O879" s="3" t="s">
        <v>15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>
        <v>879.0</v>
      </c>
      <c r="B880" s="1">
        <v>214.0</v>
      </c>
      <c r="C880" s="1">
        <v>4.0</v>
      </c>
      <c r="D880" s="4">
        <v>42863.0</v>
      </c>
      <c r="E880" s="4">
        <v>42864.0</v>
      </c>
      <c r="F880" s="4">
        <v>42864.0</v>
      </c>
      <c r="G880" s="1">
        <v>2.0</v>
      </c>
      <c r="H880" s="1">
        <v>7.0</v>
      </c>
      <c r="I880" s="3" t="str">
        <f>VLOOKUP(B880,Customers!A:J, 10,FALSE)</f>
        <v>Ross Pugh</v>
      </c>
      <c r="J880" s="3" t="str">
        <f>VLOOKUP(B880,Customers!A:J,8,FALSE)</f>
        <v>NY</v>
      </c>
      <c r="K880" s="3" t="str">
        <f>VLOOKUP(B880,Customers!A:J,7,FALSE)</f>
        <v>North Tonawanda</v>
      </c>
      <c r="L880" s="3" t="str">
        <f>VLOOKUP(H880,Staff!A:I,9,FALSE)</f>
        <v>Venita Daniel</v>
      </c>
      <c r="M880" s="3" t="str">
        <f>VLOOKUP(G880,Store!A:H,2,FALSE)</f>
        <v>Baldwin Bikes</v>
      </c>
      <c r="N880" s="3" t="str">
        <f>VLOOKUP(G880,Store!A:H,6,FALSE)</f>
        <v>Baldwin</v>
      </c>
      <c r="O880" s="3" t="s">
        <v>16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>
        <v>880.0</v>
      </c>
      <c r="B881" s="1">
        <v>1206.0</v>
      </c>
      <c r="C881" s="1">
        <v>4.0</v>
      </c>
      <c r="D881" s="4">
        <v>42863.0</v>
      </c>
      <c r="E881" s="4">
        <v>42866.0</v>
      </c>
      <c r="F881" s="4">
        <v>42865.0</v>
      </c>
      <c r="G881" s="1">
        <v>2.0</v>
      </c>
      <c r="H881" s="1">
        <v>6.0</v>
      </c>
      <c r="I881" s="3" t="str">
        <f>VLOOKUP(B881,Customers!A:J, 10,FALSE)</f>
        <v>Mercy Brown</v>
      </c>
      <c r="J881" s="3" t="str">
        <f>VLOOKUP(B881,Customers!A:J,8,FALSE)</f>
        <v>NY</v>
      </c>
      <c r="K881" s="3" t="str">
        <f>VLOOKUP(B881,Customers!A:J,7,FALSE)</f>
        <v>Hollis</v>
      </c>
      <c r="L881" s="3" t="str">
        <f>VLOOKUP(H881,Staff!A:I,9,FALSE)</f>
        <v>Marcelene Boyer</v>
      </c>
      <c r="M881" s="3" t="str">
        <f>VLOOKUP(G881,Store!A:H,2,FALSE)</f>
        <v>Baldwin Bikes</v>
      </c>
      <c r="N881" s="3" t="str">
        <f>VLOOKUP(G881,Store!A:H,6,FALSE)</f>
        <v>Baldwin</v>
      </c>
      <c r="O881" s="3" t="s">
        <v>16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>
        <v>881.0</v>
      </c>
      <c r="B882" s="1">
        <v>1024.0</v>
      </c>
      <c r="C882" s="1">
        <v>4.0</v>
      </c>
      <c r="D882" s="4">
        <v>42863.0</v>
      </c>
      <c r="E882" s="4">
        <v>42866.0</v>
      </c>
      <c r="F882" s="4">
        <v>42866.0</v>
      </c>
      <c r="G882" s="1">
        <v>3.0</v>
      </c>
      <c r="H882" s="1">
        <v>9.0</v>
      </c>
      <c r="I882" s="3" t="str">
        <f>VLOOKUP(B882,Customers!A:J, 10,FALSE)</f>
        <v>Coleman Boyd</v>
      </c>
      <c r="J882" s="3" t="str">
        <f>VLOOKUP(B882,Customers!A:J,8,FALSE)</f>
        <v>TX</v>
      </c>
      <c r="K882" s="3" t="str">
        <f>VLOOKUP(B882,Customers!A:J,7,FALSE)</f>
        <v>El Paso</v>
      </c>
      <c r="L882" s="3" t="str">
        <f>VLOOKUP(H882,Staff!A:I,9,FALSE)</f>
        <v>Layla Terrell</v>
      </c>
      <c r="M882" s="3" t="str">
        <f>VLOOKUP(G882,Store!A:H,2,FALSE)</f>
        <v>Rowlett Bikes</v>
      </c>
      <c r="N882" s="3" t="str">
        <f>VLOOKUP(G882,Store!A:H,6,FALSE)</f>
        <v>Rowlett</v>
      </c>
      <c r="O882" s="3" t="s">
        <v>17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>
        <v>882.0</v>
      </c>
      <c r="B883" s="1">
        <v>196.0</v>
      </c>
      <c r="C883" s="1">
        <v>4.0</v>
      </c>
      <c r="D883" s="4">
        <v>42864.0</v>
      </c>
      <c r="E883" s="4">
        <v>42867.0</v>
      </c>
      <c r="F883" s="4">
        <v>42865.0</v>
      </c>
      <c r="G883" s="1">
        <v>2.0</v>
      </c>
      <c r="H883" s="1">
        <v>6.0</v>
      </c>
      <c r="I883" s="3" t="str">
        <f>VLOOKUP(B883,Customers!A:J, 10,FALSE)</f>
        <v>Edythe Valencia</v>
      </c>
      <c r="J883" s="3" t="str">
        <f>VLOOKUP(B883,Customers!A:J,8,FALSE)</f>
        <v>NY</v>
      </c>
      <c r="K883" s="3" t="str">
        <f>VLOOKUP(B883,Customers!A:J,7,FALSE)</f>
        <v>North Tonawanda</v>
      </c>
      <c r="L883" s="3" t="str">
        <f>VLOOKUP(H883,Staff!A:I,9,FALSE)</f>
        <v>Marcelene Boyer</v>
      </c>
      <c r="M883" s="3" t="str">
        <f>VLOOKUP(G883,Store!A:H,2,FALSE)</f>
        <v>Baldwin Bikes</v>
      </c>
      <c r="N883" s="3" t="str">
        <f>VLOOKUP(G883,Store!A:H,6,FALSE)</f>
        <v>Baldwin</v>
      </c>
      <c r="O883" s="3" t="s">
        <v>16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>
        <v>883.0</v>
      </c>
      <c r="B884" s="1">
        <v>507.0</v>
      </c>
      <c r="C884" s="1">
        <v>4.0</v>
      </c>
      <c r="D884" s="4">
        <v>42866.0</v>
      </c>
      <c r="E884" s="4">
        <v>42868.0</v>
      </c>
      <c r="F884" s="4">
        <v>42869.0</v>
      </c>
      <c r="G884" s="1">
        <v>2.0</v>
      </c>
      <c r="H884" s="1">
        <v>6.0</v>
      </c>
      <c r="I884" s="3" t="str">
        <f>VLOOKUP(B884,Customers!A:J, 10,FALSE)</f>
        <v>Sheree Pena</v>
      </c>
      <c r="J884" s="3" t="str">
        <f>VLOOKUP(B884,Customers!A:J,8,FALSE)</f>
        <v>NY</v>
      </c>
      <c r="K884" s="3" t="str">
        <f>VLOOKUP(B884,Customers!A:J,7,FALSE)</f>
        <v>Staten Island</v>
      </c>
      <c r="L884" s="3" t="str">
        <f>VLOOKUP(H884,Staff!A:I,9,FALSE)</f>
        <v>Marcelene Boyer</v>
      </c>
      <c r="M884" s="3" t="str">
        <f>VLOOKUP(G884,Store!A:H,2,FALSE)</f>
        <v>Baldwin Bikes</v>
      </c>
      <c r="N884" s="3" t="str">
        <f>VLOOKUP(G884,Store!A:H,6,FALSE)</f>
        <v>Baldwin</v>
      </c>
      <c r="O884" s="3" t="s">
        <v>16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>
        <v>884.0</v>
      </c>
      <c r="B885" s="1">
        <v>871.0</v>
      </c>
      <c r="C885" s="1">
        <v>4.0</v>
      </c>
      <c r="D885" s="4">
        <v>42866.0</v>
      </c>
      <c r="E885" s="4">
        <v>42868.0</v>
      </c>
      <c r="F885" s="4">
        <v>42867.0</v>
      </c>
      <c r="G885" s="1">
        <v>2.0</v>
      </c>
      <c r="H885" s="1">
        <v>7.0</v>
      </c>
      <c r="I885" s="3" t="str">
        <f>VLOOKUP(B885,Customers!A:J, 10,FALSE)</f>
        <v>Erlinda Humphrey</v>
      </c>
      <c r="J885" s="3" t="str">
        <f>VLOOKUP(B885,Customers!A:J,8,FALSE)</f>
        <v>NY</v>
      </c>
      <c r="K885" s="3" t="str">
        <f>VLOOKUP(B885,Customers!A:J,7,FALSE)</f>
        <v>New Windsor</v>
      </c>
      <c r="L885" s="3" t="str">
        <f>VLOOKUP(H885,Staff!A:I,9,FALSE)</f>
        <v>Venita Daniel</v>
      </c>
      <c r="M885" s="3" t="str">
        <f>VLOOKUP(G885,Store!A:H,2,FALSE)</f>
        <v>Baldwin Bikes</v>
      </c>
      <c r="N885" s="3" t="str">
        <f>VLOOKUP(G885,Store!A:H,6,FALSE)</f>
        <v>Baldwin</v>
      </c>
      <c r="O885" s="3" t="s">
        <v>16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>
        <v>885.0</v>
      </c>
      <c r="B886" s="1">
        <v>66.0</v>
      </c>
      <c r="C886" s="1">
        <v>3.0</v>
      </c>
      <c r="D886" s="4">
        <v>42868.0</v>
      </c>
      <c r="E886" s="4">
        <v>42868.0</v>
      </c>
      <c r="F886" s="1" t="s">
        <v>18</v>
      </c>
      <c r="G886" s="1">
        <v>3.0</v>
      </c>
      <c r="H886" s="1">
        <v>8.0</v>
      </c>
      <c r="I886" s="3" t="str">
        <f>VLOOKUP(B886,Customers!A:J, 10,FALSE)</f>
        <v>Lorrie Becker</v>
      </c>
      <c r="J886" s="3" t="str">
        <f>VLOOKUP(B886,Customers!A:J,8,FALSE)</f>
        <v>TX</v>
      </c>
      <c r="K886" s="3" t="str">
        <f>VLOOKUP(B886,Customers!A:J,7,FALSE)</f>
        <v>Garland</v>
      </c>
      <c r="L886" s="3" t="str">
        <f>VLOOKUP(H886,Staff!A:I,9,FALSE)</f>
        <v>Kali Vargas</v>
      </c>
      <c r="M886" s="3" t="str">
        <f>VLOOKUP(G886,Store!A:H,2,FALSE)</f>
        <v>Rowlett Bikes</v>
      </c>
      <c r="N886" s="3" t="str">
        <f>VLOOKUP(G886,Store!A:H,6,FALSE)</f>
        <v>Rowlett</v>
      </c>
      <c r="O886" s="3" t="s">
        <v>17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>
        <v>886.0</v>
      </c>
      <c r="B887" s="1">
        <v>1396.0</v>
      </c>
      <c r="C887" s="1">
        <v>4.0</v>
      </c>
      <c r="D887" s="4">
        <v>42868.0</v>
      </c>
      <c r="E887" s="4">
        <v>42869.0</v>
      </c>
      <c r="F887" s="4">
        <v>42870.0</v>
      </c>
      <c r="G887" s="1">
        <v>1.0</v>
      </c>
      <c r="H887" s="1">
        <v>2.0</v>
      </c>
      <c r="I887" s="3" t="str">
        <f>VLOOKUP(B887,Customers!A:J, 10,FALSE)</f>
        <v>Delma Bailey</v>
      </c>
      <c r="J887" s="3" t="str">
        <f>VLOOKUP(B887,Customers!A:J,8,FALSE)</f>
        <v>CA</v>
      </c>
      <c r="K887" s="3" t="str">
        <f>VLOOKUP(B887,Customers!A:J,7,FALSE)</f>
        <v>Anaheim</v>
      </c>
      <c r="L887" s="3" t="str">
        <f>VLOOKUP(H887,Staff!A:I,9,FALSE)</f>
        <v>Mireya Copeland</v>
      </c>
      <c r="M887" s="3" t="str">
        <f>VLOOKUP(G887,Store!A:H,2,FALSE)</f>
        <v>Santa Cruz Bikes</v>
      </c>
      <c r="N887" s="3" t="str">
        <f>VLOOKUP(G887,Store!A:H,6,FALSE)</f>
        <v>Santa Cruz</v>
      </c>
      <c r="O887" s="3" t="s">
        <v>15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>
        <v>887.0</v>
      </c>
      <c r="B888" s="1">
        <v>1195.0</v>
      </c>
      <c r="C888" s="1">
        <v>4.0</v>
      </c>
      <c r="D888" s="4">
        <v>42868.0</v>
      </c>
      <c r="E888" s="4">
        <v>42870.0</v>
      </c>
      <c r="F888" s="4">
        <v>42870.0</v>
      </c>
      <c r="G888" s="1">
        <v>2.0</v>
      </c>
      <c r="H888" s="1">
        <v>6.0</v>
      </c>
      <c r="I888" s="3" t="str">
        <f>VLOOKUP(B888,Customers!A:J, 10,FALSE)</f>
        <v>Chantell Bridges</v>
      </c>
      <c r="J888" s="3" t="str">
        <f>VLOOKUP(B888,Customers!A:J,8,FALSE)</f>
        <v>NY</v>
      </c>
      <c r="K888" s="3" t="str">
        <f>VLOOKUP(B888,Customers!A:J,7,FALSE)</f>
        <v>Buffalo</v>
      </c>
      <c r="L888" s="3" t="str">
        <f>VLOOKUP(H888,Staff!A:I,9,FALSE)</f>
        <v>Marcelene Boyer</v>
      </c>
      <c r="M888" s="3" t="str">
        <f>VLOOKUP(G888,Store!A:H,2,FALSE)</f>
        <v>Baldwin Bikes</v>
      </c>
      <c r="N888" s="3" t="str">
        <f>VLOOKUP(G888,Store!A:H,6,FALSE)</f>
        <v>Baldwin</v>
      </c>
      <c r="O888" s="3" t="s">
        <v>16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>
        <v>888.0</v>
      </c>
      <c r="B889" s="1">
        <v>1038.0</v>
      </c>
      <c r="C889" s="1">
        <v>4.0</v>
      </c>
      <c r="D889" s="4">
        <v>42869.0</v>
      </c>
      <c r="E889" s="4">
        <v>42871.0</v>
      </c>
      <c r="F889" s="4">
        <v>42871.0</v>
      </c>
      <c r="G889" s="1">
        <v>2.0</v>
      </c>
      <c r="H889" s="1">
        <v>7.0</v>
      </c>
      <c r="I889" s="3" t="str">
        <f>VLOOKUP(B889,Customers!A:J, 10,FALSE)</f>
        <v>Garry Juarez</v>
      </c>
      <c r="J889" s="3" t="str">
        <f>VLOOKUP(B889,Customers!A:J,8,FALSE)</f>
        <v>NY</v>
      </c>
      <c r="K889" s="3" t="str">
        <f>VLOOKUP(B889,Customers!A:J,7,FALSE)</f>
        <v>Forest Hills</v>
      </c>
      <c r="L889" s="3" t="str">
        <f>VLOOKUP(H889,Staff!A:I,9,FALSE)</f>
        <v>Venita Daniel</v>
      </c>
      <c r="M889" s="3" t="str">
        <f>VLOOKUP(G889,Store!A:H,2,FALSE)</f>
        <v>Baldwin Bikes</v>
      </c>
      <c r="N889" s="3" t="str">
        <f>VLOOKUP(G889,Store!A:H,6,FALSE)</f>
        <v>Baldwin</v>
      </c>
      <c r="O889" s="3" t="s">
        <v>16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>
        <v>889.0</v>
      </c>
      <c r="B890" s="1">
        <v>830.0</v>
      </c>
      <c r="C890" s="1">
        <v>4.0</v>
      </c>
      <c r="D890" s="4">
        <v>42869.0</v>
      </c>
      <c r="E890" s="4">
        <v>42872.0</v>
      </c>
      <c r="F890" s="4">
        <v>42870.0</v>
      </c>
      <c r="G890" s="1">
        <v>3.0</v>
      </c>
      <c r="H890" s="1">
        <v>8.0</v>
      </c>
      <c r="I890" s="3" t="str">
        <f>VLOOKUP(B890,Customers!A:J, 10,FALSE)</f>
        <v>Edmund Gaines</v>
      </c>
      <c r="J890" s="3" t="str">
        <f>VLOOKUP(B890,Customers!A:J,8,FALSE)</f>
        <v>TX</v>
      </c>
      <c r="K890" s="3" t="str">
        <f>VLOOKUP(B890,Customers!A:J,7,FALSE)</f>
        <v>Copperas Cove</v>
      </c>
      <c r="L890" s="3" t="str">
        <f>VLOOKUP(H890,Staff!A:I,9,FALSE)</f>
        <v>Kali Vargas</v>
      </c>
      <c r="M890" s="3" t="str">
        <f>VLOOKUP(G890,Store!A:H,2,FALSE)</f>
        <v>Rowlett Bikes</v>
      </c>
      <c r="N890" s="3" t="str">
        <f>VLOOKUP(G890,Store!A:H,6,FALSE)</f>
        <v>Rowlett</v>
      </c>
      <c r="O890" s="3" t="s">
        <v>17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>
        <v>890.0</v>
      </c>
      <c r="B891" s="1">
        <v>171.0</v>
      </c>
      <c r="C891" s="1">
        <v>4.0</v>
      </c>
      <c r="D891" s="4">
        <v>42870.0</v>
      </c>
      <c r="E891" s="4">
        <v>42873.0</v>
      </c>
      <c r="F891" s="4">
        <v>42873.0</v>
      </c>
      <c r="G891" s="1">
        <v>2.0</v>
      </c>
      <c r="H891" s="1">
        <v>6.0</v>
      </c>
      <c r="I891" s="3" t="str">
        <f>VLOOKUP(B891,Customers!A:J, 10,FALSE)</f>
        <v>Miriam Baker</v>
      </c>
      <c r="J891" s="3" t="str">
        <f>VLOOKUP(B891,Customers!A:J,8,FALSE)</f>
        <v>NY</v>
      </c>
      <c r="K891" s="3" t="str">
        <f>VLOOKUP(B891,Customers!A:J,7,FALSE)</f>
        <v>Uniondale</v>
      </c>
      <c r="L891" s="3" t="str">
        <f>VLOOKUP(H891,Staff!A:I,9,FALSE)</f>
        <v>Marcelene Boyer</v>
      </c>
      <c r="M891" s="3" t="str">
        <f>VLOOKUP(G891,Store!A:H,2,FALSE)</f>
        <v>Baldwin Bikes</v>
      </c>
      <c r="N891" s="3" t="str">
        <f>VLOOKUP(G891,Store!A:H,6,FALSE)</f>
        <v>Baldwin</v>
      </c>
      <c r="O891" s="3" t="s">
        <v>16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>
        <v>891.0</v>
      </c>
      <c r="B892" s="1">
        <v>384.0</v>
      </c>
      <c r="C892" s="1">
        <v>4.0</v>
      </c>
      <c r="D892" s="4">
        <v>42870.0</v>
      </c>
      <c r="E892" s="4">
        <v>42873.0</v>
      </c>
      <c r="F892" s="4">
        <v>42871.0</v>
      </c>
      <c r="G892" s="1">
        <v>2.0</v>
      </c>
      <c r="H892" s="1">
        <v>6.0</v>
      </c>
      <c r="I892" s="3" t="str">
        <f>VLOOKUP(B892,Customers!A:J, 10,FALSE)</f>
        <v>Aimee Merritt</v>
      </c>
      <c r="J892" s="3" t="str">
        <f>VLOOKUP(B892,Customers!A:J,8,FALSE)</f>
        <v>NY</v>
      </c>
      <c r="K892" s="3" t="str">
        <f>VLOOKUP(B892,Customers!A:J,7,FALSE)</f>
        <v>Flushing</v>
      </c>
      <c r="L892" s="3" t="str">
        <f>VLOOKUP(H892,Staff!A:I,9,FALSE)</f>
        <v>Marcelene Boyer</v>
      </c>
      <c r="M892" s="3" t="str">
        <f>VLOOKUP(G892,Store!A:H,2,FALSE)</f>
        <v>Baldwin Bikes</v>
      </c>
      <c r="N892" s="3" t="str">
        <f>VLOOKUP(G892,Store!A:H,6,FALSE)</f>
        <v>Baldwin</v>
      </c>
      <c r="O892" s="3" t="s">
        <v>16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>
        <v>892.0</v>
      </c>
      <c r="B893" s="1">
        <v>651.0</v>
      </c>
      <c r="C893" s="1">
        <v>4.0</v>
      </c>
      <c r="D893" s="4">
        <v>42870.0</v>
      </c>
      <c r="E893" s="4">
        <v>42873.0</v>
      </c>
      <c r="F893" s="4">
        <v>42872.0</v>
      </c>
      <c r="G893" s="1">
        <v>2.0</v>
      </c>
      <c r="H893" s="1">
        <v>7.0</v>
      </c>
      <c r="I893" s="3" t="str">
        <f>VLOOKUP(B893,Customers!A:J, 10,FALSE)</f>
        <v>Laure Pena</v>
      </c>
      <c r="J893" s="3" t="str">
        <f>VLOOKUP(B893,Customers!A:J,8,FALSE)</f>
        <v>NY</v>
      </c>
      <c r="K893" s="3" t="str">
        <f>VLOOKUP(B893,Customers!A:J,7,FALSE)</f>
        <v>Wappingers Falls</v>
      </c>
      <c r="L893" s="3" t="str">
        <f>VLOOKUP(H893,Staff!A:I,9,FALSE)</f>
        <v>Venita Daniel</v>
      </c>
      <c r="M893" s="3" t="str">
        <f>VLOOKUP(G893,Store!A:H,2,FALSE)</f>
        <v>Baldwin Bikes</v>
      </c>
      <c r="N893" s="3" t="str">
        <f>VLOOKUP(G893,Store!A:H,6,FALSE)</f>
        <v>Baldwin</v>
      </c>
      <c r="O893" s="3" t="s">
        <v>16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>
        <v>893.0</v>
      </c>
      <c r="B894" s="1">
        <v>1293.0</v>
      </c>
      <c r="C894" s="1">
        <v>4.0</v>
      </c>
      <c r="D894" s="4">
        <v>42871.0</v>
      </c>
      <c r="E894" s="4">
        <v>42874.0</v>
      </c>
      <c r="F894" s="4">
        <v>42874.0</v>
      </c>
      <c r="G894" s="1">
        <v>2.0</v>
      </c>
      <c r="H894" s="1">
        <v>7.0</v>
      </c>
      <c r="I894" s="3" t="str">
        <f>VLOOKUP(B894,Customers!A:J, 10,FALSE)</f>
        <v>Sally Kinney</v>
      </c>
      <c r="J894" s="3" t="str">
        <f>VLOOKUP(B894,Customers!A:J,8,FALSE)</f>
        <v>NY</v>
      </c>
      <c r="K894" s="3" t="str">
        <f>VLOOKUP(B894,Customers!A:J,7,FALSE)</f>
        <v>Floral Park</v>
      </c>
      <c r="L894" s="3" t="str">
        <f>VLOOKUP(H894,Staff!A:I,9,FALSE)</f>
        <v>Venita Daniel</v>
      </c>
      <c r="M894" s="3" t="str">
        <f>VLOOKUP(G894,Store!A:H,2,FALSE)</f>
        <v>Baldwin Bikes</v>
      </c>
      <c r="N894" s="3" t="str">
        <f>VLOOKUP(G894,Store!A:H,6,FALSE)</f>
        <v>Baldwin</v>
      </c>
      <c r="O894" s="3" t="s">
        <v>16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>
        <v>894.0</v>
      </c>
      <c r="B895" s="1">
        <v>1320.0</v>
      </c>
      <c r="C895" s="1">
        <v>4.0</v>
      </c>
      <c r="D895" s="4">
        <v>42871.0</v>
      </c>
      <c r="E895" s="4">
        <v>42874.0</v>
      </c>
      <c r="F895" s="4">
        <v>42874.0</v>
      </c>
      <c r="G895" s="1">
        <v>2.0</v>
      </c>
      <c r="H895" s="1">
        <v>6.0</v>
      </c>
      <c r="I895" s="3" t="str">
        <f>VLOOKUP(B895,Customers!A:J, 10,FALSE)</f>
        <v>Obdulia Barber</v>
      </c>
      <c r="J895" s="3" t="str">
        <f>VLOOKUP(B895,Customers!A:J,8,FALSE)</f>
        <v>NY</v>
      </c>
      <c r="K895" s="3" t="str">
        <f>VLOOKUP(B895,Customers!A:J,7,FALSE)</f>
        <v>Newburgh</v>
      </c>
      <c r="L895" s="3" t="str">
        <f>VLOOKUP(H895,Staff!A:I,9,FALSE)</f>
        <v>Marcelene Boyer</v>
      </c>
      <c r="M895" s="3" t="str">
        <f>VLOOKUP(G895,Store!A:H,2,FALSE)</f>
        <v>Baldwin Bikes</v>
      </c>
      <c r="N895" s="3" t="str">
        <f>VLOOKUP(G895,Store!A:H,6,FALSE)</f>
        <v>Baldwin</v>
      </c>
      <c r="O895" s="3" t="s">
        <v>16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>
        <v>895.0</v>
      </c>
      <c r="B896" s="1">
        <v>857.0</v>
      </c>
      <c r="C896" s="1">
        <v>4.0</v>
      </c>
      <c r="D896" s="4">
        <v>42873.0</v>
      </c>
      <c r="E896" s="4">
        <v>42876.0</v>
      </c>
      <c r="F896" s="4">
        <v>42874.0</v>
      </c>
      <c r="G896" s="1">
        <v>2.0</v>
      </c>
      <c r="H896" s="1">
        <v>6.0</v>
      </c>
      <c r="I896" s="3" t="str">
        <f>VLOOKUP(B896,Customers!A:J, 10,FALSE)</f>
        <v>Inga Koch</v>
      </c>
      <c r="J896" s="3" t="str">
        <f>VLOOKUP(B896,Customers!A:J,8,FALSE)</f>
        <v>NY</v>
      </c>
      <c r="K896" s="3" t="str">
        <f>VLOOKUP(B896,Customers!A:J,7,FALSE)</f>
        <v>New Windsor</v>
      </c>
      <c r="L896" s="3" t="str">
        <f>VLOOKUP(H896,Staff!A:I,9,FALSE)</f>
        <v>Marcelene Boyer</v>
      </c>
      <c r="M896" s="3" t="str">
        <f>VLOOKUP(G896,Store!A:H,2,FALSE)</f>
        <v>Baldwin Bikes</v>
      </c>
      <c r="N896" s="3" t="str">
        <f>VLOOKUP(G896,Store!A:H,6,FALSE)</f>
        <v>Baldwin</v>
      </c>
      <c r="O896" s="3" t="s">
        <v>16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>
        <v>896.0</v>
      </c>
      <c r="B897" s="1">
        <v>376.0</v>
      </c>
      <c r="C897" s="1">
        <v>4.0</v>
      </c>
      <c r="D897" s="4">
        <v>42874.0</v>
      </c>
      <c r="E897" s="4">
        <v>42877.0</v>
      </c>
      <c r="F897" s="4">
        <v>42876.0</v>
      </c>
      <c r="G897" s="1">
        <v>3.0</v>
      </c>
      <c r="H897" s="1">
        <v>9.0</v>
      </c>
      <c r="I897" s="3" t="str">
        <f>VLOOKUP(B897,Customers!A:J, 10,FALSE)</f>
        <v>Elanor Patrick</v>
      </c>
      <c r="J897" s="3" t="str">
        <f>VLOOKUP(B897,Customers!A:J,8,FALSE)</f>
        <v>TX</v>
      </c>
      <c r="K897" s="3" t="str">
        <f>VLOOKUP(B897,Customers!A:J,7,FALSE)</f>
        <v>Victoria</v>
      </c>
      <c r="L897" s="3" t="str">
        <f>VLOOKUP(H897,Staff!A:I,9,FALSE)</f>
        <v>Layla Terrell</v>
      </c>
      <c r="M897" s="3" t="str">
        <f>VLOOKUP(G897,Store!A:H,2,FALSE)</f>
        <v>Rowlett Bikes</v>
      </c>
      <c r="N897" s="3" t="str">
        <f>VLOOKUP(G897,Store!A:H,6,FALSE)</f>
        <v>Rowlett</v>
      </c>
      <c r="O897" s="3" t="s">
        <v>17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>
        <v>897.0</v>
      </c>
      <c r="B898" s="1">
        <v>47.0</v>
      </c>
      <c r="C898" s="1">
        <v>4.0</v>
      </c>
      <c r="D898" s="4">
        <v>42875.0</v>
      </c>
      <c r="E898" s="4">
        <v>42876.0</v>
      </c>
      <c r="F898" s="4">
        <v>42876.0</v>
      </c>
      <c r="G898" s="1">
        <v>1.0</v>
      </c>
      <c r="H898" s="1">
        <v>2.0</v>
      </c>
      <c r="I898" s="3" t="str">
        <f>VLOOKUP(B898,Customers!A:J, 10,FALSE)</f>
        <v>Bridgette Guerra</v>
      </c>
      <c r="J898" s="3" t="str">
        <f>VLOOKUP(B898,Customers!A:J,8,FALSE)</f>
        <v>CA</v>
      </c>
      <c r="K898" s="3" t="str">
        <f>VLOOKUP(B898,Customers!A:J,7,FALSE)</f>
        <v>San Lorenzo</v>
      </c>
      <c r="L898" s="3" t="str">
        <f>VLOOKUP(H898,Staff!A:I,9,FALSE)</f>
        <v>Mireya Copeland</v>
      </c>
      <c r="M898" s="3" t="str">
        <f>VLOOKUP(G898,Store!A:H,2,FALSE)</f>
        <v>Santa Cruz Bikes</v>
      </c>
      <c r="N898" s="3" t="str">
        <f>VLOOKUP(G898,Store!A:H,6,FALSE)</f>
        <v>Santa Cruz</v>
      </c>
      <c r="O898" s="3" t="s">
        <v>15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>
        <v>898.0</v>
      </c>
      <c r="B899" s="1">
        <v>352.0</v>
      </c>
      <c r="C899" s="1">
        <v>4.0</v>
      </c>
      <c r="D899" s="4">
        <v>42875.0</v>
      </c>
      <c r="E899" s="4">
        <v>42876.0</v>
      </c>
      <c r="F899" s="4">
        <v>42877.0</v>
      </c>
      <c r="G899" s="1">
        <v>2.0</v>
      </c>
      <c r="H899" s="1">
        <v>6.0</v>
      </c>
      <c r="I899" s="3" t="str">
        <f>VLOOKUP(B899,Customers!A:J, 10,FALSE)</f>
        <v>Josef Greer</v>
      </c>
      <c r="J899" s="3" t="str">
        <f>VLOOKUP(B899,Customers!A:J,8,FALSE)</f>
        <v>NY</v>
      </c>
      <c r="K899" s="3" t="str">
        <f>VLOOKUP(B899,Customers!A:J,7,FALSE)</f>
        <v>Jamaica</v>
      </c>
      <c r="L899" s="3" t="str">
        <f>VLOOKUP(H899,Staff!A:I,9,FALSE)</f>
        <v>Marcelene Boyer</v>
      </c>
      <c r="M899" s="3" t="str">
        <f>VLOOKUP(G899,Store!A:H,2,FALSE)</f>
        <v>Baldwin Bikes</v>
      </c>
      <c r="N899" s="3" t="str">
        <f>VLOOKUP(G899,Store!A:H,6,FALSE)</f>
        <v>Baldwin</v>
      </c>
      <c r="O899" s="3" t="s">
        <v>16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>
        <v>899.0</v>
      </c>
      <c r="B900" s="1">
        <v>605.0</v>
      </c>
      <c r="C900" s="1">
        <v>4.0</v>
      </c>
      <c r="D900" s="4">
        <v>42875.0</v>
      </c>
      <c r="E900" s="4">
        <v>42876.0</v>
      </c>
      <c r="F900" s="4">
        <v>42876.0</v>
      </c>
      <c r="G900" s="1">
        <v>2.0</v>
      </c>
      <c r="H900" s="1">
        <v>7.0</v>
      </c>
      <c r="I900" s="3" t="str">
        <f>VLOOKUP(B900,Customers!A:J, 10,FALSE)</f>
        <v>Renita Henry</v>
      </c>
      <c r="J900" s="3" t="str">
        <f>VLOOKUP(B900,Customers!A:J,8,FALSE)</f>
        <v>NY</v>
      </c>
      <c r="K900" s="3" t="str">
        <f>VLOOKUP(B900,Customers!A:J,7,FALSE)</f>
        <v>New Rochelle</v>
      </c>
      <c r="L900" s="3" t="str">
        <f>VLOOKUP(H900,Staff!A:I,9,FALSE)</f>
        <v>Venita Daniel</v>
      </c>
      <c r="M900" s="3" t="str">
        <f>VLOOKUP(G900,Store!A:H,2,FALSE)</f>
        <v>Baldwin Bikes</v>
      </c>
      <c r="N900" s="3" t="str">
        <f>VLOOKUP(G900,Store!A:H,6,FALSE)</f>
        <v>Baldwin</v>
      </c>
      <c r="O900" s="3" t="s">
        <v>16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>
        <v>900.0</v>
      </c>
      <c r="B901" s="1">
        <v>971.0</v>
      </c>
      <c r="C901" s="1">
        <v>4.0</v>
      </c>
      <c r="D901" s="4">
        <v>42875.0</v>
      </c>
      <c r="E901" s="4">
        <v>42876.0</v>
      </c>
      <c r="F901" s="4">
        <v>42877.0</v>
      </c>
      <c r="G901" s="1">
        <v>2.0</v>
      </c>
      <c r="H901" s="1">
        <v>6.0</v>
      </c>
      <c r="I901" s="3" t="str">
        <f>VLOOKUP(B901,Customers!A:J, 10,FALSE)</f>
        <v>Samual Warner</v>
      </c>
      <c r="J901" s="3" t="str">
        <f>VLOOKUP(B901,Customers!A:J,8,FALSE)</f>
        <v>NY</v>
      </c>
      <c r="K901" s="3" t="str">
        <f>VLOOKUP(B901,Customers!A:J,7,FALSE)</f>
        <v>Brentwood</v>
      </c>
      <c r="L901" s="3" t="str">
        <f>VLOOKUP(H901,Staff!A:I,9,FALSE)</f>
        <v>Marcelene Boyer</v>
      </c>
      <c r="M901" s="3" t="str">
        <f>VLOOKUP(G901,Store!A:H,2,FALSE)</f>
        <v>Baldwin Bikes</v>
      </c>
      <c r="N901" s="3" t="str">
        <f>VLOOKUP(G901,Store!A:H,6,FALSE)</f>
        <v>Baldwin</v>
      </c>
      <c r="O901" s="3" t="s">
        <v>16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>
        <v>901.0</v>
      </c>
      <c r="B902" s="1">
        <v>345.0</v>
      </c>
      <c r="C902" s="1">
        <v>4.0</v>
      </c>
      <c r="D902" s="4">
        <v>42876.0</v>
      </c>
      <c r="E902" s="4">
        <v>42877.0</v>
      </c>
      <c r="F902" s="4">
        <v>42879.0</v>
      </c>
      <c r="G902" s="1">
        <v>2.0</v>
      </c>
      <c r="H902" s="1">
        <v>7.0</v>
      </c>
      <c r="I902" s="3" t="str">
        <f>VLOOKUP(B902,Customers!A:J, 10,FALSE)</f>
        <v>Mi Gray</v>
      </c>
      <c r="J902" s="3" t="str">
        <f>VLOOKUP(B902,Customers!A:J,8,FALSE)</f>
        <v>NY</v>
      </c>
      <c r="K902" s="3" t="str">
        <f>VLOOKUP(B902,Customers!A:J,7,FALSE)</f>
        <v>Albany</v>
      </c>
      <c r="L902" s="3" t="str">
        <f>VLOOKUP(H902,Staff!A:I,9,FALSE)</f>
        <v>Venita Daniel</v>
      </c>
      <c r="M902" s="3" t="str">
        <f>VLOOKUP(G902,Store!A:H,2,FALSE)</f>
        <v>Baldwin Bikes</v>
      </c>
      <c r="N902" s="3" t="str">
        <f>VLOOKUP(G902,Store!A:H,6,FALSE)</f>
        <v>Baldwin</v>
      </c>
      <c r="O902" s="3" t="s">
        <v>16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>
        <v>902.0</v>
      </c>
      <c r="B903" s="1">
        <v>1278.0</v>
      </c>
      <c r="C903" s="1">
        <v>4.0</v>
      </c>
      <c r="D903" s="4">
        <v>42876.0</v>
      </c>
      <c r="E903" s="4">
        <v>42879.0</v>
      </c>
      <c r="F903" s="4">
        <v>42877.0</v>
      </c>
      <c r="G903" s="1">
        <v>2.0</v>
      </c>
      <c r="H903" s="1">
        <v>6.0</v>
      </c>
      <c r="I903" s="3" t="str">
        <f>VLOOKUP(B903,Customers!A:J, 10,FALSE)</f>
        <v>Loan Graham</v>
      </c>
      <c r="J903" s="3" t="str">
        <f>VLOOKUP(B903,Customers!A:J,8,FALSE)</f>
        <v>NY</v>
      </c>
      <c r="K903" s="3" t="str">
        <f>VLOOKUP(B903,Customers!A:J,7,FALSE)</f>
        <v>Jackson Heights</v>
      </c>
      <c r="L903" s="3" t="str">
        <f>VLOOKUP(H903,Staff!A:I,9,FALSE)</f>
        <v>Marcelene Boyer</v>
      </c>
      <c r="M903" s="3" t="str">
        <f>VLOOKUP(G903,Store!A:H,2,FALSE)</f>
        <v>Baldwin Bikes</v>
      </c>
      <c r="N903" s="3" t="str">
        <f>VLOOKUP(G903,Store!A:H,6,FALSE)</f>
        <v>Baldwin</v>
      </c>
      <c r="O903" s="3" t="s">
        <v>16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>
        <v>903.0</v>
      </c>
      <c r="B904" s="1">
        <v>179.0</v>
      </c>
      <c r="C904" s="1">
        <v>4.0</v>
      </c>
      <c r="D904" s="4">
        <v>42877.0</v>
      </c>
      <c r="E904" s="4">
        <v>42878.0</v>
      </c>
      <c r="F904" s="4">
        <v>42879.0</v>
      </c>
      <c r="G904" s="1">
        <v>2.0</v>
      </c>
      <c r="H904" s="1">
        <v>7.0</v>
      </c>
      <c r="I904" s="3" t="str">
        <f>VLOOKUP(B904,Customers!A:J, 10,FALSE)</f>
        <v>Deane Sears</v>
      </c>
      <c r="J904" s="3" t="str">
        <f>VLOOKUP(B904,Customers!A:J,8,FALSE)</f>
        <v>NY</v>
      </c>
      <c r="K904" s="3" t="str">
        <f>VLOOKUP(B904,Customers!A:J,7,FALSE)</f>
        <v>Pittsford</v>
      </c>
      <c r="L904" s="3" t="str">
        <f>VLOOKUP(H904,Staff!A:I,9,FALSE)</f>
        <v>Venita Daniel</v>
      </c>
      <c r="M904" s="3" t="str">
        <f>VLOOKUP(G904,Store!A:H,2,FALSE)</f>
        <v>Baldwin Bikes</v>
      </c>
      <c r="N904" s="3" t="str">
        <f>VLOOKUP(G904,Store!A:H,6,FALSE)</f>
        <v>Baldwin</v>
      </c>
      <c r="O904" s="3" t="s">
        <v>16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>
        <v>904.0</v>
      </c>
      <c r="B905" s="1">
        <v>1020.0</v>
      </c>
      <c r="C905" s="1">
        <v>4.0</v>
      </c>
      <c r="D905" s="4">
        <v>42878.0</v>
      </c>
      <c r="E905" s="4">
        <v>42881.0</v>
      </c>
      <c r="F905" s="4">
        <v>42879.0</v>
      </c>
      <c r="G905" s="1">
        <v>1.0</v>
      </c>
      <c r="H905" s="1">
        <v>2.0</v>
      </c>
      <c r="I905" s="3" t="str">
        <f>VLOOKUP(B905,Customers!A:J, 10,FALSE)</f>
        <v>Lorraine Marks</v>
      </c>
      <c r="J905" s="3" t="str">
        <f>VLOOKUP(B905,Customers!A:J,8,FALSE)</f>
        <v>CA</v>
      </c>
      <c r="K905" s="3" t="str">
        <f>VLOOKUP(B905,Customers!A:J,7,FALSE)</f>
        <v>San Carlos</v>
      </c>
      <c r="L905" s="3" t="str">
        <f>VLOOKUP(H905,Staff!A:I,9,FALSE)</f>
        <v>Mireya Copeland</v>
      </c>
      <c r="M905" s="3" t="str">
        <f>VLOOKUP(G905,Store!A:H,2,FALSE)</f>
        <v>Santa Cruz Bikes</v>
      </c>
      <c r="N905" s="3" t="str">
        <f>VLOOKUP(G905,Store!A:H,6,FALSE)</f>
        <v>Santa Cruz</v>
      </c>
      <c r="O905" s="3" t="s">
        <v>15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>
        <v>905.0</v>
      </c>
      <c r="B906" s="1">
        <v>609.0</v>
      </c>
      <c r="C906" s="1">
        <v>4.0</v>
      </c>
      <c r="D906" s="4">
        <v>42878.0</v>
      </c>
      <c r="E906" s="4">
        <v>42881.0</v>
      </c>
      <c r="F906" s="4">
        <v>42879.0</v>
      </c>
      <c r="G906" s="1">
        <v>2.0</v>
      </c>
      <c r="H906" s="1">
        <v>6.0</v>
      </c>
      <c r="I906" s="3" t="str">
        <f>VLOOKUP(B906,Customers!A:J, 10,FALSE)</f>
        <v>Eliana Reese</v>
      </c>
      <c r="J906" s="3" t="str">
        <f>VLOOKUP(B906,Customers!A:J,8,FALSE)</f>
        <v>NY</v>
      </c>
      <c r="K906" s="3" t="str">
        <f>VLOOKUP(B906,Customers!A:J,7,FALSE)</f>
        <v>Woodhaven</v>
      </c>
      <c r="L906" s="3" t="str">
        <f>VLOOKUP(H906,Staff!A:I,9,FALSE)</f>
        <v>Marcelene Boyer</v>
      </c>
      <c r="M906" s="3" t="str">
        <f>VLOOKUP(G906,Store!A:H,2,FALSE)</f>
        <v>Baldwin Bikes</v>
      </c>
      <c r="N906" s="3" t="str">
        <f>VLOOKUP(G906,Store!A:H,6,FALSE)</f>
        <v>Baldwin</v>
      </c>
      <c r="O906" s="3" t="s">
        <v>16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>
        <v>906.0</v>
      </c>
      <c r="B907" s="1">
        <v>877.0</v>
      </c>
      <c r="C907" s="1">
        <v>4.0</v>
      </c>
      <c r="D907" s="4">
        <v>42878.0</v>
      </c>
      <c r="E907" s="4">
        <v>42881.0</v>
      </c>
      <c r="F907" s="4">
        <v>42881.0</v>
      </c>
      <c r="G907" s="1">
        <v>2.0</v>
      </c>
      <c r="H907" s="1">
        <v>7.0</v>
      </c>
      <c r="I907" s="3" t="str">
        <f>VLOOKUP(B907,Customers!A:J, 10,FALSE)</f>
        <v>Janine Manning</v>
      </c>
      <c r="J907" s="3" t="str">
        <f>VLOOKUP(B907,Customers!A:J,8,FALSE)</f>
        <v>NY</v>
      </c>
      <c r="K907" s="3" t="str">
        <f>VLOOKUP(B907,Customers!A:J,7,FALSE)</f>
        <v>Howard Beach</v>
      </c>
      <c r="L907" s="3" t="str">
        <f>VLOOKUP(H907,Staff!A:I,9,FALSE)</f>
        <v>Venita Daniel</v>
      </c>
      <c r="M907" s="3" t="str">
        <f>VLOOKUP(G907,Store!A:H,2,FALSE)</f>
        <v>Baldwin Bikes</v>
      </c>
      <c r="N907" s="3" t="str">
        <f>VLOOKUP(G907,Store!A:H,6,FALSE)</f>
        <v>Baldwin</v>
      </c>
      <c r="O907" s="3" t="s">
        <v>16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>
        <v>907.0</v>
      </c>
      <c r="B908" s="1">
        <v>120.0</v>
      </c>
      <c r="C908" s="1">
        <v>4.0</v>
      </c>
      <c r="D908" s="4">
        <v>42879.0</v>
      </c>
      <c r="E908" s="4">
        <v>42881.0</v>
      </c>
      <c r="F908" s="4">
        <v>42882.0</v>
      </c>
      <c r="G908" s="1">
        <v>1.0</v>
      </c>
      <c r="H908" s="1">
        <v>2.0</v>
      </c>
      <c r="I908" s="3" t="str">
        <f>VLOOKUP(B908,Customers!A:J, 10,FALSE)</f>
        <v>Luz House</v>
      </c>
      <c r="J908" s="3" t="str">
        <f>VLOOKUP(B908,Customers!A:J,8,FALSE)</f>
        <v>CA</v>
      </c>
      <c r="K908" s="3" t="str">
        <f>VLOOKUP(B908,Customers!A:J,7,FALSE)</f>
        <v>Fresno</v>
      </c>
      <c r="L908" s="3" t="str">
        <f>VLOOKUP(H908,Staff!A:I,9,FALSE)</f>
        <v>Mireya Copeland</v>
      </c>
      <c r="M908" s="3" t="str">
        <f>VLOOKUP(G908,Store!A:H,2,FALSE)</f>
        <v>Santa Cruz Bikes</v>
      </c>
      <c r="N908" s="3" t="str">
        <f>VLOOKUP(G908,Store!A:H,6,FALSE)</f>
        <v>Santa Cruz</v>
      </c>
      <c r="O908" s="3" t="s">
        <v>15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>
        <v>908.0</v>
      </c>
      <c r="B909" s="1">
        <v>402.0</v>
      </c>
      <c r="C909" s="1">
        <v>4.0</v>
      </c>
      <c r="D909" s="4">
        <v>42880.0</v>
      </c>
      <c r="E909" s="4">
        <v>42883.0</v>
      </c>
      <c r="F909" s="4">
        <v>42882.0</v>
      </c>
      <c r="G909" s="1">
        <v>2.0</v>
      </c>
      <c r="H909" s="1">
        <v>7.0</v>
      </c>
      <c r="I909" s="3" t="str">
        <f>VLOOKUP(B909,Customers!A:J, 10,FALSE)</f>
        <v>Kerrie Morton</v>
      </c>
      <c r="J909" s="3" t="str">
        <f>VLOOKUP(B909,Customers!A:J,8,FALSE)</f>
        <v>NY</v>
      </c>
      <c r="K909" s="3" t="str">
        <f>VLOOKUP(B909,Customers!A:J,7,FALSE)</f>
        <v>Pittsford</v>
      </c>
      <c r="L909" s="3" t="str">
        <f>VLOOKUP(H909,Staff!A:I,9,FALSE)</f>
        <v>Venita Daniel</v>
      </c>
      <c r="M909" s="3" t="str">
        <f>VLOOKUP(G909,Store!A:H,2,FALSE)</f>
        <v>Baldwin Bikes</v>
      </c>
      <c r="N909" s="3" t="str">
        <f>VLOOKUP(G909,Store!A:H,6,FALSE)</f>
        <v>Baldwin</v>
      </c>
      <c r="O909" s="3" t="s">
        <v>16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>
        <v>909.0</v>
      </c>
      <c r="B910" s="1">
        <v>188.0</v>
      </c>
      <c r="C910" s="1">
        <v>4.0</v>
      </c>
      <c r="D910" s="4">
        <v>42881.0</v>
      </c>
      <c r="E910" s="4">
        <v>42882.0</v>
      </c>
      <c r="F910" s="4">
        <v>42883.0</v>
      </c>
      <c r="G910" s="1">
        <v>1.0</v>
      </c>
      <c r="H910" s="1">
        <v>2.0</v>
      </c>
      <c r="I910" s="3" t="str">
        <f>VLOOKUP(B910,Customers!A:J, 10,FALSE)</f>
        <v>Sharla Flynn</v>
      </c>
      <c r="J910" s="3" t="str">
        <f>VLOOKUP(B910,Customers!A:J,8,FALSE)</f>
        <v>CA</v>
      </c>
      <c r="K910" s="3" t="str">
        <f>VLOOKUP(B910,Customers!A:J,7,FALSE)</f>
        <v>Oxnard</v>
      </c>
      <c r="L910" s="3" t="str">
        <f>VLOOKUP(H910,Staff!A:I,9,FALSE)</f>
        <v>Mireya Copeland</v>
      </c>
      <c r="M910" s="3" t="str">
        <f>VLOOKUP(G910,Store!A:H,2,FALSE)</f>
        <v>Santa Cruz Bikes</v>
      </c>
      <c r="N910" s="3" t="str">
        <f>VLOOKUP(G910,Store!A:H,6,FALSE)</f>
        <v>Santa Cruz</v>
      </c>
      <c r="O910" s="3" t="s">
        <v>15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>
        <v>910.0</v>
      </c>
      <c r="B911" s="1">
        <v>342.0</v>
      </c>
      <c r="C911" s="1">
        <v>4.0</v>
      </c>
      <c r="D911" s="4">
        <v>42881.0</v>
      </c>
      <c r="E911" s="4">
        <v>42883.0</v>
      </c>
      <c r="F911" s="4">
        <v>42883.0</v>
      </c>
      <c r="G911" s="1">
        <v>2.0</v>
      </c>
      <c r="H911" s="1">
        <v>7.0</v>
      </c>
      <c r="I911" s="3" t="str">
        <f>VLOOKUP(B911,Customers!A:J, 10,FALSE)</f>
        <v>Cassondra Pruitt</v>
      </c>
      <c r="J911" s="3" t="str">
        <f>VLOOKUP(B911,Customers!A:J,8,FALSE)</f>
        <v>NY</v>
      </c>
      <c r="K911" s="3" t="str">
        <f>VLOOKUP(B911,Customers!A:J,7,FALSE)</f>
        <v>Merrick</v>
      </c>
      <c r="L911" s="3" t="str">
        <f>VLOOKUP(H911,Staff!A:I,9,FALSE)</f>
        <v>Venita Daniel</v>
      </c>
      <c r="M911" s="3" t="str">
        <f>VLOOKUP(G911,Store!A:H,2,FALSE)</f>
        <v>Baldwin Bikes</v>
      </c>
      <c r="N911" s="3" t="str">
        <f>VLOOKUP(G911,Store!A:H,6,FALSE)</f>
        <v>Baldwin</v>
      </c>
      <c r="O911" s="3" t="s">
        <v>16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>
        <v>911.0</v>
      </c>
      <c r="B912" s="1">
        <v>887.0</v>
      </c>
      <c r="C912" s="1">
        <v>4.0</v>
      </c>
      <c r="D912" s="4">
        <v>42881.0</v>
      </c>
      <c r="E912" s="4">
        <v>42884.0</v>
      </c>
      <c r="F912" s="4">
        <v>42884.0</v>
      </c>
      <c r="G912" s="1">
        <v>2.0</v>
      </c>
      <c r="H912" s="1">
        <v>6.0</v>
      </c>
      <c r="I912" s="3" t="str">
        <f>VLOOKUP(B912,Customers!A:J, 10,FALSE)</f>
        <v>Graig Cannon</v>
      </c>
      <c r="J912" s="3" t="str">
        <f>VLOOKUP(B912,Customers!A:J,8,FALSE)</f>
        <v>NY</v>
      </c>
      <c r="K912" s="3" t="str">
        <f>VLOOKUP(B912,Customers!A:J,7,FALSE)</f>
        <v>Syosset</v>
      </c>
      <c r="L912" s="3" t="str">
        <f>VLOOKUP(H912,Staff!A:I,9,FALSE)</f>
        <v>Marcelene Boyer</v>
      </c>
      <c r="M912" s="3" t="str">
        <f>VLOOKUP(G912,Store!A:H,2,FALSE)</f>
        <v>Baldwin Bikes</v>
      </c>
      <c r="N912" s="3" t="str">
        <f>VLOOKUP(G912,Store!A:H,6,FALSE)</f>
        <v>Baldwin</v>
      </c>
      <c r="O912" s="3" t="s">
        <v>16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>
        <v>912.0</v>
      </c>
      <c r="B913" s="1">
        <v>519.0</v>
      </c>
      <c r="C913" s="1">
        <v>4.0</v>
      </c>
      <c r="D913" s="4">
        <v>42882.0</v>
      </c>
      <c r="E913" s="4">
        <v>42884.0</v>
      </c>
      <c r="F913" s="4">
        <v>42884.0</v>
      </c>
      <c r="G913" s="1">
        <v>1.0</v>
      </c>
      <c r="H913" s="1">
        <v>2.0</v>
      </c>
      <c r="I913" s="3" t="str">
        <f>VLOOKUP(B913,Customers!A:J, 10,FALSE)</f>
        <v>Rudolf Gilliam</v>
      </c>
      <c r="J913" s="3" t="str">
        <f>VLOOKUP(B913,Customers!A:J,8,FALSE)</f>
        <v>CA</v>
      </c>
      <c r="K913" s="3" t="str">
        <f>VLOOKUP(B913,Customers!A:J,7,FALSE)</f>
        <v>Palos Verdes Peninsula</v>
      </c>
      <c r="L913" s="3" t="str">
        <f>VLOOKUP(H913,Staff!A:I,9,FALSE)</f>
        <v>Mireya Copeland</v>
      </c>
      <c r="M913" s="3" t="str">
        <f>VLOOKUP(G913,Store!A:H,2,FALSE)</f>
        <v>Santa Cruz Bikes</v>
      </c>
      <c r="N913" s="3" t="str">
        <f>VLOOKUP(G913,Store!A:H,6,FALSE)</f>
        <v>Santa Cruz</v>
      </c>
      <c r="O913" s="3" t="s">
        <v>15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>
        <v>913.0</v>
      </c>
      <c r="B914" s="1">
        <v>699.0</v>
      </c>
      <c r="C914" s="1">
        <v>4.0</v>
      </c>
      <c r="D914" s="4">
        <v>42882.0</v>
      </c>
      <c r="E914" s="4">
        <v>42884.0</v>
      </c>
      <c r="F914" s="4">
        <v>42884.0</v>
      </c>
      <c r="G914" s="1">
        <v>2.0</v>
      </c>
      <c r="H914" s="1">
        <v>6.0</v>
      </c>
      <c r="I914" s="3" t="str">
        <f>VLOOKUP(B914,Customers!A:J, 10,FALSE)</f>
        <v>Zella Fernandez</v>
      </c>
      <c r="J914" s="3" t="str">
        <f>VLOOKUP(B914,Customers!A:J,8,FALSE)</f>
        <v>NY</v>
      </c>
      <c r="K914" s="3" t="str">
        <f>VLOOKUP(B914,Customers!A:J,7,FALSE)</f>
        <v>Rockville Centre</v>
      </c>
      <c r="L914" s="3" t="str">
        <f>VLOOKUP(H914,Staff!A:I,9,FALSE)</f>
        <v>Marcelene Boyer</v>
      </c>
      <c r="M914" s="3" t="str">
        <f>VLOOKUP(G914,Store!A:H,2,FALSE)</f>
        <v>Baldwin Bikes</v>
      </c>
      <c r="N914" s="3" t="str">
        <f>VLOOKUP(G914,Store!A:H,6,FALSE)</f>
        <v>Baldwin</v>
      </c>
      <c r="O914" s="3" t="s">
        <v>16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>
        <v>914.0</v>
      </c>
      <c r="B915" s="1">
        <v>1068.0</v>
      </c>
      <c r="C915" s="1">
        <v>4.0</v>
      </c>
      <c r="D915" s="4">
        <v>42883.0</v>
      </c>
      <c r="E915" s="4">
        <v>42886.0</v>
      </c>
      <c r="F915" s="4">
        <v>42886.0</v>
      </c>
      <c r="G915" s="1">
        <v>1.0</v>
      </c>
      <c r="H915" s="1">
        <v>2.0</v>
      </c>
      <c r="I915" s="3" t="str">
        <f>VLOOKUP(B915,Customers!A:J, 10,FALSE)</f>
        <v>Doris Kaufman</v>
      </c>
      <c r="J915" s="3" t="str">
        <f>VLOOKUP(B915,Customers!A:J,8,FALSE)</f>
        <v>CA</v>
      </c>
      <c r="K915" s="3" t="str">
        <f>VLOOKUP(B915,Customers!A:J,7,FALSE)</f>
        <v>Duarte</v>
      </c>
      <c r="L915" s="3" t="str">
        <f>VLOOKUP(H915,Staff!A:I,9,FALSE)</f>
        <v>Mireya Copeland</v>
      </c>
      <c r="M915" s="3" t="str">
        <f>VLOOKUP(G915,Store!A:H,2,FALSE)</f>
        <v>Santa Cruz Bikes</v>
      </c>
      <c r="N915" s="3" t="str">
        <f>VLOOKUP(G915,Store!A:H,6,FALSE)</f>
        <v>Santa Cruz</v>
      </c>
      <c r="O915" s="3" t="s">
        <v>15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>
        <v>915.0</v>
      </c>
      <c r="B916" s="1">
        <v>215.0</v>
      </c>
      <c r="C916" s="1">
        <v>4.0</v>
      </c>
      <c r="D916" s="4">
        <v>42883.0</v>
      </c>
      <c r="E916" s="4">
        <v>42885.0</v>
      </c>
      <c r="F916" s="4">
        <v>42885.0</v>
      </c>
      <c r="G916" s="1">
        <v>2.0</v>
      </c>
      <c r="H916" s="1">
        <v>6.0</v>
      </c>
      <c r="I916" s="3" t="str">
        <f>VLOOKUP(B916,Customers!A:J, 10,FALSE)</f>
        <v>Judith Finley</v>
      </c>
      <c r="J916" s="3" t="str">
        <f>VLOOKUP(B916,Customers!A:J,8,FALSE)</f>
        <v>NY</v>
      </c>
      <c r="K916" s="3" t="str">
        <f>VLOOKUP(B916,Customers!A:J,7,FALSE)</f>
        <v>Whitestone</v>
      </c>
      <c r="L916" s="3" t="str">
        <f>VLOOKUP(H916,Staff!A:I,9,FALSE)</f>
        <v>Marcelene Boyer</v>
      </c>
      <c r="M916" s="3" t="str">
        <f>VLOOKUP(G916,Store!A:H,2,FALSE)</f>
        <v>Baldwin Bikes</v>
      </c>
      <c r="N916" s="3" t="str">
        <f>VLOOKUP(G916,Store!A:H,6,FALSE)</f>
        <v>Baldwin</v>
      </c>
      <c r="O916" s="3" t="s">
        <v>16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>
        <v>916.0</v>
      </c>
      <c r="B917" s="1">
        <v>718.0</v>
      </c>
      <c r="C917" s="1">
        <v>4.0</v>
      </c>
      <c r="D917" s="4">
        <v>42883.0</v>
      </c>
      <c r="E917" s="4">
        <v>42884.0</v>
      </c>
      <c r="F917" s="4">
        <v>42884.0</v>
      </c>
      <c r="G917" s="1">
        <v>2.0</v>
      </c>
      <c r="H917" s="1">
        <v>6.0</v>
      </c>
      <c r="I917" s="3" t="str">
        <f>VLOOKUP(B917,Customers!A:J, 10,FALSE)</f>
        <v>Luciana Mcgee</v>
      </c>
      <c r="J917" s="3" t="str">
        <f>VLOOKUP(B917,Customers!A:J,8,FALSE)</f>
        <v>NY</v>
      </c>
      <c r="K917" s="3" t="str">
        <f>VLOOKUP(B917,Customers!A:J,7,FALSE)</f>
        <v>Selden</v>
      </c>
      <c r="L917" s="3" t="str">
        <f>VLOOKUP(H917,Staff!A:I,9,FALSE)</f>
        <v>Marcelene Boyer</v>
      </c>
      <c r="M917" s="3" t="str">
        <f>VLOOKUP(G917,Store!A:H,2,FALSE)</f>
        <v>Baldwin Bikes</v>
      </c>
      <c r="N917" s="3" t="str">
        <f>VLOOKUP(G917,Store!A:H,6,FALSE)</f>
        <v>Baldwin</v>
      </c>
      <c r="O917" s="3" t="s">
        <v>16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>
        <v>917.0</v>
      </c>
      <c r="B918" s="1">
        <v>881.0</v>
      </c>
      <c r="C918" s="1">
        <v>4.0</v>
      </c>
      <c r="D918" s="4">
        <v>42884.0</v>
      </c>
      <c r="E918" s="4">
        <v>42886.0</v>
      </c>
      <c r="F918" s="4">
        <v>42887.0</v>
      </c>
      <c r="G918" s="1">
        <v>1.0</v>
      </c>
      <c r="H918" s="1">
        <v>2.0</v>
      </c>
      <c r="I918" s="3" t="str">
        <f>VLOOKUP(B918,Customers!A:J, 10,FALSE)</f>
        <v>Chloe Patel</v>
      </c>
      <c r="J918" s="3" t="str">
        <f>VLOOKUP(B918,Customers!A:J,8,FALSE)</f>
        <v>CA</v>
      </c>
      <c r="K918" s="3" t="str">
        <f>VLOOKUP(B918,Customers!A:J,7,FALSE)</f>
        <v>Santa Monica</v>
      </c>
      <c r="L918" s="3" t="str">
        <f>VLOOKUP(H918,Staff!A:I,9,FALSE)</f>
        <v>Mireya Copeland</v>
      </c>
      <c r="M918" s="3" t="str">
        <f>VLOOKUP(G918,Store!A:H,2,FALSE)</f>
        <v>Santa Cruz Bikes</v>
      </c>
      <c r="N918" s="3" t="str">
        <f>VLOOKUP(G918,Store!A:H,6,FALSE)</f>
        <v>Santa Cruz</v>
      </c>
      <c r="O918" s="3" t="s">
        <v>15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>
        <v>918.0</v>
      </c>
      <c r="B919" s="1">
        <v>242.0</v>
      </c>
      <c r="C919" s="1">
        <v>4.0</v>
      </c>
      <c r="D919" s="4">
        <v>42885.0</v>
      </c>
      <c r="E919" s="4">
        <v>42886.0</v>
      </c>
      <c r="F919" s="4">
        <v>42886.0</v>
      </c>
      <c r="G919" s="1">
        <v>1.0</v>
      </c>
      <c r="H919" s="1">
        <v>3.0</v>
      </c>
      <c r="I919" s="3" t="str">
        <f>VLOOKUP(B919,Customers!A:J, 10,FALSE)</f>
        <v>Rutha Howell</v>
      </c>
      <c r="J919" s="3" t="str">
        <f>VLOOKUP(B919,Customers!A:J,8,FALSE)</f>
        <v>CA</v>
      </c>
      <c r="K919" s="3" t="str">
        <f>VLOOKUP(B919,Customers!A:J,7,FALSE)</f>
        <v>Canyon Country</v>
      </c>
      <c r="L919" s="3" t="str">
        <f>VLOOKUP(H919,Staff!A:I,9,FALSE)</f>
        <v>Genna Serrano</v>
      </c>
      <c r="M919" s="3" t="str">
        <f>VLOOKUP(G919,Store!A:H,2,FALSE)</f>
        <v>Santa Cruz Bikes</v>
      </c>
      <c r="N919" s="3" t="str">
        <f>VLOOKUP(G919,Store!A:H,6,FALSE)</f>
        <v>Santa Cruz</v>
      </c>
      <c r="O919" s="3" t="s">
        <v>15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>
        <v>919.0</v>
      </c>
      <c r="B920" s="1">
        <v>781.0</v>
      </c>
      <c r="C920" s="1">
        <v>4.0</v>
      </c>
      <c r="D920" s="4">
        <v>42885.0</v>
      </c>
      <c r="E920" s="4">
        <v>42886.0</v>
      </c>
      <c r="F920" s="4">
        <v>42886.0</v>
      </c>
      <c r="G920" s="1">
        <v>2.0</v>
      </c>
      <c r="H920" s="1">
        <v>7.0</v>
      </c>
      <c r="I920" s="3" t="str">
        <f>VLOOKUP(B920,Customers!A:J, 10,FALSE)</f>
        <v>Tajuana Riddle</v>
      </c>
      <c r="J920" s="3" t="str">
        <f>VLOOKUP(B920,Customers!A:J,8,FALSE)</f>
        <v>NY</v>
      </c>
      <c r="K920" s="3" t="str">
        <f>VLOOKUP(B920,Customers!A:J,7,FALSE)</f>
        <v>Bayside</v>
      </c>
      <c r="L920" s="3" t="str">
        <f>VLOOKUP(H920,Staff!A:I,9,FALSE)</f>
        <v>Venita Daniel</v>
      </c>
      <c r="M920" s="3" t="str">
        <f>VLOOKUP(G920,Store!A:H,2,FALSE)</f>
        <v>Baldwin Bikes</v>
      </c>
      <c r="N920" s="3" t="str">
        <f>VLOOKUP(G920,Store!A:H,6,FALSE)</f>
        <v>Baldwin</v>
      </c>
      <c r="O920" s="3" t="s">
        <v>16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>
        <v>920.0</v>
      </c>
      <c r="B921" s="1">
        <v>966.0</v>
      </c>
      <c r="C921" s="1">
        <v>4.0</v>
      </c>
      <c r="D921" s="4">
        <v>42885.0</v>
      </c>
      <c r="E921" s="4">
        <v>42887.0</v>
      </c>
      <c r="F921" s="4">
        <v>42888.0</v>
      </c>
      <c r="G921" s="1">
        <v>2.0</v>
      </c>
      <c r="H921" s="1">
        <v>7.0</v>
      </c>
      <c r="I921" s="3" t="str">
        <f>VLOOKUP(B921,Customers!A:J, 10,FALSE)</f>
        <v>Novella Patel</v>
      </c>
      <c r="J921" s="3" t="str">
        <f>VLOOKUP(B921,Customers!A:J,8,FALSE)</f>
        <v>NY</v>
      </c>
      <c r="K921" s="3" t="str">
        <f>VLOOKUP(B921,Customers!A:J,7,FALSE)</f>
        <v>Glen Cove</v>
      </c>
      <c r="L921" s="3" t="str">
        <f>VLOOKUP(H921,Staff!A:I,9,FALSE)</f>
        <v>Venita Daniel</v>
      </c>
      <c r="M921" s="3" t="str">
        <f>VLOOKUP(G921,Store!A:H,2,FALSE)</f>
        <v>Baldwin Bikes</v>
      </c>
      <c r="N921" s="3" t="str">
        <f>VLOOKUP(G921,Store!A:H,6,FALSE)</f>
        <v>Baldwin</v>
      </c>
      <c r="O921" s="3" t="s">
        <v>16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>
        <v>921.0</v>
      </c>
      <c r="B922" s="1">
        <v>628.0</v>
      </c>
      <c r="C922" s="1">
        <v>4.0</v>
      </c>
      <c r="D922" s="4">
        <v>42886.0</v>
      </c>
      <c r="E922" s="4">
        <v>42888.0</v>
      </c>
      <c r="F922" s="4">
        <v>42888.0</v>
      </c>
      <c r="G922" s="1">
        <v>2.0</v>
      </c>
      <c r="H922" s="1">
        <v>6.0</v>
      </c>
      <c r="I922" s="3" t="str">
        <f>VLOOKUP(B922,Customers!A:J, 10,FALSE)</f>
        <v>Ehtel Cobb</v>
      </c>
      <c r="J922" s="3" t="str">
        <f>VLOOKUP(B922,Customers!A:J,8,FALSE)</f>
        <v>NY</v>
      </c>
      <c r="K922" s="3" t="str">
        <f>VLOOKUP(B922,Customers!A:J,7,FALSE)</f>
        <v>Lockport</v>
      </c>
      <c r="L922" s="3" t="str">
        <f>VLOOKUP(H922,Staff!A:I,9,FALSE)</f>
        <v>Marcelene Boyer</v>
      </c>
      <c r="M922" s="3" t="str">
        <f>VLOOKUP(G922,Store!A:H,2,FALSE)</f>
        <v>Baldwin Bikes</v>
      </c>
      <c r="N922" s="3" t="str">
        <f>VLOOKUP(G922,Store!A:H,6,FALSE)</f>
        <v>Baldwin</v>
      </c>
      <c r="O922" s="3" t="s">
        <v>16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>
        <v>922.0</v>
      </c>
      <c r="B923" s="1">
        <v>656.0</v>
      </c>
      <c r="C923" s="1">
        <v>4.0</v>
      </c>
      <c r="D923" s="4">
        <v>42886.0</v>
      </c>
      <c r="E923" s="4">
        <v>42887.0</v>
      </c>
      <c r="F923" s="4">
        <v>42889.0</v>
      </c>
      <c r="G923" s="1">
        <v>2.0</v>
      </c>
      <c r="H923" s="1">
        <v>6.0</v>
      </c>
      <c r="I923" s="3" t="str">
        <f>VLOOKUP(B923,Customers!A:J, 10,FALSE)</f>
        <v>Romana Barnes</v>
      </c>
      <c r="J923" s="3" t="str">
        <f>VLOOKUP(B923,Customers!A:J,8,FALSE)</f>
        <v>NY</v>
      </c>
      <c r="K923" s="3" t="str">
        <f>VLOOKUP(B923,Customers!A:J,7,FALSE)</f>
        <v>Floral Park</v>
      </c>
      <c r="L923" s="3" t="str">
        <f>VLOOKUP(H923,Staff!A:I,9,FALSE)</f>
        <v>Marcelene Boyer</v>
      </c>
      <c r="M923" s="3" t="str">
        <f>VLOOKUP(G923,Store!A:H,2,FALSE)</f>
        <v>Baldwin Bikes</v>
      </c>
      <c r="N923" s="3" t="str">
        <f>VLOOKUP(G923,Store!A:H,6,FALSE)</f>
        <v>Baldwin</v>
      </c>
      <c r="O923" s="3" t="s">
        <v>16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>
        <v>923.0</v>
      </c>
      <c r="B924" s="1">
        <v>769.0</v>
      </c>
      <c r="C924" s="1">
        <v>4.0</v>
      </c>
      <c r="D924" s="4">
        <v>42886.0</v>
      </c>
      <c r="E924" s="4">
        <v>42889.0</v>
      </c>
      <c r="F924" s="4">
        <v>42888.0</v>
      </c>
      <c r="G924" s="1">
        <v>2.0</v>
      </c>
      <c r="H924" s="1">
        <v>7.0</v>
      </c>
      <c r="I924" s="3" t="str">
        <f>VLOOKUP(B924,Customers!A:J, 10,FALSE)</f>
        <v>Agatha Melton</v>
      </c>
      <c r="J924" s="3" t="str">
        <f>VLOOKUP(B924,Customers!A:J,8,FALSE)</f>
        <v>NY</v>
      </c>
      <c r="K924" s="3" t="str">
        <f>VLOOKUP(B924,Customers!A:J,7,FALSE)</f>
        <v>Springfield Gardens</v>
      </c>
      <c r="L924" s="3" t="str">
        <f>VLOOKUP(H924,Staff!A:I,9,FALSE)</f>
        <v>Venita Daniel</v>
      </c>
      <c r="M924" s="3" t="str">
        <f>VLOOKUP(G924,Store!A:H,2,FALSE)</f>
        <v>Baldwin Bikes</v>
      </c>
      <c r="N924" s="3" t="str">
        <f>VLOOKUP(G924,Store!A:H,6,FALSE)</f>
        <v>Baldwin</v>
      </c>
      <c r="O924" s="3" t="s">
        <v>16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>
        <v>924.0</v>
      </c>
      <c r="B925" s="1">
        <v>68.0</v>
      </c>
      <c r="C925" s="1">
        <v>3.0</v>
      </c>
      <c r="D925" s="4">
        <v>42888.0</v>
      </c>
      <c r="E925" s="4">
        <v>42888.0</v>
      </c>
      <c r="F925" s="1" t="s">
        <v>18</v>
      </c>
      <c r="G925" s="1">
        <v>3.0</v>
      </c>
      <c r="H925" s="1">
        <v>8.0</v>
      </c>
      <c r="I925" s="3" t="str">
        <f>VLOOKUP(B925,Customers!A:J, 10,FALSE)</f>
        <v>Jayne Kirkland</v>
      </c>
      <c r="J925" s="3" t="str">
        <f>VLOOKUP(B925,Customers!A:J,8,FALSE)</f>
        <v>TX</v>
      </c>
      <c r="K925" s="3" t="str">
        <f>VLOOKUP(B925,Customers!A:J,7,FALSE)</f>
        <v>Rowlett</v>
      </c>
      <c r="L925" s="3" t="str">
        <f>VLOOKUP(H925,Staff!A:I,9,FALSE)</f>
        <v>Kali Vargas</v>
      </c>
      <c r="M925" s="3" t="str">
        <f>VLOOKUP(G925,Store!A:H,2,FALSE)</f>
        <v>Rowlett Bikes</v>
      </c>
      <c r="N925" s="3" t="str">
        <f>VLOOKUP(G925,Store!A:H,6,FALSE)</f>
        <v>Rowlett</v>
      </c>
      <c r="O925" s="3" t="s">
        <v>17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>
        <v>925.0</v>
      </c>
      <c r="B926" s="1">
        <v>1316.0</v>
      </c>
      <c r="C926" s="1">
        <v>4.0</v>
      </c>
      <c r="D926" s="4">
        <v>42888.0</v>
      </c>
      <c r="E926" s="4">
        <v>42891.0</v>
      </c>
      <c r="F926" s="4">
        <v>42889.0</v>
      </c>
      <c r="G926" s="1">
        <v>2.0</v>
      </c>
      <c r="H926" s="1">
        <v>7.0</v>
      </c>
      <c r="I926" s="3" t="str">
        <f>VLOOKUP(B926,Customers!A:J, 10,FALSE)</f>
        <v>Conrad Mueller</v>
      </c>
      <c r="J926" s="3" t="str">
        <f>VLOOKUP(B926,Customers!A:J,8,FALSE)</f>
        <v>NY</v>
      </c>
      <c r="K926" s="3" t="str">
        <f>VLOOKUP(B926,Customers!A:J,7,FALSE)</f>
        <v>Massapequa</v>
      </c>
      <c r="L926" s="3" t="str">
        <f>VLOOKUP(H926,Staff!A:I,9,FALSE)</f>
        <v>Venita Daniel</v>
      </c>
      <c r="M926" s="3" t="str">
        <f>VLOOKUP(G926,Store!A:H,2,FALSE)</f>
        <v>Baldwin Bikes</v>
      </c>
      <c r="N926" s="3" t="str">
        <f>VLOOKUP(G926,Store!A:H,6,FALSE)</f>
        <v>Baldwin</v>
      </c>
      <c r="O926" s="3" t="s">
        <v>16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>
        <v>926.0</v>
      </c>
      <c r="B927" s="1">
        <v>233.0</v>
      </c>
      <c r="C927" s="1">
        <v>4.0</v>
      </c>
      <c r="D927" s="4">
        <v>42889.0</v>
      </c>
      <c r="E927" s="4">
        <v>42891.0</v>
      </c>
      <c r="F927" s="4">
        <v>42892.0</v>
      </c>
      <c r="G927" s="1">
        <v>1.0</v>
      </c>
      <c r="H927" s="1">
        <v>2.0</v>
      </c>
      <c r="I927" s="3" t="str">
        <f>VLOOKUP(B927,Customers!A:J, 10,FALSE)</f>
        <v>Mariana Strong</v>
      </c>
      <c r="J927" s="3" t="str">
        <f>VLOOKUP(B927,Customers!A:J,8,FALSE)</f>
        <v>CA</v>
      </c>
      <c r="K927" s="3" t="str">
        <f>VLOOKUP(B927,Customers!A:J,7,FALSE)</f>
        <v>Santa Clara</v>
      </c>
      <c r="L927" s="3" t="str">
        <f>VLOOKUP(H927,Staff!A:I,9,FALSE)</f>
        <v>Mireya Copeland</v>
      </c>
      <c r="M927" s="3" t="str">
        <f>VLOOKUP(G927,Store!A:H,2,FALSE)</f>
        <v>Santa Cruz Bikes</v>
      </c>
      <c r="N927" s="3" t="str">
        <f>VLOOKUP(G927,Store!A:H,6,FALSE)</f>
        <v>Santa Cruz</v>
      </c>
      <c r="O927" s="3" t="s">
        <v>15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>
        <v>927.0</v>
      </c>
      <c r="B928" s="1">
        <v>1438.0</v>
      </c>
      <c r="C928" s="1">
        <v>4.0</v>
      </c>
      <c r="D928" s="4">
        <v>42889.0</v>
      </c>
      <c r="E928" s="4">
        <v>42891.0</v>
      </c>
      <c r="F928" s="4">
        <v>42892.0</v>
      </c>
      <c r="G928" s="1">
        <v>1.0</v>
      </c>
      <c r="H928" s="1">
        <v>2.0</v>
      </c>
      <c r="I928" s="3" t="str">
        <f>VLOOKUP(B928,Customers!A:J, 10,FALSE)</f>
        <v>Lee Dunn</v>
      </c>
      <c r="J928" s="3" t="str">
        <f>VLOOKUP(B928,Customers!A:J,8,FALSE)</f>
        <v>CA</v>
      </c>
      <c r="K928" s="3" t="str">
        <f>VLOOKUP(B928,Customers!A:J,7,FALSE)</f>
        <v>San Jose</v>
      </c>
      <c r="L928" s="3" t="str">
        <f>VLOOKUP(H928,Staff!A:I,9,FALSE)</f>
        <v>Mireya Copeland</v>
      </c>
      <c r="M928" s="3" t="str">
        <f>VLOOKUP(G928,Store!A:H,2,FALSE)</f>
        <v>Santa Cruz Bikes</v>
      </c>
      <c r="N928" s="3" t="str">
        <f>VLOOKUP(G928,Store!A:H,6,FALSE)</f>
        <v>Santa Cruz</v>
      </c>
      <c r="O928" s="3" t="s">
        <v>15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>
        <v>928.0</v>
      </c>
      <c r="B929" s="1">
        <v>957.0</v>
      </c>
      <c r="C929" s="1">
        <v>4.0</v>
      </c>
      <c r="D929" s="4">
        <v>42891.0</v>
      </c>
      <c r="E929" s="4">
        <v>42892.0</v>
      </c>
      <c r="F929" s="4">
        <v>42892.0</v>
      </c>
      <c r="G929" s="1">
        <v>1.0</v>
      </c>
      <c r="H929" s="1">
        <v>3.0</v>
      </c>
      <c r="I929" s="3" t="str">
        <f>VLOOKUP(B929,Customers!A:J, 10,FALSE)</f>
        <v>Stephen Vega</v>
      </c>
      <c r="J929" s="3" t="str">
        <f>VLOOKUP(B929,Customers!A:J,8,FALSE)</f>
        <v>CA</v>
      </c>
      <c r="K929" s="3" t="str">
        <f>VLOOKUP(B929,Customers!A:J,7,FALSE)</f>
        <v>Anaheim</v>
      </c>
      <c r="L929" s="3" t="str">
        <f>VLOOKUP(H929,Staff!A:I,9,FALSE)</f>
        <v>Genna Serrano</v>
      </c>
      <c r="M929" s="3" t="str">
        <f>VLOOKUP(G929,Store!A:H,2,FALSE)</f>
        <v>Santa Cruz Bikes</v>
      </c>
      <c r="N929" s="3" t="str">
        <f>VLOOKUP(G929,Store!A:H,6,FALSE)</f>
        <v>Santa Cruz</v>
      </c>
      <c r="O929" s="3" t="s">
        <v>15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>
        <v>929.0</v>
      </c>
      <c r="B930" s="1">
        <v>472.0</v>
      </c>
      <c r="C930" s="1">
        <v>4.0</v>
      </c>
      <c r="D930" s="4">
        <v>42891.0</v>
      </c>
      <c r="E930" s="4">
        <v>42892.0</v>
      </c>
      <c r="F930" s="4">
        <v>42894.0</v>
      </c>
      <c r="G930" s="1">
        <v>2.0</v>
      </c>
      <c r="H930" s="1">
        <v>6.0</v>
      </c>
      <c r="I930" s="3" t="str">
        <f>VLOOKUP(B930,Customers!A:J, 10,FALSE)</f>
        <v>Myron Ruiz</v>
      </c>
      <c r="J930" s="3" t="str">
        <f>VLOOKUP(B930,Customers!A:J,8,FALSE)</f>
        <v>NY</v>
      </c>
      <c r="K930" s="3" t="str">
        <f>VLOOKUP(B930,Customers!A:J,7,FALSE)</f>
        <v>Amityville</v>
      </c>
      <c r="L930" s="3" t="str">
        <f>VLOOKUP(H930,Staff!A:I,9,FALSE)</f>
        <v>Marcelene Boyer</v>
      </c>
      <c r="M930" s="3" t="str">
        <f>VLOOKUP(G930,Store!A:H,2,FALSE)</f>
        <v>Baldwin Bikes</v>
      </c>
      <c r="N930" s="3" t="str">
        <f>VLOOKUP(G930,Store!A:H,6,FALSE)</f>
        <v>Baldwin</v>
      </c>
      <c r="O930" s="3" t="s">
        <v>16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>
        <v>930.0</v>
      </c>
      <c r="B931" s="1">
        <v>1224.0</v>
      </c>
      <c r="C931" s="1">
        <v>4.0</v>
      </c>
      <c r="D931" s="4">
        <v>42891.0</v>
      </c>
      <c r="E931" s="4">
        <v>42892.0</v>
      </c>
      <c r="F931" s="4">
        <v>42892.0</v>
      </c>
      <c r="G931" s="1">
        <v>3.0</v>
      </c>
      <c r="H931" s="1">
        <v>9.0</v>
      </c>
      <c r="I931" s="3" t="str">
        <f>VLOOKUP(B931,Customers!A:J, 10,FALSE)</f>
        <v>Abram Copeland</v>
      </c>
      <c r="J931" s="3" t="str">
        <f>VLOOKUP(B931,Customers!A:J,8,FALSE)</f>
        <v>TX</v>
      </c>
      <c r="K931" s="3" t="str">
        <f>VLOOKUP(B931,Customers!A:J,7,FALSE)</f>
        <v>Harlingen</v>
      </c>
      <c r="L931" s="3" t="str">
        <f>VLOOKUP(H931,Staff!A:I,9,FALSE)</f>
        <v>Layla Terrell</v>
      </c>
      <c r="M931" s="3" t="str">
        <f>VLOOKUP(G931,Store!A:H,2,FALSE)</f>
        <v>Rowlett Bikes</v>
      </c>
      <c r="N931" s="3" t="str">
        <f>VLOOKUP(G931,Store!A:H,6,FALSE)</f>
        <v>Rowlett</v>
      </c>
      <c r="O931" s="3" t="s">
        <v>17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>
        <v>931.0</v>
      </c>
      <c r="B932" s="1">
        <v>631.0</v>
      </c>
      <c r="C932" s="1">
        <v>4.0</v>
      </c>
      <c r="D932" s="4">
        <v>42893.0</v>
      </c>
      <c r="E932" s="4">
        <v>42894.0</v>
      </c>
      <c r="F932" s="4">
        <v>42894.0</v>
      </c>
      <c r="G932" s="1">
        <v>2.0</v>
      </c>
      <c r="H932" s="1">
        <v>6.0</v>
      </c>
      <c r="I932" s="3" t="str">
        <f>VLOOKUP(B932,Customers!A:J, 10,FALSE)</f>
        <v>Tressa Weiss</v>
      </c>
      <c r="J932" s="3" t="str">
        <f>VLOOKUP(B932,Customers!A:J,8,FALSE)</f>
        <v>NY</v>
      </c>
      <c r="K932" s="3" t="str">
        <f>VLOOKUP(B932,Customers!A:J,7,FALSE)</f>
        <v>Ossining</v>
      </c>
      <c r="L932" s="3" t="str">
        <f>VLOOKUP(H932,Staff!A:I,9,FALSE)</f>
        <v>Marcelene Boyer</v>
      </c>
      <c r="M932" s="3" t="str">
        <f>VLOOKUP(G932,Store!A:H,2,FALSE)</f>
        <v>Baldwin Bikes</v>
      </c>
      <c r="N932" s="3" t="str">
        <f>VLOOKUP(G932,Store!A:H,6,FALSE)</f>
        <v>Baldwin</v>
      </c>
      <c r="O932" s="3" t="s">
        <v>16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>
        <v>932.0</v>
      </c>
      <c r="B933" s="1">
        <v>804.0</v>
      </c>
      <c r="C933" s="1">
        <v>4.0</v>
      </c>
      <c r="D933" s="4">
        <v>42893.0</v>
      </c>
      <c r="E933" s="4">
        <v>42894.0</v>
      </c>
      <c r="F933" s="4">
        <v>42895.0</v>
      </c>
      <c r="G933" s="1">
        <v>2.0</v>
      </c>
      <c r="H933" s="1">
        <v>6.0</v>
      </c>
      <c r="I933" s="3" t="str">
        <f>VLOOKUP(B933,Customers!A:J, 10,FALSE)</f>
        <v>Douglas Richards</v>
      </c>
      <c r="J933" s="3" t="str">
        <f>VLOOKUP(B933,Customers!A:J,8,FALSE)</f>
        <v>NY</v>
      </c>
      <c r="K933" s="3" t="str">
        <f>VLOOKUP(B933,Customers!A:J,7,FALSE)</f>
        <v>Valley Stream</v>
      </c>
      <c r="L933" s="3" t="str">
        <f>VLOOKUP(H933,Staff!A:I,9,FALSE)</f>
        <v>Marcelene Boyer</v>
      </c>
      <c r="M933" s="3" t="str">
        <f>VLOOKUP(G933,Store!A:H,2,FALSE)</f>
        <v>Baldwin Bikes</v>
      </c>
      <c r="N933" s="3" t="str">
        <f>VLOOKUP(G933,Store!A:H,6,FALSE)</f>
        <v>Baldwin</v>
      </c>
      <c r="O933" s="3" t="s">
        <v>16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>
        <v>933.0</v>
      </c>
      <c r="B934" s="1">
        <v>909.0</v>
      </c>
      <c r="C934" s="1">
        <v>4.0</v>
      </c>
      <c r="D934" s="4">
        <v>42893.0</v>
      </c>
      <c r="E934" s="4">
        <v>42896.0</v>
      </c>
      <c r="F934" s="4">
        <v>42894.0</v>
      </c>
      <c r="G934" s="1">
        <v>2.0</v>
      </c>
      <c r="H934" s="1">
        <v>6.0</v>
      </c>
      <c r="I934" s="3" t="str">
        <f>VLOOKUP(B934,Customers!A:J, 10,FALSE)</f>
        <v>Alita Salinas</v>
      </c>
      <c r="J934" s="3" t="str">
        <f>VLOOKUP(B934,Customers!A:J,8,FALSE)</f>
        <v>NY</v>
      </c>
      <c r="K934" s="3" t="str">
        <f>VLOOKUP(B934,Customers!A:J,7,FALSE)</f>
        <v>Uniondale</v>
      </c>
      <c r="L934" s="3" t="str">
        <f>VLOOKUP(H934,Staff!A:I,9,FALSE)</f>
        <v>Marcelene Boyer</v>
      </c>
      <c r="M934" s="3" t="str">
        <f>VLOOKUP(G934,Store!A:H,2,FALSE)</f>
        <v>Baldwin Bikes</v>
      </c>
      <c r="N934" s="3" t="str">
        <f>VLOOKUP(G934,Store!A:H,6,FALSE)</f>
        <v>Baldwin</v>
      </c>
      <c r="O934" s="3" t="s">
        <v>16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>
        <v>934.0</v>
      </c>
      <c r="B935" s="1">
        <v>93.0</v>
      </c>
      <c r="C935" s="1">
        <v>4.0</v>
      </c>
      <c r="D935" s="4">
        <v>42895.0</v>
      </c>
      <c r="E935" s="4">
        <v>42896.0</v>
      </c>
      <c r="F935" s="4">
        <v>42898.0</v>
      </c>
      <c r="G935" s="1">
        <v>2.0</v>
      </c>
      <c r="H935" s="1">
        <v>7.0</v>
      </c>
      <c r="I935" s="3" t="str">
        <f>VLOOKUP(B935,Customers!A:J, 10,FALSE)</f>
        <v>Corrina Sawyer</v>
      </c>
      <c r="J935" s="3" t="str">
        <f>VLOOKUP(B935,Customers!A:J,8,FALSE)</f>
        <v>NY</v>
      </c>
      <c r="K935" s="3" t="str">
        <f>VLOOKUP(B935,Customers!A:J,7,FALSE)</f>
        <v>Troy</v>
      </c>
      <c r="L935" s="3" t="str">
        <f>VLOOKUP(H935,Staff!A:I,9,FALSE)</f>
        <v>Venita Daniel</v>
      </c>
      <c r="M935" s="3" t="str">
        <f>VLOOKUP(G935,Store!A:H,2,FALSE)</f>
        <v>Baldwin Bikes</v>
      </c>
      <c r="N935" s="3" t="str">
        <f>VLOOKUP(G935,Store!A:H,6,FALSE)</f>
        <v>Baldwin</v>
      </c>
      <c r="O935" s="3" t="s">
        <v>16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>
        <v>935.0</v>
      </c>
      <c r="B936" s="1">
        <v>43.0</v>
      </c>
      <c r="C936" s="1">
        <v>3.0</v>
      </c>
      <c r="D936" s="4">
        <v>42896.0</v>
      </c>
      <c r="E936" s="4">
        <v>42896.0</v>
      </c>
      <c r="F936" s="1" t="s">
        <v>18</v>
      </c>
      <c r="G936" s="1">
        <v>3.0</v>
      </c>
      <c r="H936" s="1">
        <v>8.0</v>
      </c>
      <c r="I936" s="3" t="str">
        <f>VLOOKUP(B936,Customers!A:J, 10,FALSE)</f>
        <v>Mozelle Carter</v>
      </c>
      <c r="J936" s="3" t="str">
        <f>VLOOKUP(B936,Customers!A:J,8,FALSE)</f>
        <v>TX</v>
      </c>
      <c r="K936" s="3" t="str">
        <f>VLOOKUP(B936,Customers!A:J,7,FALSE)</f>
        <v>Houston</v>
      </c>
      <c r="L936" s="3" t="str">
        <f>VLOOKUP(H936,Staff!A:I,9,FALSE)</f>
        <v>Kali Vargas</v>
      </c>
      <c r="M936" s="3" t="str">
        <f>VLOOKUP(G936,Store!A:H,2,FALSE)</f>
        <v>Rowlett Bikes</v>
      </c>
      <c r="N936" s="3" t="str">
        <f>VLOOKUP(G936,Store!A:H,6,FALSE)</f>
        <v>Rowlett</v>
      </c>
      <c r="O936" s="3" t="s">
        <v>17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>
        <v>936.0</v>
      </c>
      <c r="B937" s="1">
        <v>265.0</v>
      </c>
      <c r="C937" s="1">
        <v>4.0</v>
      </c>
      <c r="D937" s="4">
        <v>42896.0</v>
      </c>
      <c r="E937" s="4">
        <v>42899.0</v>
      </c>
      <c r="F937" s="4">
        <v>42898.0</v>
      </c>
      <c r="G937" s="1">
        <v>2.0</v>
      </c>
      <c r="H937" s="1">
        <v>6.0</v>
      </c>
      <c r="I937" s="3" t="str">
        <f>VLOOKUP(B937,Customers!A:J, 10,FALSE)</f>
        <v>Mellisa Farley</v>
      </c>
      <c r="J937" s="3" t="str">
        <f>VLOOKUP(B937,Customers!A:J,8,FALSE)</f>
        <v>NY</v>
      </c>
      <c r="K937" s="3" t="str">
        <f>VLOOKUP(B937,Customers!A:J,7,FALSE)</f>
        <v>Central Islip</v>
      </c>
      <c r="L937" s="3" t="str">
        <f>VLOOKUP(H937,Staff!A:I,9,FALSE)</f>
        <v>Marcelene Boyer</v>
      </c>
      <c r="M937" s="3" t="str">
        <f>VLOOKUP(G937,Store!A:H,2,FALSE)</f>
        <v>Baldwin Bikes</v>
      </c>
      <c r="N937" s="3" t="str">
        <f>VLOOKUP(G937,Store!A:H,6,FALSE)</f>
        <v>Baldwin</v>
      </c>
      <c r="O937" s="3" t="s">
        <v>16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>
        <v>937.0</v>
      </c>
      <c r="B938" s="1">
        <v>73.0</v>
      </c>
      <c r="C938" s="1">
        <v>4.0</v>
      </c>
      <c r="D938" s="4">
        <v>42897.0</v>
      </c>
      <c r="E938" s="4">
        <v>42900.0</v>
      </c>
      <c r="F938" s="4">
        <v>42899.0</v>
      </c>
      <c r="G938" s="1">
        <v>2.0</v>
      </c>
      <c r="H938" s="1">
        <v>7.0</v>
      </c>
      <c r="I938" s="3" t="str">
        <f>VLOOKUP(B938,Customers!A:J, 10,FALSE)</f>
        <v>Melanie Hayes</v>
      </c>
      <c r="J938" s="3" t="str">
        <f>VLOOKUP(B938,Customers!A:J,8,FALSE)</f>
        <v>NY</v>
      </c>
      <c r="K938" s="3" t="str">
        <f>VLOOKUP(B938,Customers!A:J,7,FALSE)</f>
        <v>Liverpool</v>
      </c>
      <c r="L938" s="3" t="str">
        <f>VLOOKUP(H938,Staff!A:I,9,FALSE)</f>
        <v>Venita Daniel</v>
      </c>
      <c r="M938" s="3" t="str">
        <f>VLOOKUP(G938,Store!A:H,2,FALSE)</f>
        <v>Baldwin Bikes</v>
      </c>
      <c r="N938" s="3" t="str">
        <f>VLOOKUP(G938,Store!A:H,6,FALSE)</f>
        <v>Baldwin</v>
      </c>
      <c r="O938" s="3" t="s">
        <v>16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>
        <v>938.0</v>
      </c>
      <c r="B939" s="1">
        <v>129.0</v>
      </c>
      <c r="C939" s="1">
        <v>4.0</v>
      </c>
      <c r="D939" s="4">
        <v>42897.0</v>
      </c>
      <c r="E939" s="4">
        <v>42898.0</v>
      </c>
      <c r="F939" s="4">
        <v>42898.0</v>
      </c>
      <c r="G939" s="1">
        <v>2.0</v>
      </c>
      <c r="H939" s="1">
        <v>6.0</v>
      </c>
      <c r="I939" s="3" t="str">
        <f>VLOOKUP(B939,Customers!A:J, 10,FALSE)</f>
        <v>Walton Dejesus</v>
      </c>
      <c r="J939" s="3" t="str">
        <f>VLOOKUP(B939,Customers!A:J,8,FALSE)</f>
        <v>NY</v>
      </c>
      <c r="K939" s="3" t="str">
        <f>VLOOKUP(B939,Customers!A:J,7,FALSE)</f>
        <v>Lockport</v>
      </c>
      <c r="L939" s="3" t="str">
        <f>VLOOKUP(H939,Staff!A:I,9,FALSE)</f>
        <v>Marcelene Boyer</v>
      </c>
      <c r="M939" s="3" t="str">
        <f>VLOOKUP(G939,Store!A:H,2,FALSE)</f>
        <v>Baldwin Bikes</v>
      </c>
      <c r="N939" s="3" t="str">
        <f>VLOOKUP(G939,Store!A:H,6,FALSE)</f>
        <v>Baldwin</v>
      </c>
      <c r="O939" s="3" t="s">
        <v>16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>
        <v>939.0</v>
      </c>
      <c r="B940" s="1">
        <v>1407.0</v>
      </c>
      <c r="C940" s="1">
        <v>4.0</v>
      </c>
      <c r="D940" s="4">
        <v>42897.0</v>
      </c>
      <c r="E940" s="4">
        <v>42898.0</v>
      </c>
      <c r="F940" s="4">
        <v>42900.0</v>
      </c>
      <c r="G940" s="1">
        <v>2.0</v>
      </c>
      <c r="H940" s="1">
        <v>6.0</v>
      </c>
      <c r="I940" s="3" t="str">
        <f>VLOOKUP(B940,Customers!A:J, 10,FALSE)</f>
        <v>Hugh Craft</v>
      </c>
      <c r="J940" s="3" t="str">
        <f>VLOOKUP(B940,Customers!A:J,8,FALSE)</f>
        <v>NY</v>
      </c>
      <c r="K940" s="3" t="str">
        <f>VLOOKUP(B940,Customers!A:J,7,FALSE)</f>
        <v>Centereach</v>
      </c>
      <c r="L940" s="3" t="str">
        <f>VLOOKUP(H940,Staff!A:I,9,FALSE)</f>
        <v>Marcelene Boyer</v>
      </c>
      <c r="M940" s="3" t="str">
        <f>VLOOKUP(G940,Store!A:H,2,FALSE)</f>
        <v>Baldwin Bikes</v>
      </c>
      <c r="N940" s="3" t="str">
        <f>VLOOKUP(G940,Store!A:H,6,FALSE)</f>
        <v>Baldwin</v>
      </c>
      <c r="O940" s="3" t="s">
        <v>16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>
        <v>940.0</v>
      </c>
      <c r="B941" s="1">
        <v>585.0</v>
      </c>
      <c r="C941" s="1">
        <v>4.0</v>
      </c>
      <c r="D941" s="4">
        <v>42898.0</v>
      </c>
      <c r="E941" s="4">
        <v>42900.0</v>
      </c>
      <c r="F941" s="4">
        <v>42899.0</v>
      </c>
      <c r="G941" s="1">
        <v>1.0</v>
      </c>
      <c r="H941" s="1">
        <v>2.0</v>
      </c>
      <c r="I941" s="3" t="str">
        <f>VLOOKUP(B941,Customers!A:J, 10,FALSE)</f>
        <v>Chasidy Webster</v>
      </c>
      <c r="J941" s="3" t="str">
        <f>VLOOKUP(B941,Customers!A:J,8,FALSE)</f>
        <v>CA</v>
      </c>
      <c r="K941" s="3" t="str">
        <f>VLOOKUP(B941,Customers!A:J,7,FALSE)</f>
        <v>Rocklin</v>
      </c>
      <c r="L941" s="3" t="str">
        <f>VLOOKUP(H941,Staff!A:I,9,FALSE)</f>
        <v>Mireya Copeland</v>
      </c>
      <c r="M941" s="3" t="str">
        <f>VLOOKUP(G941,Store!A:H,2,FALSE)</f>
        <v>Santa Cruz Bikes</v>
      </c>
      <c r="N941" s="3" t="str">
        <f>VLOOKUP(G941,Store!A:H,6,FALSE)</f>
        <v>Santa Cruz</v>
      </c>
      <c r="O941" s="3" t="s">
        <v>15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>
        <v>941.0</v>
      </c>
      <c r="B942" s="1">
        <v>736.0</v>
      </c>
      <c r="C942" s="1">
        <v>4.0</v>
      </c>
      <c r="D942" s="4">
        <v>42898.0</v>
      </c>
      <c r="E942" s="4">
        <v>42900.0</v>
      </c>
      <c r="F942" s="4">
        <v>42900.0</v>
      </c>
      <c r="G942" s="1">
        <v>1.0</v>
      </c>
      <c r="H942" s="1">
        <v>2.0</v>
      </c>
      <c r="I942" s="3" t="str">
        <f>VLOOKUP(B942,Customers!A:J, 10,FALSE)</f>
        <v>Genny Hensley</v>
      </c>
      <c r="J942" s="3" t="str">
        <f>VLOOKUP(B942,Customers!A:J,8,FALSE)</f>
        <v>CA</v>
      </c>
      <c r="K942" s="3" t="str">
        <f>VLOOKUP(B942,Customers!A:J,7,FALSE)</f>
        <v>Redondo Beach</v>
      </c>
      <c r="L942" s="3" t="str">
        <f>VLOOKUP(H942,Staff!A:I,9,FALSE)</f>
        <v>Mireya Copeland</v>
      </c>
      <c r="M942" s="3" t="str">
        <f>VLOOKUP(G942,Store!A:H,2,FALSE)</f>
        <v>Santa Cruz Bikes</v>
      </c>
      <c r="N942" s="3" t="str">
        <f>VLOOKUP(G942,Store!A:H,6,FALSE)</f>
        <v>Santa Cruz</v>
      </c>
      <c r="O942" s="3" t="s">
        <v>15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>
        <v>942.0</v>
      </c>
      <c r="B943" s="1">
        <v>537.0</v>
      </c>
      <c r="C943" s="1">
        <v>4.0</v>
      </c>
      <c r="D943" s="4">
        <v>42899.0</v>
      </c>
      <c r="E943" s="4">
        <v>42902.0</v>
      </c>
      <c r="F943" s="4">
        <v>42901.0</v>
      </c>
      <c r="G943" s="1">
        <v>2.0</v>
      </c>
      <c r="H943" s="1">
        <v>6.0</v>
      </c>
      <c r="I943" s="3" t="str">
        <f>VLOOKUP(B943,Customers!A:J, 10,FALSE)</f>
        <v>Carter Bentley</v>
      </c>
      <c r="J943" s="3" t="str">
        <f>VLOOKUP(B943,Customers!A:J,8,FALSE)</f>
        <v>NY</v>
      </c>
      <c r="K943" s="3" t="str">
        <f>VLOOKUP(B943,Customers!A:J,7,FALSE)</f>
        <v>Carmel</v>
      </c>
      <c r="L943" s="3" t="str">
        <f>VLOOKUP(H943,Staff!A:I,9,FALSE)</f>
        <v>Marcelene Boyer</v>
      </c>
      <c r="M943" s="3" t="str">
        <f>VLOOKUP(G943,Store!A:H,2,FALSE)</f>
        <v>Baldwin Bikes</v>
      </c>
      <c r="N943" s="3" t="str">
        <f>VLOOKUP(G943,Store!A:H,6,FALSE)</f>
        <v>Baldwin</v>
      </c>
      <c r="O943" s="3" t="s">
        <v>16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>
        <v>943.0</v>
      </c>
      <c r="B944" s="1">
        <v>1025.0</v>
      </c>
      <c r="C944" s="1">
        <v>4.0</v>
      </c>
      <c r="D944" s="4">
        <v>42899.0</v>
      </c>
      <c r="E944" s="4">
        <v>42901.0</v>
      </c>
      <c r="F944" s="4">
        <v>42901.0</v>
      </c>
      <c r="G944" s="1">
        <v>2.0</v>
      </c>
      <c r="H944" s="1">
        <v>6.0</v>
      </c>
      <c r="I944" s="3" t="str">
        <f>VLOOKUP(B944,Customers!A:J, 10,FALSE)</f>
        <v>Daphine Willis</v>
      </c>
      <c r="J944" s="3" t="str">
        <f>VLOOKUP(B944,Customers!A:J,8,FALSE)</f>
        <v>NY</v>
      </c>
      <c r="K944" s="3" t="str">
        <f>VLOOKUP(B944,Customers!A:J,7,FALSE)</f>
        <v>Farmingdale</v>
      </c>
      <c r="L944" s="3" t="str">
        <f>VLOOKUP(H944,Staff!A:I,9,FALSE)</f>
        <v>Marcelene Boyer</v>
      </c>
      <c r="M944" s="3" t="str">
        <f>VLOOKUP(G944,Store!A:H,2,FALSE)</f>
        <v>Baldwin Bikes</v>
      </c>
      <c r="N944" s="3" t="str">
        <f>VLOOKUP(G944,Store!A:H,6,FALSE)</f>
        <v>Baldwin</v>
      </c>
      <c r="O944" s="3" t="s">
        <v>16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>
        <v>944.0</v>
      </c>
      <c r="B945" s="1">
        <v>138.0</v>
      </c>
      <c r="C945" s="1">
        <v>4.0</v>
      </c>
      <c r="D945" s="4">
        <v>42900.0</v>
      </c>
      <c r="E945" s="4">
        <v>42901.0</v>
      </c>
      <c r="F945" s="4">
        <v>42903.0</v>
      </c>
      <c r="G945" s="1">
        <v>1.0</v>
      </c>
      <c r="H945" s="1">
        <v>3.0</v>
      </c>
      <c r="I945" s="3" t="str">
        <f>VLOOKUP(B945,Customers!A:J, 10,FALSE)</f>
        <v>Jone Bernard</v>
      </c>
      <c r="J945" s="3" t="str">
        <f>VLOOKUP(B945,Customers!A:J,8,FALSE)</f>
        <v>CA</v>
      </c>
      <c r="K945" s="3" t="str">
        <f>VLOOKUP(B945,Customers!A:J,7,FALSE)</f>
        <v>Anaheim</v>
      </c>
      <c r="L945" s="3" t="str">
        <f>VLOOKUP(H945,Staff!A:I,9,FALSE)</f>
        <v>Genna Serrano</v>
      </c>
      <c r="M945" s="3" t="str">
        <f>VLOOKUP(G945,Store!A:H,2,FALSE)</f>
        <v>Santa Cruz Bikes</v>
      </c>
      <c r="N945" s="3" t="str">
        <f>VLOOKUP(G945,Store!A:H,6,FALSE)</f>
        <v>Santa Cruz</v>
      </c>
      <c r="O945" s="3" t="s">
        <v>15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>
        <v>945.0</v>
      </c>
      <c r="B946" s="1">
        <v>167.0</v>
      </c>
      <c r="C946" s="1">
        <v>4.0</v>
      </c>
      <c r="D946" s="4">
        <v>42900.0</v>
      </c>
      <c r="E946" s="4">
        <v>42901.0</v>
      </c>
      <c r="F946" s="4">
        <v>42902.0</v>
      </c>
      <c r="G946" s="1">
        <v>2.0</v>
      </c>
      <c r="H946" s="1">
        <v>7.0</v>
      </c>
      <c r="I946" s="3" t="str">
        <f>VLOOKUP(B946,Customers!A:J, 10,FALSE)</f>
        <v>Loreta Johnston</v>
      </c>
      <c r="J946" s="3" t="str">
        <f>VLOOKUP(B946,Customers!A:J,8,FALSE)</f>
        <v>NY</v>
      </c>
      <c r="K946" s="3" t="str">
        <f>VLOOKUP(B946,Customers!A:J,7,FALSE)</f>
        <v>Spring Valley</v>
      </c>
      <c r="L946" s="3" t="str">
        <f>VLOOKUP(H946,Staff!A:I,9,FALSE)</f>
        <v>Venita Daniel</v>
      </c>
      <c r="M946" s="3" t="str">
        <f>VLOOKUP(G946,Store!A:H,2,FALSE)</f>
        <v>Baldwin Bikes</v>
      </c>
      <c r="N946" s="3" t="str">
        <f>VLOOKUP(G946,Store!A:H,6,FALSE)</f>
        <v>Baldwin</v>
      </c>
      <c r="O946" s="3" t="s">
        <v>16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>
        <v>946.0</v>
      </c>
      <c r="B947" s="1">
        <v>525.0</v>
      </c>
      <c r="C947" s="1">
        <v>4.0</v>
      </c>
      <c r="D947" s="4">
        <v>42900.0</v>
      </c>
      <c r="E947" s="4">
        <v>42902.0</v>
      </c>
      <c r="F947" s="4">
        <v>42901.0</v>
      </c>
      <c r="G947" s="1">
        <v>2.0</v>
      </c>
      <c r="H947" s="1">
        <v>6.0</v>
      </c>
      <c r="I947" s="3" t="str">
        <f>VLOOKUP(B947,Customers!A:J, 10,FALSE)</f>
        <v>Andreas Mayer</v>
      </c>
      <c r="J947" s="3" t="str">
        <f>VLOOKUP(B947,Customers!A:J,8,FALSE)</f>
        <v>NY</v>
      </c>
      <c r="K947" s="3" t="str">
        <f>VLOOKUP(B947,Customers!A:J,7,FALSE)</f>
        <v>New Rochelle</v>
      </c>
      <c r="L947" s="3" t="str">
        <f>VLOOKUP(H947,Staff!A:I,9,FALSE)</f>
        <v>Marcelene Boyer</v>
      </c>
      <c r="M947" s="3" t="str">
        <f>VLOOKUP(G947,Store!A:H,2,FALSE)</f>
        <v>Baldwin Bikes</v>
      </c>
      <c r="N947" s="3" t="str">
        <f>VLOOKUP(G947,Store!A:H,6,FALSE)</f>
        <v>Baldwin</v>
      </c>
      <c r="O947" s="3" t="s">
        <v>16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>
        <v>947.0</v>
      </c>
      <c r="B948" s="1">
        <v>278.0</v>
      </c>
      <c r="C948" s="1">
        <v>4.0</v>
      </c>
      <c r="D948" s="4">
        <v>42901.0</v>
      </c>
      <c r="E948" s="4">
        <v>42904.0</v>
      </c>
      <c r="F948" s="4">
        <v>42903.0</v>
      </c>
      <c r="G948" s="1">
        <v>1.0</v>
      </c>
      <c r="H948" s="1">
        <v>3.0</v>
      </c>
      <c r="I948" s="3" t="str">
        <f>VLOOKUP(B948,Customers!A:J, 10,FALSE)</f>
        <v>Myesha Burgess</v>
      </c>
      <c r="J948" s="3" t="str">
        <f>VLOOKUP(B948,Customers!A:J,8,FALSE)</f>
        <v>CA</v>
      </c>
      <c r="K948" s="3" t="str">
        <f>VLOOKUP(B948,Customers!A:J,7,FALSE)</f>
        <v>Campbell</v>
      </c>
      <c r="L948" s="3" t="str">
        <f>VLOOKUP(H948,Staff!A:I,9,FALSE)</f>
        <v>Genna Serrano</v>
      </c>
      <c r="M948" s="3" t="str">
        <f>VLOOKUP(G948,Store!A:H,2,FALSE)</f>
        <v>Santa Cruz Bikes</v>
      </c>
      <c r="N948" s="3" t="str">
        <f>VLOOKUP(G948,Store!A:H,6,FALSE)</f>
        <v>Santa Cruz</v>
      </c>
      <c r="O948" s="3" t="s">
        <v>15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>
        <v>948.0</v>
      </c>
      <c r="B949" s="1">
        <v>618.0</v>
      </c>
      <c r="C949" s="1">
        <v>4.0</v>
      </c>
      <c r="D949" s="4">
        <v>42901.0</v>
      </c>
      <c r="E949" s="4">
        <v>42903.0</v>
      </c>
      <c r="F949" s="4">
        <v>42903.0</v>
      </c>
      <c r="G949" s="1">
        <v>2.0</v>
      </c>
      <c r="H949" s="1">
        <v>6.0</v>
      </c>
      <c r="I949" s="3" t="str">
        <f>VLOOKUP(B949,Customers!A:J, 10,FALSE)</f>
        <v>Skye Pope</v>
      </c>
      <c r="J949" s="3" t="str">
        <f>VLOOKUP(B949,Customers!A:J,8,FALSE)</f>
        <v>NY</v>
      </c>
      <c r="K949" s="3" t="str">
        <f>VLOOKUP(B949,Customers!A:J,7,FALSE)</f>
        <v>Richmond Hill</v>
      </c>
      <c r="L949" s="3" t="str">
        <f>VLOOKUP(H949,Staff!A:I,9,FALSE)</f>
        <v>Marcelene Boyer</v>
      </c>
      <c r="M949" s="3" t="str">
        <f>VLOOKUP(G949,Store!A:H,2,FALSE)</f>
        <v>Baldwin Bikes</v>
      </c>
      <c r="N949" s="3" t="str">
        <f>VLOOKUP(G949,Store!A:H,6,FALSE)</f>
        <v>Baldwin</v>
      </c>
      <c r="O949" s="3" t="s">
        <v>16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>
        <v>949.0</v>
      </c>
      <c r="B950" s="1">
        <v>867.0</v>
      </c>
      <c r="C950" s="1">
        <v>4.0</v>
      </c>
      <c r="D950" s="4">
        <v>42902.0</v>
      </c>
      <c r="E950" s="4">
        <v>42904.0</v>
      </c>
      <c r="F950" s="4">
        <v>42903.0</v>
      </c>
      <c r="G950" s="1">
        <v>1.0</v>
      </c>
      <c r="H950" s="1">
        <v>3.0</v>
      </c>
      <c r="I950" s="3" t="str">
        <f>VLOOKUP(B950,Customers!A:J, 10,FALSE)</f>
        <v>Rosalva Hamilton</v>
      </c>
      <c r="J950" s="3" t="str">
        <f>VLOOKUP(B950,Customers!A:J,8,FALSE)</f>
        <v>CA</v>
      </c>
      <c r="K950" s="3" t="str">
        <f>VLOOKUP(B950,Customers!A:J,7,FALSE)</f>
        <v>Campbell</v>
      </c>
      <c r="L950" s="3" t="str">
        <f>VLOOKUP(H950,Staff!A:I,9,FALSE)</f>
        <v>Genna Serrano</v>
      </c>
      <c r="M950" s="3" t="str">
        <f>VLOOKUP(G950,Store!A:H,2,FALSE)</f>
        <v>Santa Cruz Bikes</v>
      </c>
      <c r="N950" s="3" t="str">
        <f>VLOOKUP(G950,Store!A:H,6,FALSE)</f>
        <v>Santa Cruz</v>
      </c>
      <c r="O950" s="3" t="s">
        <v>15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>
        <v>950.0</v>
      </c>
      <c r="B951" s="1">
        <v>142.0</v>
      </c>
      <c r="C951" s="1">
        <v>4.0</v>
      </c>
      <c r="D951" s="4">
        <v>42902.0</v>
      </c>
      <c r="E951" s="4">
        <v>42905.0</v>
      </c>
      <c r="F951" s="4">
        <v>42904.0</v>
      </c>
      <c r="G951" s="1">
        <v>2.0</v>
      </c>
      <c r="H951" s="1">
        <v>6.0</v>
      </c>
      <c r="I951" s="3" t="str">
        <f>VLOOKUP(B951,Customers!A:J, 10,FALSE)</f>
        <v>Nicholas Vazquez</v>
      </c>
      <c r="J951" s="3" t="str">
        <f>VLOOKUP(B951,Customers!A:J,8,FALSE)</f>
        <v>NY</v>
      </c>
      <c r="K951" s="3" t="str">
        <f>VLOOKUP(B951,Customers!A:J,7,FALSE)</f>
        <v>West Hempstead</v>
      </c>
      <c r="L951" s="3" t="str">
        <f>VLOOKUP(H951,Staff!A:I,9,FALSE)</f>
        <v>Marcelene Boyer</v>
      </c>
      <c r="M951" s="3" t="str">
        <f>VLOOKUP(G951,Store!A:H,2,FALSE)</f>
        <v>Baldwin Bikes</v>
      </c>
      <c r="N951" s="3" t="str">
        <f>VLOOKUP(G951,Store!A:H,6,FALSE)</f>
        <v>Baldwin</v>
      </c>
      <c r="O951" s="3" t="s">
        <v>16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>
        <v>951.0</v>
      </c>
      <c r="B952" s="1">
        <v>339.0</v>
      </c>
      <c r="C952" s="1">
        <v>4.0</v>
      </c>
      <c r="D952" s="4">
        <v>42902.0</v>
      </c>
      <c r="E952" s="4">
        <v>42905.0</v>
      </c>
      <c r="F952" s="4">
        <v>42905.0</v>
      </c>
      <c r="G952" s="1">
        <v>2.0</v>
      </c>
      <c r="H952" s="1">
        <v>7.0</v>
      </c>
      <c r="I952" s="3" t="str">
        <f>VLOOKUP(B952,Customers!A:J, 10,FALSE)</f>
        <v>Tamela Harrell</v>
      </c>
      <c r="J952" s="3" t="str">
        <f>VLOOKUP(B952,Customers!A:J,8,FALSE)</f>
        <v>NY</v>
      </c>
      <c r="K952" s="3" t="str">
        <f>VLOOKUP(B952,Customers!A:J,7,FALSE)</f>
        <v>Central Islip</v>
      </c>
      <c r="L952" s="3" t="str">
        <f>VLOOKUP(H952,Staff!A:I,9,FALSE)</f>
        <v>Venita Daniel</v>
      </c>
      <c r="M952" s="3" t="str">
        <f>VLOOKUP(G952,Store!A:H,2,FALSE)</f>
        <v>Baldwin Bikes</v>
      </c>
      <c r="N952" s="3" t="str">
        <f>VLOOKUP(G952,Store!A:H,6,FALSE)</f>
        <v>Baldwin</v>
      </c>
      <c r="O952" s="3" t="s">
        <v>16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>
        <v>952.0</v>
      </c>
      <c r="B953" s="1">
        <v>355.0</v>
      </c>
      <c r="C953" s="1">
        <v>4.0</v>
      </c>
      <c r="D953" s="4">
        <v>42902.0</v>
      </c>
      <c r="E953" s="4">
        <v>42904.0</v>
      </c>
      <c r="F953" s="4">
        <v>42904.0</v>
      </c>
      <c r="G953" s="1">
        <v>2.0</v>
      </c>
      <c r="H953" s="1">
        <v>7.0</v>
      </c>
      <c r="I953" s="3" t="str">
        <f>VLOOKUP(B953,Customers!A:J, 10,FALSE)</f>
        <v>Arvilla Weiss</v>
      </c>
      <c r="J953" s="3" t="str">
        <f>VLOOKUP(B953,Customers!A:J,8,FALSE)</f>
        <v>NY</v>
      </c>
      <c r="K953" s="3" t="str">
        <f>VLOOKUP(B953,Customers!A:J,7,FALSE)</f>
        <v>Bay Shore</v>
      </c>
      <c r="L953" s="3" t="str">
        <f>VLOOKUP(H953,Staff!A:I,9,FALSE)</f>
        <v>Venita Daniel</v>
      </c>
      <c r="M953" s="3" t="str">
        <f>VLOOKUP(G953,Store!A:H,2,FALSE)</f>
        <v>Baldwin Bikes</v>
      </c>
      <c r="N953" s="3" t="str">
        <f>VLOOKUP(G953,Store!A:H,6,FALSE)</f>
        <v>Baldwin</v>
      </c>
      <c r="O953" s="3" t="s">
        <v>16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>
        <v>953.0</v>
      </c>
      <c r="B954" s="1">
        <v>658.0</v>
      </c>
      <c r="C954" s="1">
        <v>4.0</v>
      </c>
      <c r="D954" s="4">
        <v>42902.0</v>
      </c>
      <c r="E954" s="4">
        <v>42904.0</v>
      </c>
      <c r="F954" s="4">
        <v>42903.0</v>
      </c>
      <c r="G954" s="1">
        <v>2.0</v>
      </c>
      <c r="H954" s="1">
        <v>7.0</v>
      </c>
      <c r="I954" s="3" t="str">
        <f>VLOOKUP(B954,Customers!A:J, 10,FALSE)</f>
        <v>Nicki Larson</v>
      </c>
      <c r="J954" s="3" t="str">
        <f>VLOOKUP(B954,Customers!A:J,8,FALSE)</f>
        <v>NY</v>
      </c>
      <c r="K954" s="3" t="str">
        <f>VLOOKUP(B954,Customers!A:J,7,FALSE)</f>
        <v>Monsey</v>
      </c>
      <c r="L954" s="3" t="str">
        <f>VLOOKUP(H954,Staff!A:I,9,FALSE)</f>
        <v>Venita Daniel</v>
      </c>
      <c r="M954" s="3" t="str">
        <f>VLOOKUP(G954,Store!A:H,2,FALSE)</f>
        <v>Baldwin Bikes</v>
      </c>
      <c r="N954" s="3" t="str">
        <f>VLOOKUP(G954,Store!A:H,6,FALSE)</f>
        <v>Baldwin</v>
      </c>
      <c r="O954" s="3" t="s">
        <v>16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>
        <v>954.0</v>
      </c>
      <c r="B955" s="1">
        <v>611.0</v>
      </c>
      <c r="C955" s="1">
        <v>4.0</v>
      </c>
      <c r="D955" s="4">
        <v>42903.0</v>
      </c>
      <c r="E955" s="4">
        <v>42906.0</v>
      </c>
      <c r="F955" s="4">
        <v>42906.0</v>
      </c>
      <c r="G955" s="1">
        <v>2.0</v>
      </c>
      <c r="H955" s="1">
        <v>6.0</v>
      </c>
      <c r="I955" s="3" t="str">
        <f>VLOOKUP(B955,Customers!A:J, 10,FALSE)</f>
        <v>Ashleigh Frank</v>
      </c>
      <c r="J955" s="3" t="str">
        <f>VLOOKUP(B955,Customers!A:J,8,FALSE)</f>
        <v>NY</v>
      </c>
      <c r="K955" s="3" t="str">
        <f>VLOOKUP(B955,Customers!A:J,7,FALSE)</f>
        <v>Levittown</v>
      </c>
      <c r="L955" s="3" t="str">
        <f>VLOOKUP(H955,Staff!A:I,9,FALSE)</f>
        <v>Marcelene Boyer</v>
      </c>
      <c r="M955" s="3" t="str">
        <f>VLOOKUP(G955,Store!A:H,2,FALSE)</f>
        <v>Baldwin Bikes</v>
      </c>
      <c r="N955" s="3" t="str">
        <f>VLOOKUP(G955,Store!A:H,6,FALSE)</f>
        <v>Baldwin</v>
      </c>
      <c r="O955" s="3" t="s">
        <v>16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>
        <v>955.0</v>
      </c>
      <c r="B956" s="1">
        <v>880.0</v>
      </c>
      <c r="C956" s="1">
        <v>4.0</v>
      </c>
      <c r="D956" s="4">
        <v>42903.0</v>
      </c>
      <c r="E956" s="4">
        <v>42905.0</v>
      </c>
      <c r="F956" s="4">
        <v>42904.0</v>
      </c>
      <c r="G956" s="1">
        <v>2.0</v>
      </c>
      <c r="H956" s="1">
        <v>6.0</v>
      </c>
      <c r="I956" s="3" t="str">
        <f>VLOOKUP(B956,Customers!A:J, 10,FALSE)</f>
        <v>Phebe Turner</v>
      </c>
      <c r="J956" s="3" t="str">
        <f>VLOOKUP(B956,Customers!A:J,8,FALSE)</f>
        <v>NY</v>
      </c>
      <c r="K956" s="3" t="str">
        <f>VLOOKUP(B956,Customers!A:J,7,FALSE)</f>
        <v>Sunnyside</v>
      </c>
      <c r="L956" s="3" t="str">
        <f>VLOOKUP(H956,Staff!A:I,9,FALSE)</f>
        <v>Marcelene Boyer</v>
      </c>
      <c r="M956" s="3" t="str">
        <f>VLOOKUP(G956,Store!A:H,2,FALSE)</f>
        <v>Baldwin Bikes</v>
      </c>
      <c r="N956" s="3" t="str">
        <f>VLOOKUP(G956,Store!A:H,6,FALSE)</f>
        <v>Baldwin</v>
      </c>
      <c r="O956" s="3" t="s">
        <v>16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>
        <v>956.0</v>
      </c>
      <c r="B957" s="1">
        <v>1184.0</v>
      </c>
      <c r="C957" s="1">
        <v>4.0</v>
      </c>
      <c r="D957" s="4">
        <v>42903.0</v>
      </c>
      <c r="E957" s="4">
        <v>42905.0</v>
      </c>
      <c r="F957" s="4">
        <v>42906.0</v>
      </c>
      <c r="G957" s="1">
        <v>2.0</v>
      </c>
      <c r="H957" s="1">
        <v>6.0</v>
      </c>
      <c r="I957" s="3" t="str">
        <f>VLOOKUP(B957,Customers!A:J, 10,FALSE)</f>
        <v>Annabelle Hebert</v>
      </c>
      <c r="J957" s="3" t="str">
        <f>VLOOKUP(B957,Customers!A:J,8,FALSE)</f>
        <v>NY</v>
      </c>
      <c r="K957" s="3" t="str">
        <f>VLOOKUP(B957,Customers!A:J,7,FALSE)</f>
        <v>Spring Valley</v>
      </c>
      <c r="L957" s="3" t="str">
        <f>VLOOKUP(H957,Staff!A:I,9,FALSE)</f>
        <v>Marcelene Boyer</v>
      </c>
      <c r="M957" s="3" t="str">
        <f>VLOOKUP(G957,Store!A:H,2,FALSE)</f>
        <v>Baldwin Bikes</v>
      </c>
      <c r="N957" s="3" t="str">
        <f>VLOOKUP(G957,Store!A:H,6,FALSE)</f>
        <v>Baldwin</v>
      </c>
      <c r="O957" s="3" t="s">
        <v>16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>
        <v>957.0</v>
      </c>
      <c r="B958" s="1">
        <v>722.0</v>
      </c>
      <c r="C958" s="1">
        <v>4.0</v>
      </c>
      <c r="D958" s="4">
        <v>42903.0</v>
      </c>
      <c r="E958" s="4">
        <v>42906.0</v>
      </c>
      <c r="F958" s="4">
        <v>42906.0</v>
      </c>
      <c r="G958" s="1">
        <v>3.0</v>
      </c>
      <c r="H958" s="1">
        <v>9.0</v>
      </c>
      <c r="I958" s="3" t="str">
        <f>VLOOKUP(B958,Customers!A:J, 10,FALSE)</f>
        <v>Camila Carroll</v>
      </c>
      <c r="J958" s="3" t="str">
        <f>VLOOKUP(B958,Customers!A:J,8,FALSE)</f>
        <v>TX</v>
      </c>
      <c r="K958" s="3" t="str">
        <f>VLOOKUP(B958,Customers!A:J,7,FALSE)</f>
        <v>San Antonio</v>
      </c>
      <c r="L958" s="3" t="str">
        <f>VLOOKUP(H958,Staff!A:I,9,FALSE)</f>
        <v>Layla Terrell</v>
      </c>
      <c r="M958" s="3" t="str">
        <f>VLOOKUP(G958,Store!A:H,2,FALSE)</f>
        <v>Rowlett Bikes</v>
      </c>
      <c r="N958" s="3" t="str">
        <f>VLOOKUP(G958,Store!A:H,6,FALSE)</f>
        <v>Rowlett</v>
      </c>
      <c r="O958" s="3" t="s">
        <v>17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>
        <v>958.0</v>
      </c>
      <c r="B959" s="1">
        <v>1276.0</v>
      </c>
      <c r="C959" s="1">
        <v>4.0</v>
      </c>
      <c r="D959" s="4">
        <v>42904.0</v>
      </c>
      <c r="E959" s="4">
        <v>42906.0</v>
      </c>
      <c r="F959" s="4">
        <v>42905.0</v>
      </c>
      <c r="G959" s="1">
        <v>1.0</v>
      </c>
      <c r="H959" s="1">
        <v>2.0</v>
      </c>
      <c r="I959" s="3" t="str">
        <f>VLOOKUP(B959,Customers!A:J, 10,FALSE)</f>
        <v>Shona Mcmillan</v>
      </c>
      <c r="J959" s="3" t="str">
        <f>VLOOKUP(B959,Customers!A:J,8,FALSE)</f>
        <v>CA</v>
      </c>
      <c r="K959" s="3" t="str">
        <f>VLOOKUP(B959,Customers!A:J,7,FALSE)</f>
        <v>Apple Valley</v>
      </c>
      <c r="L959" s="3" t="str">
        <f>VLOOKUP(H959,Staff!A:I,9,FALSE)</f>
        <v>Mireya Copeland</v>
      </c>
      <c r="M959" s="3" t="str">
        <f>VLOOKUP(G959,Store!A:H,2,FALSE)</f>
        <v>Santa Cruz Bikes</v>
      </c>
      <c r="N959" s="3" t="str">
        <f>VLOOKUP(G959,Store!A:H,6,FALSE)</f>
        <v>Santa Cruz</v>
      </c>
      <c r="O959" s="3" t="s">
        <v>15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>
        <v>959.0</v>
      </c>
      <c r="B960" s="1">
        <v>650.0</v>
      </c>
      <c r="C960" s="1">
        <v>4.0</v>
      </c>
      <c r="D960" s="4">
        <v>42904.0</v>
      </c>
      <c r="E960" s="4">
        <v>42907.0</v>
      </c>
      <c r="F960" s="4">
        <v>42907.0</v>
      </c>
      <c r="G960" s="1">
        <v>2.0</v>
      </c>
      <c r="H960" s="1">
        <v>7.0</v>
      </c>
      <c r="I960" s="3" t="str">
        <f>VLOOKUP(B960,Customers!A:J, 10,FALSE)</f>
        <v>Rita Bailey</v>
      </c>
      <c r="J960" s="3" t="str">
        <f>VLOOKUP(B960,Customers!A:J,8,FALSE)</f>
        <v>NY</v>
      </c>
      <c r="K960" s="3" t="str">
        <f>VLOOKUP(B960,Customers!A:J,7,FALSE)</f>
        <v>Ossining</v>
      </c>
      <c r="L960" s="3" t="str">
        <f>VLOOKUP(H960,Staff!A:I,9,FALSE)</f>
        <v>Venita Daniel</v>
      </c>
      <c r="M960" s="3" t="str">
        <f>VLOOKUP(G960,Store!A:H,2,FALSE)</f>
        <v>Baldwin Bikes</v>
      </c>
      <c r="N960" s="3" t="str">
        <f>VLOOKUP(G960,Store!A:H,6,FALSE)</f>
        <v>Baldwin</v>
      </c>
      <c r="O960" s="3" t="s">
        <v>16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>
        <v>960.0</v>
      </c>
      <c r="B961" s="1">
        <v>1390.0</v>
      </c>
      <c r="C961" s="1">
        <v>4.0</v>
      </c>
      <c r="D961" s="4">
        <v>42904.0</v>
      </c>
      <c r="E961" s="4">
        <v>42905.0</v>
      </c>
      <c r="F961" s="4">
        <v>42905.0</v>
      </c>
      <c r="G961" s="1">
        <v>2.0</v>
      </c>
      <c r="H961" s="1">
        <v>7.0</v>
      </c>
      <c r="I961" s="3" t="str">
        <f>VLOOKUP(B961,Customers!A:J, 10,FALSE)</f>
        <v>Genoveva Lloyd</v>
      </c>
      <c r="J961" s="3" t="str">
        <f>VLOOKUP(B961,Customers!A:J,8,FALSE)</f>
        <v>NY</v>
      </c>
      <c r="K961" s="3" t="str">
        <f>VLOOKUP(B961,Customers!A:J,7,FALSE)</f>
        <v>Bayside</v>
      </c>
      <c r="L961" s="3" t="str">
        <f>VLOOKUP(H961,Staff!A:I,9,FALSE)</f>
        <v>Venita Daniel</v>
      </c>
      <c r="M961" s="3" t="str">
        <f>VLOOKUP(G961,Store!A:H,2,FALSE)</f>
        <v>Baldwin Bikes</v>
      </c>
      <c r="N961" s="3" t="str">
        <f>VLOOKUP(G961,Store!A:H,6,FALSE)</f>
        <v>Baldwin</v>
      </c>
      <c r="O961" s="3" t="s">
        <v>16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>
        <v>961.0</v>
      </c>
      <c r="B962" s="1">
        <v>82.0</v>
      </c>
      <c r="C962" s="1">
        <v>4.0</v>
      </c>
      <c r="D962" s="4">
        <v>42905.0</v>
      </c>
      <c r="E962" s="4">
        <v>42907.0</v>
      </c>
      <c r="F962" s="4">
        <v>42908.0</v>
      </c>
      <c r="G962" s="1">
        <v>1.0</v>
      </c>
      <c r="H962" s="1">
        <v>2.0</v>
      </c>
      <c r="I962" s="3" t="str">
        <f>VLOOKUP(B962,Customers!A:J, 10,FALSE)</f>
        <v>Lizzie Joyner</v>
      </c>
      <c r="J962" s="3" t="str">
        <f>VLOOKUP(B962,Customers!A:J,8,FALSE)</f>
        <v>CA</v>
      </c>
      <c r="K962" s="3" t="str">
        <f>VLOOKUP(B962,Customers!A:J,7,FALSE)</f>
        <v>Coachella</v>
      </c>
      <c r="L962" s="3" t="str">
        <f>VLOOKUP(H962,Staff!A:I,9,FALSE)</f>
        <v>Mireya Copeland</v>
      </c>
      <c r="M962" s="3" t="str">
        <f>VLOOKUP(G962,Store!A:H,2,FALSE)</f>
        <v>Santa Cruz Bikes</v>
      </c>
      <c r="N962" s="3" t="str">
        <f>VLOOKUP(G962,Store!A:H,6,FALSE)</f>
        <v>Santa Cruz</v>
      </c>
      <c r="O962" s="3" t="s">
        <v>15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>
        <v>962.0</v>
      </c>
      <c r="B963" s="1">
        <v>570.0</v>
      </c>
      <c r="C963" s="1">
        <v>4.0</v>
      </c>
      <c r="D963" s="4">
        <v>42905.0</v>
      </c>
      <c r="E963" s="4">
        <v>42908.0</v>
      </c>
      <c r="F963" s="4">
        <v>42906.0</v>
      </c>
      <c r="G963" s="1">
        <v>2.0</v>
      </c>
      <c r="H963" s="1">
        <v>7.0</v>
      </c>
      <c r="I963" s="3" t="str">
        <f>VLOOKUP(B963,Customers!A:J, 10,FALSE)</f>
        <v>Marissa Summers</v>
      </c>
      <c r="J963" s="3" t="str">
        <f>VLOOKUP(B963,Customers!A:J,8,FALSE)</f>
        <v>NY</v>
      </c>
      <c r="K963" s="3" t="str">
        <f>VLOOKUP(B963,Customers!A:J,7,FALSE)</f>
        <v>Saint Albans</v>
      </c>
      <c r="L963" s="3" t="str">
        <f>VLOOKUP(H963,Staff!A:I,9,FALSE)</f>
        <v>Venita Daniel</v>
      </c>
      <c r="M963" s="3" t="str">
        <f>VLOOKUP(G963,Store!A:H,2,FALSE)</f>
        <v>Baldwin Bikes</v>
      </c>
      <c r="N963" s="3" t="str">
        <f>VLOOKUP(G963,Store!A:H,6,FALSE)</f>
        <v>Baldwin</v>
      </c>
      <c r="O963" s="3" t="s">
        <v>16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>
        <v>963.0</v>
      </c>
      <c r="B964" s="1">
        <v>1432.0</v>
      </c>
      <c r="C964" s="1">
        <v>4.0</v>
      </c>
      <c r="D964" s="4">
        <v>42905.0</v>
      </c>
      <c r="E964" s="4">
        <v>42907.0</v>
      </c>
      <c r="F964" s="4">
        <v>42907.0</v>
      </c>
      <c r="G964" s="1">
        <v>2.0</v>
      </c>
      <c r="H964" s="1">
        <v>6.0</v>
      </c>
      <c r="I964" s="3" t="str">
        <f>VLOOKUP(B964,Customers!A:J, 10,FALSE)</f>
        <v>Zona Cameron</v>
      </c>
      <c r="J964" s="3" t="str">
        <f>VLOOKUP(B964,Customers!A:J,8,FALSE)</f>
        <v>NY</v>
      </c>
      <c r="K964" s="3" t="str">
        <f>VLOOKUP(B964,Customers!A:J,7,FALSE)</f>
        <v>East Northport</v>
      </c>
      <c r="L964" s="3" t="str">
        <f>VLOOKUP(H964,Staff!A:I,9,FALSE)</f>
        <v>Marcelene Boyer</v>
      </c>
      <c r="M964" s="3" t="str">
        <f>VLOOKUP(G964,Store!A:H,2,FALSE)</f>
        <v>Baldwin Bikes</v>
      </c>
      <c r="N964" s="3" t="str">
        <f>VLOOKUP(G964,Store!A:H,6,FALSE)</f>
        <v>Baldwin</v>
      </c>
      <c r="O964" s="3" t="s">
        <v>16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>
        <v>964.0</v>
      </c>
      <c r="B965" s="1">
        <v>404.0</v>
      </c>
      <c r="C965" s="1">
        <v>4.0</v>
      </c>
      <c r="D965" s="4">
        <v>42906.0</v>
      </c>
      <c r="E965" s="4">
        <v>42908.0</v>
      </c>
      <c r="F965" s="4">
        <v>42908.0</v>
      </c>
      <c r="G965" s="1">
        <v>2.0</v>
      </c>
      <c r="H965" s="1">
        <v>7.0</v>
      </c>
      <c r="I965" s="3" t="str">
        <f>VLOOKUP(B965,Customers!A:J, 10,FALSE)</f>
        <v>Augustus Steele</v>
      </c>
      <c r="J965" s="3" t="str">
        <f>VLOOKUP(B965,Customers!A:J,8,FALSE)</f>
        <v>NY</v>
      </c>
      <c r="K965" s="3" t="str">
        <f>VLOOKUP(B965,Customers!A:J,7,FALSE)</f>
        <v>Ballston Spa</v>
      </c>
      <c r="L965" s="3" t="str">
        <f>VLOOKUP(H965,Staff!A:I,9,FALSE)</f>
        <v>Venita Daniel</v>
      </c>
      <c r="M965" s="3" t="str">
        <f>VLOOKUP(G965,Store!A:H,2,FALSE)</f>
        <v>Baldwin Bikes</v>
      </c>
      <c r="N965" s="3" t="str">
        <f>VLOOKUP(G965,Store!A:H,6,FALSE)</f>
        <v>Baldwin</v>
      </c>
      <c r="O965" s="3" t="s">
        <v>16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>
        <v>965.0</v>
      </c>
      <c r="B966" s="1">
        <v>457.0</v>
      </c>
      <c r="C966" s="1">
        <v>4.0</v>
      </c>
      <c r="D966" s="4">
        <v>42906.0</v>
      </c>
      <c r="E966" s="4">
        <v>42908.0</v>
      </c>
      <c r="F966" s="4">
        <v>42909.0</v>
      </c>
      <c r="G966" s="1">
        <v>2.0</v>
      </c>
      <c r="H966" s="1">
        <v>6.0</v>
      </c>
      <c r="I966" s="3" t="str">
        <f>VLOOKUP(B966,Customers!A:J, 10,FALSE)</f>
        <v>Jeni Farley</v>
      </c>
      <c r="J966" s="3" t="str">
        <f>VLOOKUP(B966,Customers!A:J,8,FALSE)</f>
        <v>NY</v>
      </c>
      <c r="K966" s="3" t="str">
        <f>VLOOKUP(B966,Customers!A:J,7,FALSE)</f>
        <v>Richmond Hill</v>
      </c>
      <c r="L966" s="3" t="str">
        <f>VLOOKUP(H966,Staff!A:I,9,FALSE)</f>
        <v>Marcelene Boyer</v>
      </c>
      <c r="M966" s="3" t="str">
        <f>VLOOKUP(G966,Store!A:H,2,FALSE)</f>
        <v>Baldwin Bikes</v>
      </c>
      <c r="N966" s="3" t="str">
        <f>VLOOKUP(G966,Store!A:H,6,FALSE)</f>
        <v>Baldwin</v>
      </c>
      <c r="O966" s="3" t="s">
        <v>16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>
        <v>966.0</v>
      </c>
      <c r="B967" s="1">
        <v>389.0</v>
      </c>
      <c r="C967" s="1">
        <v>4.0</v>
      </c>
      <c r="D967" s="4">
        <v>42906.0</v>
      </c>
      <c r="E967" s="4">
        <v>42908.0</v>
      </c>
      <c r="F967" s="4">
        <v>42908.0</v>
      </c>
      <c r="G967" s="1">
        <v>3.0</v>
      </c>
      <c r="H967" s="1">
        <v>8.0</v>
      </c>
      <c r="I967" s="3" t="str">
        <f>VLOOKUP(B967,Customers!A:J, 10,FALSE)</f>
        <v>Leif Short</v>
      </c>
      <c r="J967" s="3" t="str">
        <f>VLOOKUP(B967,Customers!A:J,8,FALSE)</f>
        <v>TX</v>
      </c>
      <c r="K967" s="3" t="str">
        <f>VLOOKUP(B967,Customers!A:J,7,FALSE)</f>
        <v>San Angelo</v>
      </c>
      <c r="L967" s="3" t="str">
        <f>VLOOKUP(H967,Staff!A:I,9,FALSE)</f>
        <v>Kali Vargas</v>
      </c>
      <c r="M967" s="3" t="str">
        <f>VLOOKUP(G967,Store!A:H,2,FALSE)</f>
        <v>Rowlett Bikes</v>
      </c>
      <c r="N967" s="3" t="str">
        <f>VLOOKUP(G967,Store!A:H,6,FALSE)</f>
        <v>Rowlett</v>
      </c>
      <c r="O967" s="3" t="s">
        <v>17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>
        <v>967.0</v>
      </c>
      <c r="B968" s="1">
        <v>1323.0</v>
      </c>
      <c r="C968" s="1">
        <v>4.0</v>
      </c>
      <c r="D968" s="4">
        <v>42907.0</v>
      </c>
      <c r="E968" s="4">
        <v>42910.0</v>
      </c>
      <c r="F968" s="4">
        <v>42910.0</v>
      </c>
      <c r="G968" s="1">
        <v>2.0</v>
      </c>
      <c r="H968" s="1">
        <v>6.0</v>
      </c>
      <c r="I968" s="3" t="str">
        <f>VLOOKUP(B968,Customers!A:J, 10,FALSE)</f>
        <v>Ebony Cotton</v>
      </c>
      <c r="J968" s="3" t="str">
        <f>VLOOKUP(B968,Customers!A:J,8,FALSE)</f>
        <v>NY</v>
      </c>
      <c r="K968" s="3" t="str">
        <f>VLOOKUP(B968,Customers!A:J,7,FALSE)</f>
        <v>West Babylon</v>
      </c>
      <c r="L968" s="3" t="str">
        <f>VLOOKUP(H968,Staff!A:I,9,FALSE)</f>
        <v>Marcelene Boyer</v>
      </c>
      <c r="M968" s="3" t="str">
        <f>VLOOKUP(G968,Store!A:H,2,FALSE)</f>
        <v>Baldwin Bikes</v>
      </c>
      <c r="N968" s="3" t="str">
        <f>VLOOKUP(G968,Store!A:H,6,FALSE)</f>
        <v>Baldwin</v>
      </c>
      <c r="O968" s="3" t="s">
        <v>16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>
        <v>968.0</v>
      </c>
      <c r="B969" s="1">
        <v>1403.0</v>
      </c>
      <c r="C969" s="1">
        <v>4.0</v>
      </c>
      <c r="D969" s="4">
        <v>42907.0</v>
      </c>
      <c r="E969" s="4">
        <v>42909.0</v>
      </c>
      <c r="F969" s="4">
        <v>42909.0</v>
      </c>
      <c r="G969" s="1">
        <v>2.0</v>
      </c>
      <c r="H969" s="1">
        <v>6.0</v>
      </c>
      <c r="I969" s="3" t="str">
        <f>VLOOKUP(B969,Customers!A:J, 10,FALSE)</f>
        <v>Mila Moody</v>
      </c>
      <c r="J969" s="3" t="str">
        <f>VLOOKUP(B969,Customers!A:J,8,FALSE)</f>
        <v>NY</v>
      </c>
      <c r="K969" s="3" t="str">
        <f>VLOOKUP(B969,Customers!A:J,7,FALSE)</f>
        <v>Troy</v>
      </c>
      <c r="L969" s="3" t="str">
        <f>VLOOKUP(H969,Staff!A:I,9,FALSE)</f>
        <v>Marcelene Boyer</v>
      </c>
      <c r="M969" s="3" t="str">
        <f>VLOOKUP(G969,Store!A:H,2,FALSE)</f>
        <v>Baldwin Bikes</v>
      </c>
      <c r="N969" s="3" t="str">
        <f>VLOOKUP(G969,Store!A:H,6,FALSE)</f>
        <v>Baldwin</v>
      </c>
      <c r="O969" s="3" t="s">
        <v>16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>
        <v>969.0</v>
      </c>
      <c r="B970" s="1">
        <v>248.0</v>
      </c>
      <c r="C970" s="1">
        <v>4.0</v>
      </c>
      <c r="D970" s="4">
        <v>42907.0</v>
      </c>
      <c r="E970" s="4">
        <v>42910.0</v>
      </c>
      <c r="F970" s="4">
        <v>42908.0</v>
      </c>
      <c r="G970" s="1">
        <v>3.0</v>
      </c>
      <c r="H970" s="1">
        <v>9.0</v>
      </c>
      <c r="I970" s="3" t="str">
        <f>VLOOKUP(B970,Customers!A:J, 10,FALSE)</f>
        <v>Cecelia Gill</v>
      </c>
      <c r="J970" s="3" t="str">
        <f>VLOOKUP(B970,Customers!A:J,8,FALSE)</f>
        <v>TX</v>
      </c>
      <c r="K970" s="3" t="str">
        <f>VLOOKUP(B970,Customers!A:J,7,FALSE)</f>
        <v>Mcallen</v>
      </c>
      <c r="L970" s="3" t="str">
        <f>VLOOKUP(H970,Staff!A:I,9,FALSE)</f>
        <v>Layla Terrell</v>
      </c>
      <c r="M970" s="3" t="str">
        <f>VLOOKUP(G970,Store!A:H,2,FALSE)</f>
        <v>Rowlett Bikes</v>
      </c>
      <c r="N970" s="3" t="str">
        <f>VLOOKUP(G970,Store!A:H,6,FALSE)</f>
        <v>Rowlett</v>
      </c>
      <c r="O970" s="3" t="s">
        <v>17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>
        <v>970.0</v>
      </c>
      <c r="B971" s="1">
        <v>836.0</v>
      </c>
      <c r="C971" s="1">
        <v>4.0</v>
      </c>
      <c r="D971" s="4">
        <v>42908.0</v>
      </c>
      <c r="E971" s="4">
        <v>42911.0</v>
      </c>
      <c r="F971" s="4">
        <v>42909.0</v>
      </c>
      <c r="G971" s="1">
        <v>2.0</v>
      </c>
      <c r="H971" s="1">
        <v>7.0</v>
      </c>
      <c r="I971" s="3" t="str">
        <f>VLOOKUP(B971,Customers!A:J, 10,FALSE)</f>
        <v>Corinna Adams</v>
      </c>
      <c r="J971" s="3" t="str">
        <f>VLOOKUP(B971,Customers!A:J,8,FALSE)</f>
        <v>NY</v>
      </c>
      <c r="K971" s="3" t="str">
        <f>VLOOKUP(B971,Customers!A:J,7,FALSE)</f>
        <v>Rosedale</v>
      </c>
      <c r="L971" s="3" t="str">
        <f>VLOOKUP(H971,Staff!A:I,9,FALSE)</f>
        <v>Venita Daniel</v>
      </c>
      <c r="M971" s="3" t="str">
        <f>VLOOKUP(G971,Store!A:H,2,FALSE)</f>
        <v>Baldwin Bikes</v>
      </c>
      <c r="N971" s="3" t="str">
        <f>VLOOKUP(G971,Store!A:H,6,FALSE)</f>
        <v>Baldwin</v>
      </c>
      <c r="O971" s="3" t="s">
        <v>16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>
        <v>971.0</v>
      </c>
      <c r="B972" s="1">
        <v>1426.0</v>
      </c>
      <c r="C972" s="1">
        <v>4.0</v>
      </c>
      <c r="D972" s="4">
        <v>42908.0</v>
      </c>
      <c r="E972" s="4">
        <v>42909.0</v>
      </c>
      <c r="F972" s="4">
        <v>42910.0</v>
      </c>
      <c r="G972" s="1">
        <v>3.0</v>
      </c>
      <c r="H972" s="1">
        <v>8.0</v>
      </c>
      <c r="I972" s="3" t="str">
        <f>VLOOKUP(B972,Customers!A:J, 10,FALSE)</f>
        <v>Londa Gould</v>
      </c>
      <c r="J972" s="3" t="str">
        <f>VLOOKUP(B972,Customers!A:J,8,FALSE)</f>
        <v>TX</v>
      </c>
      <c r="K972" s="3" t="str">
        <f>VLOOKUP(B972,Customers!A:J,7,FALSE)</f>
        <v>Corpus Christi</v>
      </c>
      <c r="L972" s="3" t="str">
        <f>VLOOKUP(H972,Staff!A:I,9,FALSE)</f>
        <v>Kali Vargas</v>
      </c>
      <c r="M972" s="3" t="str">
        <f>VLOOKUP(G972,Store!A:H,2,FALSE)</f>
        <v>Rowlett Bikes</v>
      </c>
      <c r="N972" s="3" t="str">
        <f>VLOOKUP(G972,Store!A:H,6,FALSE)</f>
        <v>Rowlett</v>
      </c>
      <c r="O972" s="3" t="s">
        <v>17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>
        <v>972.0</v>
      </c>
      <c r="B973" s="1">
        <v>270.0</v>
      </c>
      <c r="C973" s="1">
        <v>4.0</v>
      </c>
      <c r="D973" s="4">
        <v>42909.0</v>
      </c>
      <c r="E973" s="4">
        <v>42910.0</v>
      </c>
      <c r="F973" s="4">
        <v>42911.0</v>
      </c>
      <c r="G973" s="1">
        <v>2.0</v>
      </c>
      <c r="H973" s="1">
        <v>7.0</v>
      </c>
      <c r="I973" s="3" t="str">
        <f>VLOOKUP(B973,Customers!A:J, 10,FALSE)</f>
        <v>Claudio Wise</v>
      </c>
      <c r="J973" s="3" t="str">
        <f>VLOOKUP(B973,Customers!A:J,8,FALSE)</f>
        <v>NY</v>
      </c>
      <c r="K973" s="3" t="str">
        <f>VLOOKUP(B973,Customers!A:J,7,FALSE)</f>
        <v>Kingston</v>
      </c>
      <c r="L973" s="3" t="str">
        <f>VLOOKUP(H973,Staff!A:I,9,FALSE)</f>
        <v>Venita Daniel</v>
      </c>
      <c r="M973" s="3" t="str">
        <f>VLOOKUP(G973,Store!A:H,2,FALSE)</f>
        <v>Baldwin Bikes</v>
      </c>
      <c r="N973" s="3" t="str">
        <f>VLOOKUP(G973,Store!A:H,6,FALSE)</f>
        <v>Baldwin</v>
      </c>
      <c r="O973" s="3" t="s">
        <v>16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>
        <v>973.0</v>
      </c>
      <c r="B974" s="1">
        <v>238.0</v>
      </c>
      <c r="C974" s="1">
        <v>4.0</v>
      </c>
      <c r="D974" s="4">
        <v>42910.0</v>
      </c>
      <c r="E974" s="4">
        <v>42913.0</v>
      </c>
      <c r="F974" s="4">
        <v>42913.0</v>
      </c>
      <c r="G974" s="1">
        <v>2.0</v>
      </c>
      <c r="H974" s="1">
        <v>6.0</v>
      </c>
      <c r="I974" s="3" t="str">
        <f>VLOOKUP(B974,Customers!A:J, 10,FALSE)</f>
        <v>Cindi Larson</v>
      </c>
      <c r="J974" s="3" t="str">
        <f>VLOOKUP(B974,Customers!A:J,8,FALSE)</f>
        <v>NY</v>
      </c>
      <c r="K974" s="3" t="str">
        <f>VLOOKUP(B974,Customers!A:J,7,FALSE)</f>
        <v>Howard Beach</v>
      </c>
      <c r="L974" s="3" t="str">
        <f>VLOOKUP(H974,Staff!A:I,9,FALSE)</f>
        <v>Marcelene Boyer</v>
      </c>
      <c r="M974" s="3" t="str">
        <f>VLOOKUP(G974,Store!A:H,2,FALSE)</f>
        <v>Baldwin Bikes</v>
      </c>
      <c r="N974" s="3" t="str">
        <f>VLOOKUP(G974,Store!A:H,6,FALSE)</f>
        <v>Baldwin</v>
      </c>
      <c r="O974" s="3" t="s">
        <v>16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>
        <v>974.0</v>
      </c>
      <c r="B975" s="1">
        <v>511.0</v>
      </c>
      <c r="C975" s="1">
        <v>4.0</v>
      </c>
      <c r="D975" s="4">
        <v>42910.0</v>
      </c>
      <c r="E975" s="4">
        <v>42913.0</v>
      </c>
      <c r="F975" s="4">
        <v>42913.0</v>
      </c>
      <c r="G975" s="1">
        <v>3.0</v>
      </c>
      <c r="H975" s="1">
        <v>8.0</v>
      </c>
      <c r="I975" s="3" t="str">
        <f>VLOOKUP(B975,Customers!A:J, 10,FALSE)</f>
        <v>Julienne Moody</v>
      </c>
      <c r="J975" s="3" t="str">
        <f>VLOOKUP(B975,Customers!A:J,8,FALSE)</f>
        <v>TX</v>
      </c>
      <c r="K975" s="3" t="str">
        <f>VLOOKUP(B975,Customers!A:J,7,FALSE)</f>
        <v>Fort Worth</v>
      </c>
      <c r="L975" s="3" t="str">
        <f>VLOOKUP(H975,Staff!A:I,9,FALSE)</f>
        <v>Kali Vargas</v>
      </c>
      <c r="M975" s="3" t="str">
        <f>VLOOKUP(G975,Store!A:H,2,FALSE)</f>
        <v>Rowlett Bikes</v>
      </c>
      <c r="N975" s="3" t="str">
        <f>VLOOKUP(G975,Store!A:H,6,FALSE)</f>
        <v>Rowlett</v>
      </c>
      <c r="O975" s="3" t="s">
        <v>17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>
        <v>975.0</v>
      </c>
      <c r="B976" s="1">
        <v>1092.0</v>
      </c>
      <c r="C976" s="1">
        <v>4.0</v>
      </c>
      <c r="D976" s="4">
        <v>42911.0</v>
      </c>
      <c r="E976" s="4">
        <v>42913.0</v>
      </c>
      <c r="F976" s="4">
        <v>42914.0</v>
      </c>
      <c r="G976" s="1">
        <v>2.0</v>
      </c>
      <c r="H976" s="1">
        <v>6.0</v>
      </c>
      <c r="I976" s="3" t="str">
        <f>VLOOKUP(B976,Customers!A:J, 10,FALSE)</f>
        <v>Lavinia Cotton</v>
      </c>
      <c r="J976" s="3" t="str">
        <f>VLOOKUP(B976,Customers!A:J,8,FALSE)</f>
        <v>NY</v>
      </c>
      <c r="K976" s="3" t="str">
        <f>VLOOKUP(B976,Customers!A:J,7,FALSE)</f>
        <v>East Northport</v>
      </c>
      <c r="L976" s="3" t="str">
        <f>VLOOKUP(H976,Staff!A:I,9,FALSE)</f>
        <v>Marcelene Boyer</v>
      </c>
      <c r="M976" s="3" t="str">
        <f>VLOOKUP(G976,Store!A:H,2,FALSE)</f>
        <v>Baldwin Bikes</v>
      </c>
      <c r="N976" s="3" t="str">
        <f>VLOOKUP(G976,Store!A:H,6,FALSE)</f>
        <v>Baldwin</v>
      </c>
      <c r="O976" s="3" t="s">
        <v>16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>
        <v>976.0</v>
      </c>
      <c r="B977" s="1">
        <v>1266.0</v>
      </c>
      <c r="C977" s="1">
        <v>4.0</v>
      </c>
      <c r="D977" s="4">
        <v>42911.0</v>
      </c>
      <c r="E977" s="4">
        <v>42914.0</v>
      </c>
      <c r="F977" s="4">
        <v>42913.0</v>
      </c>
      <c r="G977" s="1">
        <v>3.0</v>
      </c>
      <c r="H977" s="1">
        <v>9.0</v>
      </c>
      <c r="I977" s="3" t="str">
        <f>VLOOKUP(B977,Customers!A:J, 10,FALSE)</f>
        <v>Myrl Gay</v>
      </c>
      <c r="J977" s="3" t="str">
        <f>VLOOKUP(B977,Customers!A:J,8,FALSE)</f>
        <v>TX</v>
      </c>
      <c r="K977" s="3" t="str">
        <f>VLOOKUP(B977,Customers!A:J,7,FALSE)</f>
        <v>Garland</v>
      </c>
      <c r="L977" s="3" t="str">
        <f>VLOOKUP(H977,Staff!A:I,9,FALSE)</f>
        <v>Layla Terrell</v>
      </c>
      <c r="M977" s="3" t="str">
        <f>VLOOKUP(G977,Store!A:H,2,FALSE)</f>
        <v>Rowlett Bikes</v>
      </c>
      <c r="N977" s="3" t="str">
        <f>VLOOKUP(G977,Store!A:H,6,FALSE)</f>
        <v>Rowlett</v>
      </c>
      <c r="O977" s="3" t="s">
        <v>17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>
        <v>977.0</v>
      </c>
      <c r="B978" s="1">
        <v>400.0</v>
      </c>
      <c r="C978" s="1">
        <v>4.0</v>
      </c>
      <c r="D978" s="4">
        <v>42912.0</v>
      </c>
      <c r="E978" s="4">
        <v>42914.0</v>
      </c>
      <c r="F978" s="4">
        <v>42913.0</v>
      </c>
      <c r="G978" s="1">
        <v>2.0</v>
      </c>
      <c r="H978" s="1">
        <v>7.0</v>
      </c>
      <c r="I978" s="3" t="str">
        <f>VLOOKUP(B978,Customers!A:J, 10,FALSE)</f>
        <v>Alfredo Dodson</v>
      </c>
      <c r="J978" s="3" t="str">
        <f>VLOOKUP(B978,Customers!A:J,8,FALSE)</f>
        <v>NY</v>
      </c>
      <c r="K978" s="3" t="str">
        <f>VLOOKUP(B978,Customers!A:J,7,FALSE)</f>
        <v>Depew</v>
      </c>
      <c r="L978" s="3" t="str">
        <f>VLOOKUP(H978,Staff!A:I,9,FALSE)</f>
        <v>Venita Daniel</v>
      </c>
      <c r="M978" s="3" t="str">
        <f>VLOOKUP(G978,Store!A:H,2,FALSE)</f>
        <v>Baldwin Bikes</v>
      </c>
      <c r="N978" s="3" t="str">
        <f>VLOOKUP(G978,Store!A:H,6,FALSE)</f>
        <v>Baldwin</v>
      </c>
      <c r="O978" s="3" t="s">
        <v>16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>
        <v>978.0</v>
      </c>
      <c r="B979" s="1">
        <v>1123.0</v>
      </c>
      <c r="C979" s="1">
        <v>4.0</v>
      </c>
      <c r="D979" s="4">
        <v>42912.0</v>
      </c>
      <c r="E979" s="4">
        <v>42914.0</v>
      </c>
      <c r="F979" s="4">
        <v>42913.0</v>
      </c>
      <c r="G979" s="1">
        <v>2.0</v>
      </c>
      <c r="H979" s="1">
        <v>6.0</v>
      </c>
      <c r="I979" s="3" t="str">
        <f>VLOOKUP(B979,Customers!A:J, 10,FALSE)</f>
        <v>Raphael O'neil</v>
      </c>
      <c r="J979" s="3" t="str">
        <f>VLOOKUP(B979,Customers!A:J,8,FALSE)</f>
        <v>NY</v>
      </c>
      <c r="K979" s="3" t="str">
        <f>VLOOKUP(B979,Customers!A:J,7,FALSE)</f>
        <v>Fairport</v>
      </c>
      <c r="L979" s="3" t="str">
        <f>VLOOKUP(H979,Staff!A:I,9,FALSE)</f>
        <v>Marcelene Boyer</v>
      </c>
      <c r="M979" s="3" t="str">
        <f>VLOOKUP(G979,Store!A:H,2,FALSE)</f>
        <v>Baldwin Bikes</v>
      </c>
      <c r="N979" s="3" t="str">
        <f>VLOOKUP(G979,Store!A:H,6,FALSE)</f>
        <v>Baldwin</v>
      </c>
      <c r="O979" s="3" t="s">
        <v>16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>
        <v>979.0</v>
      </c>
      <c r="B980" s="1">
        <v>1190.0</v>
      </c>
      <c r="C980" s="1">
        <v>4.0</v>
      </c>
      <c r="D980" s="4">
        <v>42912.0</v>
      </c>
      <c r="E980" s="4">
        <v>42915.0</v>
      </c>
      <c r="F980" s="4">
        <v>42913.0</v>
      </c>
      <c r="G980" s="1">
        <v>2.0</v>
      </c>
      <c r="H980" s="1">
        <v>6.0</v>
      </c>
      <c r="I980" s="3" t="str">
        <f>VLOOKUP(B980,Customers!A:J, 10,FALSE)</f>
        <v>Romeo Steele</v>
      </c>
      <c r="J980" s="3" t="str">
        <f>VLOOKUP(B980,Customers!A:J,8,FALSE)</f>
        <v>NY</v>
      </c>
      <c r="K980" s="3" t="str">
        <f>VLOOKUP(B980,Customers!A:J,7,FALSE)</f>
        <v>Port Jefferson Station</v>
      </c>
      <c r="L980" s="3" t="str">
        <f>VLOOKUP(H980,Staff!A:I,9,FALSE)</f>
        <v>Marcelene Boyer</v>
      </c>
      <c r="M980" s="3" t="str">
        <f>VLOOKUP(G980,Store!A:H,2,FALSE)</f>
        <v>Baldwin Bikes</v>
      </c>
      <c r="N980" s="3" t="str">
        <f>VLOOKUP(G980,Store!A:H,6,FALSE)</f>
        <v>Baldwin</v>
      </c>
      <c r="O980" s="3" t="s">
        <v>16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>
        <v>980.0</v>
      </c>
      <c r="B981" s="1">
        <v>328.0</v>
      </c>
      <c r="C981" s="1">
        <v>4.0</v>
      </c>
      <c r="D981" s="4">
        <v>42912.0</v>
      </c>
      <c r="E981" s="4">
        <v>42914.0</v>
      </c>
      <c r="F981" s="4">
        <v>42913.0</v>
      </c>
      <c r="G981" s="1">
        <v>3.0</v>
      </c>
      <c r="H981" s="1">
        <v>9.0</v>
      </c>
      <c r="I981" s="3" t="str">
        <f>VLOOKUP(B981,Customers!A:J, 10,FALSE)</f>
        <v>Bettie Glover</v>
      </c>
      <c r="J981" s="3" t="str">
        <f>VLOOKUP(B981,Customers!A:J,8,FALSE)</f>
        <v>TX</v>
      </c>
      <c r="K981" s="3" t="str">
        <f>VLOOKUP(B981,Customers!A:J,7,FALSE)</f>
        <v>Euless</v>
      </c>
      <c r="L981" s="3" t="str">
        <f>VLOOKUP(H981,Staff!A:I,9,FALSE)</f>
        <v>Layla Terrell</v>
      </c>
      <c r="M981" s="3" t="str">
        <f>VLOOKUP(G981,Store!A:H,2,FALSE)</f>
        <v>Rowlett Bikes</v>
      </c>
      <c r="N981" s="3" t="str">
        <f>VLOOKUP(G981,Store!A:H,6,FALSE)</f>
        <v>Rowlett</v>
      </c>
      <c r="O981" s="3" t="s">
        <v>17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>
        <v>981.0</v>
      </c>
      <c r="B982" s="1">
        <v>687.0</v>
      </c>
      <c r="C982" s="1">
        <v>4.0</v>
      </c>
      <c r="D982" s="4">
        <v>42912.0</v>
      </c>
      <c r="E982" s="4">
        <v>42915.0</v>
      </c>
      <c r="F982" s="4">
        <v>42914.0</v>
      </c>
      <c r="G982" s="1">
        <v>3.0</v>
      </c>
      <c r="H982" s="1">
        <v>8.0</v>
      </c>
      <c r="I982" s="3" t="str">
        <f>VLOOKUP(B982,Customers!A:J, 10,FALSE)</f>
        <v>Cecilia Camacho</v>
      </c>
      <c r="J982" s="3" t="str">
        <f>VLOOKUP(B982,Customers!A:J,8,FALSE)</f>
        <v>TX</v>
      </c>
      <c r="K982" s="3" t="str">
        <f>VLOOKUP(B982,Customers!A:J,7,FALSE)</f>
        <v>Desoto</v>
      </c>
      <c r="L982" s="3" t="str">
        <f>VLOOKUP(H982,Staff!A:I,9,FALSE)</f>
        <v>Kali Vargas</v>
      </c>
      <c r="M982" s="3" t="str">
        <f>VLOOKUP(G982,Store!A:H,2,FALSE)</f>
        <v>Rowlett Bikes</v>
      </c>
      <c r="N982" s="3" t="str">
        <f>VLOOKUP(G982,Store!A:H,6,FALSE)</f>
        <v>Rowlett</v>
      </c>
      <c r="O982" s="3" t="s">
        <v>17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>
        <v>982.0</v>
      </c>
      <c r="B983" s="1">
        <v>1423.0</v>
      </c>
      <c r="C983" s="1">
        <v>4.0</v>
      </c>
      <c r="D983" s="4">
        <v>42912.0</v>
      </c>
      <c r="E983" s="4">
        <v>42915.0</v>
      </c>
      <c r="F983" s="4">
        <v>42914.0</v>
      </c>
      <c r="G983" s="1">
        <v>3.0</v>
      </c>
      <c r="H983" s="1">
        <v>9.0</v>
      </c>
      <c r="I983" s="3" t="str">
        <f>VLOOKUP(B983,Customers!A:J, 10,FALSE)</f>
        <v>Dollie Cervantes</v>
      </c>
      <c r="J983" s="3" t="str">
        <f>VLOOKUP(B983,Customers!A:J,8,FALSE)</f>
        <v>TX</v>
      </c>
      <c r="K983" s="3" t="str">
        <f>VLOOKUP(B983,Customers!A:J,7,FALSE)</f>
        <v>Fort Worth</v>
      </c>
      <c r="L983" s="3" t="str">
        <f>VLOOKUP(H983,Staff!A:I,9,FALSE)</f>
        <v>Layla Terrell</v>
      </c>
      <c r="M983" s="3" t="str">
        <f>VLOOKUP(G983,Store!A:H,2,FALSE)</f>
        <v>Rowlett Bikes</v>
      </c>
      <c r="N983" s="3" t="str">
        <f>VLOOKUP(G983,Store!A:H,6,FALSE)</f>
        <v>Rowlett</v>
      </c>
      <c r="O983" s="3" t="s">
        <v>17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>
        <v>983.0</v>
      </c>
      <c r="B984" s="1">
        <v>1158.0</v>
      </c>
      <c r="C984" s="1">
        <v>4.0</v>
      </c>
      <c r="D984" s="4">
        <v>42913.0</v>
      </c>
      <c r="E984" s="4">
        <v>42914.0</v>
      </c>
      <c r="F984" s="4">
        <v>42915.0</v>
      </c>
      <c r="G984" s="1">
        <v>2.0</v>
      </c>
      <c r="H984" s="1">
        <v>6.0</v>
      </c>
      <c r="I984" s="3" t="str">
        <f>VLOOKUP(B984,Customers!A:J, 10,FALSE)</f>
        <v>Vito Pickett</v>
      </c>
      <c r="J984" s="3" t="str">
        <f>VLOOKUP(B984,Customers!A:J,8,FALSE)</f>
        <v>NY</v>
      </c>
      <c r="K984" s="3" t="str">
        <f>VLOOKUP(B984,Customers!A:J,7,FALSE)</f>
        <v>Canandaigua</v>
      </c>
      <c r="L984" s="3" t="str">
        <f>VLOOKUP(H984,Staff!A:I,9,FALSE)</f>
        <v>Marcelene Boyer</v>
      </c>
      <c r="M984" s="3" t="str">
        <f>VLOOKUP(G984,Store!A:H,2,FALSE)</f>
        <v>Baldwin Bikes</v>
      </c>
      <c r="N984" s="3" t="str">
        <f>VLOOKUP(G984,Store!A:H,6,FALSE)</f>
        <v>Baldwin</v>
      </c>
      <c r="O984" s="3" t="s">
        <v>16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>
        <v>984.0</v>
      </c>
      <c r="B985" s="1">
        <v>1287.0</v>
      </c>
      <c r="C985" s="1">
        <v>4.0</v>
      </c>
      <c r="D985" s="4">
        <v>42913.0</v>
      </c>
      <c r="E985" s="4">
        <v>42914.0</v>
      </c>
      <c r="F985" s="4">
        <v>42915.0</v>
      </c>
      <c r="G985" s="1">
        <v>2.0</v>
      </c>
      <c r="H985" s="1">
        <v>7.0</v>
      </c>
      <c r="I985" s="3" t="str">
        <f>VLOOKUP(B985,Customers!A:J, 10,FALSE)</f>
        <v>Victor Pittman</v>
      </c>
      <c r="J985" s="3" t="str">
        <f>VLOOKUP(B985,Customers!A:J,8,FALSE)</f>
        <v>NY</v>
      </c>
      <c r="K985" s="3" t="str">
        <f>VLOOKUP(B985,Customers!A:J,7,FALSE)</f>
        <v>Astoria</v>
      </c>
      <c r="L985" s="3" t="str">
        <f>VLOOKUP(H985,Staff!A:I,9,FALSE)</f>
        <v>Venita Daniel</v>
      </c>
      <c r="M985" s="3" t="str">
        <f>VLOOKUP(G985,Store!A:H,2,FALSE)</f>
        <v>Baldwin Bikes</v>
      </c>
      <c r="N985" s="3" t="str">
        <f>VLOOKUP(G985,Store!A:H,6,FALSE)</f>
        <v>Baldwin</v>
      </c>
      <c r="O985" s="3" t="s">
        <v>16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>
        <v>985.0</v>
      </c>
      <c r="B986" s="1">
        <v>461.0</v>
      </c>
      <c r="C986" s="1">
        <v>4.0</v>
      </c>
      <c r="D986" s="4">
        <v>42916.0</v>
      </c>
      <c r="E986" s="4">
        <v>42918.0</v>
      </c>
      <c r="F986" s="4">
        <v>42917.0</v>
      </c>
      <c r="G986" s="1">
        <v>2.0</v>
      </c>
      <c r="H986" s="1">
        <v>6.0</v>
      </c>
      <c r="I986" s="3" t="str">
        <f>VLOOKUP(B986,Customers!A:J, 10,FALSE)</f>
        <v>Effie Jenkins</v>
      </c>
      <c r="J986" s="3" t="str">
        <f>VLOOKUP(B986,Customers!A:J,8,FALSE)</f>
        <v>NY</v>
      </c>
      <c r="K986" s="3" t="str">
        <f>VLOOKUP(B986,Customers!A:J,7,FALSE)</f>
        <v>Brentwood</v>
      </c>
      <c r="L986" s="3" t="str">
        <f>VLOOKUP(H986,Staff!A:I,9,FALSE)</f>
        <v>Marcelene Boyer</v>
      </c>
      <c r="M986" s="3" t="str">
        <f>VLOOKUP(G986,Store!A:H,2,FALSE)</f>
        <v>Baldwin Bikes</v>
      </c>
      <c r="N986" s="3" t="str">
        <f>VLOOKUP(G986,Store!A:H,6,FALSE)</f>
        <v>Baldwin</v>
      </c>
      <c r="O986" s="3" t="s">
        <v>16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>
        <v>986.0</v>
      </c>
      <c r="B987" s="1">
        <v>556.0</v>
      </c>
      <c r="C987" s="1">
        <v>4.0</v>
      </c>
      <c r="D987" s="4">
        <v>42916.0</v>
      </c>
      <c r="E987" s="4">
        <v>42919.0</v>
      </c>
      <c r="F987" s="4">
        <v>42917.0</v>
      </c>
      <c r="G987" s="1">
        <v>2.0</v>
      </c>
      <c r="H987" s="1">
        <v>7.0</v>
      </c>
      <c r="I987" s="3" t="str">
        <f>VLOOKUP(B987,Customers!A:J, 10,FALSE)</f>
        <v>Vernell Goff</v>
      </c>
      <c r="J987" s="3" t="str">
        <f>VLOOKUP(B987,Customers!A:J,8,FALSE)</f>
        <v>NY</v>
      </c>
      <c r="K987" s="3" t="str">
        <f>VLOOKUP(B987,Customers!A:J,7,FALSE)</f>
        <v>Monroe</v>
      </c>
      <c r="L987" s="3" t="str">
        <f>VLOOKUP(H987,Staff!A:I,9,FALSE)</f>
        <v>Venita Daniel</v>
      </c>
      <c r="M987" s="3" t="str">
        <f>VLOOKUP(G987,Store!A:H,2,FALSE)</f>
        <v>Baldwin Bikes</v>
      </c>
      <c r="N987" s="3" t="str">
        <f>VLOOKUP(G987,Store!A:H,6,FALSE)</f>
        <v>Baldwin</v>
      </c>
      <c r="O987" s="3" t="s">
        <v>16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>
        <v>987.0</v>
      </c>
      <c r="B988" s="1">
        <v>172.0</v>
      </c>
      <c r="C988" s="1">
        <v>4.0</v>
      </c>
      <c r="D988" s="4">
        <v>42918.0</v>
      </c>
      <c r="E988" s="4">
        <v>42920.0</v>
      </c>
      <c r="F988" s="4">
        <v>42920.0</v>
      </c>
      <c r="G988" s="1">
        <v>1.0</v>
      </c>
      <c r="H988" s="1">
        <v>2.0</v>
      </c>
      <c r="I988" s="3" t="str">
        <f>VLOOKUP(B988,Customers!A:J, 10,FALSE)</f>
        <v>Jeanie Kirkland</v>
      </c>
      <c r="J988" s="3" t="str">
        <f>VLOOKUP(B988,Customers!A:J,8,FALSE)</f>
        <v>CA</v>
      </c>
      <c r="K988" s="3" t="str">
        <f>VLOOKUP(B988,Customers!A:J,7,FALSE)</f>
        <v>Santa Clara</v>
      </c>
      <c r="L988" s="3" t="str">
        <f>VLOOKUP(H988,Staff!A:I,9,FALSE)</f>
        <v>Mireya Copeland</v>
      </c>
      <c r="M988" s="3" t="str">
        <f>VLOOKUP(G988,Store!A:H,2,FALSE)</f>
        <v>Santa Cruz Bikes</v>
      </c>
      <c r="N988" s="3" t="str">
        <f>VLOOKUP(G988,Store!A:H,6,FALSE)</f>
        <v>Santa Cruz</v>
      </c>
      <c r="O988" s="3" t="s">
        <v>15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>
        <v>988.0</v>
      </c>
      <c r="B989" s="1">
        <v>436.0</v>
      </c>
      <c r="C989" s="1">
        <v>4.0</v>
      </c>
      <c r="D989" s="4">
        <v>42918.0</v>
      </c>
      <c r="E989" s="4">
        <v>42920.0</v>
      </c>
      <c r="F989" s="4">
        <v>42921.0</v>
      </c>
      <c r="G989" s="1">
        <v>2.0</v>
      </c>
      <c r="H989" s="1">
        <v>6.0</v>
      </c>
      <c r="I989" s="3" t="str">
        <f>VLOOKUP(B989,Customers!A:J, 10,FALSE)</f>
        <v>Honey Camacho</v>
      </c>
      <c r="J989" s="3" t="str">
        <f>VLOOKUP(B989,Customers!A:J,8,FALSE)</f>
        <v>NY</v>
      </c>
      <c r="K989" s="3" t="str">
        <f>VLOOKUP(B989,Customers!A:J,7,FALSE)</f>
        <v>Bayside</v>
      </c>
      <c r="L989" s="3" t="str">
        <f>VLOOKUP(H989,Staff!A:I,9,FALSE)</f>
        <v>Marcelene Boyer</v>
      </c>
      <c r="M989" s="3" t="str">
        <f>VLOOKUP(G989,Store!A:H,2,FALSE)</f>
        <v>Baldwin Bikes</v>
      </c>
      <c r="N989" s="3" t="str">
        <f>VLOOKUP(G989,Store!A:H,6,FALSE)</f>
        <v>Baldwin</v>
      </c>
      <c r="O989" s="3" t="s">
        <v>16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>
        <v>989.0</v>
      </c>
      <c r="B990" s="1">
        <v>1145.0</v>
      </c>
      <c r="C990" s="1">
        <v>4.0</v>
      </c>
      <c r="D990" s="4">
        <v>42918.0</v>
      </c>
      <c r="E990" s="4">
        <v>42920.0</v>
      </c>
      <c r="F990" s="4">
        <v>42919.0</v>
      </c>
      <c r="G990" s="1">
        <v>2.0</v>
      </c>
      <c r="H990" s="1">
        <v>6.0</v>
      </c>
      <c r="I990" s="3" t="str">
        <f>VLOOKUP(B990,Customers!A:J, 10,FALSE)</f>
        <v>Deandrea Vega</v>
      </c>
      <c r="J990" s="3" t="str">
        <f>VLOOKUP(B990,Customers!A:J,8,FALSE)</f>
        <v>NY</v>
      </c>
      <c r="K990" s="3" t="str">
        <f>VLOOKUP(B990,Customers!A:J,7,FALSE)</f>
        <v>Yonkers</v>
      </c>
      <c r="L990" s="3" t="str">
        <f>VLOOKUP(H990,Staff!A:I,9,FALSE)</f>
        <v>Marcelene Boyer</v>
      </c>
      <c r="M990" s="3" t="str">
        <f>VLOOKUP(G990,Store!A:H,2,FALSE)</f>
        <v>Baldwin Bikes</v>
      </c>
      <c r="N990" s="3" t="str">
        <f>VLOOKUP(G990,Store!A:H,6,FALSE)</f>
        <v>Baldwin</v>
      </c>
      <c r="O990" s="3" t="s">
        <v>16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>
        <v>990.0</v>
      </c>
      <c r="B991" s="1">
        <v>706.0</v>
      </c>
      <c r="C991" s="1">
        <v>4.0</v>
      </c>
      <c r="D991" s="4">
        <v>42920.0</v>
      </c>
      <c r="E991" s="4">
        <v>42923.0</v>
      </c>
      <c r="F991" s="4">
        <v>42923.0</v>
      </c>
      <c r="G991" s="1">
        <v>2.0</v>
      </c>
      <c r="H991" s="1">
        <v>7.0</v>
      </c>
      <c r="I991" s="3" t="str">
        <f>VLOOKUP(B991,Customers!A:J, 10,FALSE)</f>
        <v>Lolita O'neill</v>
      </c>
      <c r="J991" s="3" t="str">
        <f>VLOOKUP(B991,Customers!A:J,8,FALSE)</f>
        <v>NY</v>
      </c>
      <c r="K991" s="3" t="str">
        <f>VLOOKUP(B991,Customers!A:J,7,FALSE)</f>
        <v>Massapequa Park</v>
      </c>
      <c r="L991" s="3" t="str">
        <f>VLOOKUP(H991,Staff!A:I,9,FALSE)</f>
        <v>Venita Daniel</v>
      </c>
      <c r="M991" s="3" t="str">
        <f>VLOOKUP(G991,Store!A:H,2,FALSE)</f>
        <v>Baldwin Bikes</v>
      </c>
      <c r="N991" s="3" t="str">
        <f>VLOOKUP(G991,Store!A:H,6,FALSE)</f>
        <v>Baldwin</v>
      </c>
      <c r="O991" s="3" t="s">
        <v>16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>
        <v>991.0</v>
      </c>
      <c r="B992" s="1">
        <v>751.0</v>
      </c>
      <c r="C992" s="1">
        <v>4.0</v>
      </c>
      <c r="D992" s="4">
        <v>42922.0</v>
      </c>
      <c r="E992" s="4">
        <v>42923.0</v>
      </c>
      <c r="F992" s="4">
        <v>42925.0</v>
      </c>
      <c r="G992" s="1">
        <v>1.0</v>
      </c>
      <c r="H992" s="1">
        <v>2.0</v>
      </c>
      <c r="I992" s="3" t="str">
        <f>VLOOKUP(B992,Customers!A:J, 10,FALSE)</f>
        <v>Hermila Mckay</v>
      </c>
      <c r="J992" s="3" t="str">
        <f>VLOOKUP(B992,Customers!A:J,8,FALSE)</f>
        <v>CA</v>
      </c>
      <c r="K992" s="3" t="str">
        <f>VLOOKUP(B992,Customers!A:J,7,FALSE)</f>
        <v>Coachella</v>
      </c>
      <c r="L992" s="3" t="str">
        <f>VLOOKUP(H992,Staff!A:I,9,FALSE)</f>
        <v>Mireya Copeland</v>
      </c>
      <c r="M992" s="3" t="str">
        <f>VLOOKUP(G992,Store!A:H,2,FALSE)</f>
        <v>Santa Cruz Bikes</v>
      </c>
      <c r="N992" s="3" t="str">
        <f>VLOOKUP(G992,Store!A:H,6,FALSE)</f>
        <v>Santa Cruz</v>
      </c>
      <c r="O992" s="3" t="s">
        <v>15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>
        <v>992.0</v>
      </c>
      <c r="B993" s="1">
        <v>723.0</v>
      </c>
      <c r="C993" s="1">
        <v>4.0</v>
      </c>
      <c r="D993" s="4">
        <v>42923.0</v>
      </c>
      <c r="E993" s="4">
        <v>42926.0</v>
      </c>
      <c r="F993" s="4">
        <v>42925.0</v>
      </c>
      <c r="G993" s="1">
        <v>2.0</v>
      </c>
      <c r="H993" s="1">
        <v>7.0</v>
      </c>
      <c r="I993" s="3" t="str">
        <f>VLOOKUP(B993,Customers!A:J, 10,FALSE)</f>
        <v>Vicki Wiggins</v>
      </c>
      <c r="J993" s="3" t="str">
        <f>VLOOKUP(B993,Customers!A:J,8,FALSE)</f>
        <v>NY</v>
      </c>
      <c r="K993" s="3" t="str">
        <f>VLOOKUP(B993,Customers!A:J,7,FALSE)</f>
        <v>Wappingers Falls</v>
      </c>
      <c r="L993" s="3" t="str">
        <f>VLOOKUP(H993,Staff!A:I,9,FALSE)</f>
        <v>Venita Daniel</v>
      </c>
      <c r="M993" s="3" t="str">
        <f>VLOOKUP(G993,Store!A:H,2,FALSE)</f>
        <v>Baldwin Bikes</v>
      </c>
      <c r="N993" s="3" t="str">
        <f>VLOOKUP(G993,Store!A:H,6,FALSE)</f>
        <v>Baldwin</v>
      </c>
      <c r="O993" s="3" t="s">
        <v>16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>
        <v>993.0</v>
      </c>
      <c r="B994" s="1">
        <v>1415.0</v>
      </c>
      <c r="C994" s="1">
        <v>4.0</v>
      </c>
      <c r="D994" s="4">
        <v>42925.0</v>
      </c>
      <c r="E994" s="4">
        <v>42927.0</v>
      </c>
      <c r="F994" s="4">
        <v>42927.0</v>
      </c>
      <c r="G994" s="1">
        <v>1.0</v>
      </c>
      <c r="H994" s="1">
        <v>3.0</v>
      </c>
      <c r="I994" s="3" t="str">
        <f>VLOOKUP(B994,Customers!A:J, 10,FALSE)</f>
        <v>Harold O'connor</v>
      </c>
      <c r="J994" s="3" t="str">
        <f>VLOOKUP(B994,Customers!A:J,8,FALSE)</f>
        <v>CA</v>
      </c>
      <c r="K994" s="3" t="str">
        <f>VLOOKUP(B994,Customers!A:J,7,FALSE)</f>
        <v>Santa Cruz</v>
      </c>
      <c r="L994" s="3" t="str">
        <f>VLOOKUP(H994,Staff!A:I,9,FALSE)</f>
        <v>Genna Serrano</v>
      </c>
      <c r="M994" s="3" t="str">
        <f>VLOOKUP(G994,Store!A:H,2,FALSE)</f>
        <v>Santa Cruz Bikes</v>
      </c>
      <c r="N994" s="3" t="str">
        <f>VLOOKUP(G994,Store!A:H,6,FALSE)</f>
        <v>Santa Cruz</v>
      </c>
      <c r="O994" s="3" t="s">
        <v>15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>
        <v>994.0</v>
      </c>
      <c r="B995" s="1">
        <v>419.0</v>
      </c>
      <c r="C995" s="1">
        <v>4.0</v>
      </c>
      <c r="D995" s="4">
        <v>42925.0</v>
      </c>
      <c r="E995" s="4">
        <v>42927.0</v>
      </c>
      <c r="F995" s="4">
        <v>42927.0</v>
      </c>
      <c r="G995" s="1">
        <v>2.0</v>
      </c>
      <c r="H995" s="1">
        <v>7.0</v>
      </c>
      <c r="I995" s="3" t="str">
        <f>VLOOKUP(B995,Customers!A:J, 10,FALSE)</f>
        <v>Krystin Marshall</v>
      </c>
      <c r="J995" s="3" t="str">
        <f>VLOOKUP(B995,Customers!A:J,8,FALSE)</f>
        <v>NY</v>
      </c>
      <c r="K995" s="3" t="str">
        <f>VLOOKUP(B995,Customers!A:J,7,FALSE)</f>
        <v>Poughkeepsie</v>
      </c>
      <c r="L995" s="3" t="str">
        <f>VLOOKUP(H995,Staff!A:I,9,FALSE)</f>
        <v>Venita Daniel</v>
      </c>
      <c r="M995" s="3" t="str">
        <f>VLOOKUP(G995,Store!A:H,2,FALSE)</f>
        <v>Baldwin Bikes</v>
      </c>
      <c r="N995" s="3" t="str">
        <f>VLOOKUP(G995,Store!A:H,6,FALSE)</f>
        <v>Baldwin</v>
      </c>
      <c r="O995" s="3" t="s">
        <v>16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>
        <v>995.0</v>
      </c>
      <c r="B996" s="1">
        <v>621.0</v>
      </c>
      <c r="C996" s="1">
        <v>4.0</v>
      </c>
      <c r="D996" s="4">
        <v>42927.0</v>
      </c>
      <c r="E996" s="4">
        <v>42929.0</v>
      </c>
      <c r="F996" s="4">
        <v>42930.0</v>
      </c>
      <c r="G996" s="1">
        <v>1.0</v>
      </c>
      <c r="H996" s="1">
        <v>2.0</v>
      </c>
      <c r="I996" s="3" t="str">
        <f>VLOOKUP(B996,Customers!A:J, 10,FALSE)</f>
        <v>Basil Ballard</v>
      </c>
      <c r="J996" s="3" t="str">
        <f>VLOOKUP(B996,Customers!A:J,8,FALSE)</f>
        <v>CA</v>
      </c>
      <c r="K996" s="3" t="str">
        <f>VLOOKUP(B996,Customers!A:J,7,FALSE)</f>
        <v>San Lorenzo</v>
      </c>
      <c r="L996" s="3" t="str">
        <f>VLOOKUP(H996,Staff!A:I,9,FALSE)</f>
        <v>Mireya Copeland</v>
      </c>
      <c r="M996" s="3" t="str">
        <f>VLOOKUP(G996,Store!A:H,2,FALSE)</f>
        <v>Santa Cruz Bikes</v>
      </c>
      <c r="N996" s="3" t="str">
        <f>VLOOKUP(G996,Store!A:H,6,FALSE)</f>
        <v>Santa Cruz</v>
      </c>
      <c r="O996" s="3" t="s">
        <v>15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">
        <v>996.0</v>
      </c>
      <c r="B997" s="1">
        <v>915.0</v>
      </c>
      <c r="C997" s="1">
        <v>4.0</v>
      </c>
      <c r="D997" s="4">
        <v>42927.0</v>
      </c>
      <c r="E997" s="4">
        <v>42928.0</v>
      </c>
      <c r="F997" s="4">
        <v>42928.0</v>
      </c>
      <c r="G997" s="1">
        <v>1.0</v>
      </c>
      <c r="H997" s="1">
        <v>2.0</v>
      </c>
      <c r="I997" s="3" t="str">
        <f>VLOOKUP(B997,Customers!A:J, 10,FALSE)</f>
        <v>Beryl Bennett</v>
      </c>
      <c r="J997" s="3" t="str">
        <f>VLOOKUP(B997,Customers!A:J,8,FALSE)</f>
        <v>CA</v>
      </c>
      <c r="K997" s="3" t="str">
        <f>VLOOKUP(B997,Customers!A:J,7,FALSE)</f>
        <v>Sacramento</v>
      </c>
      <c r="L997" s="3" t="str">
        <f>VLOOKUP(H997,Staff!A:I,9,FALSE)</f>
        <v>Mireya Copeland</v>
      </c>
      <c r="M997" s="3" t="str">
        <f>VLOOKUP(G997,Store!A:H,2,FALSE)</f>
        <v>Santa Cruz Bikes</v>
      </c>
      <c r="N997" s="3" t="str">
        <f>VLOOKUP(G997,Store!A:H,6,FALSE)</f>
        <v>Santa Cruz</v>
      </c>
      <c r="O997" s="3" t="s">
        <v>15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">
        <v>997.0</v>
      </c>
      <c r="B998" s="1">
        <v>485.0</v>
      </c>
      <c r="C998" s="1">
        <v>4.0</v>
      </c>
      <c r="D998" s="4">
        <v>42927.0</v>
      </c>
      <c r="E998" s="4">
        <v>42929.0</v>
      </c>
      <c r="F998" s="4">
        <v>42930.0</v>
      </c>
      <c r="G998" s="1">
        <v>2.0</v>
      </c>
      <c r="H998" s="1">
        <v>7.0</v>
      </c>
      <c r="I998" s="3" t="str">
        <f>VLOOKUP(B998,Customers!A:J, 10,FALSE)</f>
        <v>Catherine Miles</v>
      </c>
      <c r="J998" s="3" t="str">
        <f>VLOOKUP(B998,Customers!A:J,8,FALSE)</f>
        <v>NY</v>
      </c>
      <c r="K998" s="3" t="str">
        <f>VLOOKUP(B998,Customers!A:J,7,FALSE)</f>
        <v>East Elmhurst</v>
      </c>
      <c r="L998" s="3" t="str">
        <f>VLOOKUP(H998,Staff!A:I,9,FALSE)</f>
        <v>Venita Daniel</v>
      </c>
      <c r="M998" s="3" t="str">
        <f>VLOOKUP(G998,Store!A:H,2,FALSE)</f>
        <v>Baldwin Bikes</v>
      </c>
      <c r="N998" s="3" t="str">
        <f>VLOOKUP(G998,Store!A:H,6,FALSE)</f>
        <v>Baldwin</v>
      </c>
      <c r="O998" s="3" t="s">
        <v>16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">
        <v>998.0</v>
      </c>
      <c r="B999" s="1">
        <v>219.0</v>
      </c>
      <c r="C999" s="1">
        <v>4.0</v>
      </c>
      <c r="D999" s="4">
        <v>42928.0</v>
      </c>
      <c r="E999" s="4">
        <v>42929.0</v>
      </c>
      <c r="F999" s="4">
        <v>42930.0</v>
      </c>
      <c r="G999" s="1">
        <v>2.0</v>
      </c>
      <c r="H999" s="1">
        <v>7.0</v>
      </c>
      <c r="I999" s="3" t="str">
        <f>VLOOKUP(B999,Customers!A:J, 10,FALSE)</f>
        <v>Darcie Morgan</v>
      </c>
      <c r="J999" s="3" t="str">
        <f>VLOOKUP(B999,Customers!A:J,8,FALSE)</f>
        <v>NY</v>
      </c>
      <c r="K999" s="3" t="str">
        <f>VLOOKUP(B999,Customers!A:J,7,FALSE)</f>
        <v>Oceanside</v>
      </c>
      <c r="L999" s="3" t="str">
        <f>VLOOKUP(H999,Staff!A:I,9,FALSE)</f>
        <v>Venita Daniel</v>
      </c>
      <c r="M999" s="3" t="str">
        <f>VLOOKUP(G999,Store!A:H,2,FALSE)</f>
        <v>Baldwin Bikes</v>
      </c>
      <c r="N999" s="3" t="str">
        <f>VLOOKUP(G999,Store!A:H,6,FALSE)</f>
        <v>Baldwin</v>
      </c>
      <c r="O999" s="3" t="s">
        <v>16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">
        <v>999.0</v>
      </c>
      <c r="B1000" s="1">
        <v>590.0</v>
      </c>
      <c r="C1000" s="1">
        <v>4.0</v>
      </c>
      <c r="D1000" s="4">
        <v>42928.0</v>
      </c>
      <c r="E1000" s="4">
        <v>42929.0</v>
      </c>
      <c r="F1000" s="4">
        <v>42930.0</v>
      </c>
      <c r="G1000" s="1">
        <v>2.0</v>
      </c>
      <c r="H1000" s="1">
        <v>6.0</v>
      </c>
      <c r="I1000" s="3" t="str">
        <f>VLOOKUP(B1000,Customers!A:J, 10,FALSE)</f>
        <v>Cyndi Dyer</v>
      </c>
      <c r="J1000" s="3" t="str">
        <f>VLOOKUP(B1000,Customers!A:J,8,FALSE)</f>
        <v>NY</v>
      </c>
      <c r="K1000" s="3" t="str">
        <f>VLOOKUP(B1000,Customers!A:J,7,FALSE)</f>
        <v>Baldwin</v>
      </c>
      <c r="L1000" s="3" t="str">
        <f>VLOOKUP(H1000,Staff!A:I,9,FALSE)</f>
        <v>Marcelene Boyer</v>
      </c>
      <c r="M1000" s="3" t="str">
        <f>VLOOKUP(G1000,Store!A:H,2,FALSE)</f>
        <v>Baldwin Bikes</v>
      </c>
      <c r="N1000" s="3" t="str">
        <f>VLOOKUP(G1000,Store!A:H,6,FALSE)</f>
        <v>Baldwin</v>
      </c>
      <c r="O1000" s="3" t="s">
        <v>16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">
        <v>1000.0</v>
      </c>
      <c r="B1001" s="1">
        <v>645.0</v>
      </c>
      <c r="C1001" s="1">
        <v>4.0</v>
      </c>
      <c r="D1001" s="4">
        <v>42928.0</v>
      </c>
      <c r="E1001" s="4">
        <v>42930.0</v>
      </c>
      <c r="F1001" s="4">
        <v>42931.0</v>
      </c>
      <c r="G1001" s="1">
        <v>2.0</v>
      </c>
      <c r="H1001" s="1">
        <v>7.0</v>
      </c>
      <c r="I1001" s="3" t="str">
        <f>VLOOKUP(B1001,Customers!A:J, 10,FALSE)</f>
        <v>Lewis Garner</v>
      </c>
      <c r="J1001" s="3" t="str">
        <f>VLOOKUP(B1001,Customers!A:J,8,FALSE)</f>
        <v>NY</v>
      </c>
      <c r="K1001" s="3" t="str">
        <f>VLOOKUP(B1001,Customers!A:J,7,FALSE)</f>
        <v>Brentwood</v>
      </c>
      <c r="L1001" s="3" t="str">
        <f>VLOOKUP(H1001,Staff!A:I,9,FALSE)</f>
        <v>Venita Daniel</v>
      </c>
      <c r="M1001" s="3" t="str">
        <f>VLOOKUP(G1001,Store!A:H,2,FALSE)</f>
        <v>Baldwin Bikes</v>
      </c>
      <c r="N1001" s="3" t="str">
        <f>VLOOKUP(G1001,Store!A:H,6,FALSE)</f>
        <v>Baldwin</v>
      </c>
      <c r="O1001" s="3" t="s">
        <v>16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">
        <v>1001.0</v>
      </c>
      <c r="B1002" s="1">
        <v>354.0</v>
      </c>
      <c r="C1002" s="1">
        <v>4.0</v>
      </c>
      <c r="D1002" s="4">
        <v>42929.0</v>
      </c>
      <c r="E1002" s="4">
        <v>42932.0</v>
      </c>
      <c r="F1002" s="4">
        <v>42931.0</v>
      </c>
      <c r="G1002" s="1">
        <v>2.0</v>
      </c>
      <c r="H1002" s="1">
        <v>6.0</v>
      </c>
      <c r="I1002" s="3" t="str">
        <f>VLOOKUP(B1002,Customers!A:J, 10,FALSE)</f>
        <v>Tonda Armstrong</v>
      </c>
      <c r="J1002" s="3" t="str">
        <f>VLOOKUP(B1002,Customers!A:J,8,FALSE)</f>
        <v>NY</v>
      </c>
      <c r="K1002" s="3" t="str">
        <f>VLOOKUP(B1002,Customers!A:J,7,FALSE)</f>
        <v>Sunnyside</v>
      </c>
      <c r="L1002" s="3" t="str">
        <f>VLOOKUP(H1002,Staff!A:I,9,FALSE)</f>
        <v>Marcelene Boyer</v>
      </c>
      <c r="M1002" s="3" t="str">
        <f>VLOOKUP(G1002,Store!A:H,2,FALSE)</f>
        <v>Baldwin Bikes</v>
      </c>
      <c r="N1002" s="3" t="str">
        <f>VLOOKUP(G1002,Store!A:H,6,FALSE)</f>
        <v>Baldwin</v>
      </c>
      <c r="O1002" s="3" t="s">
        <v>16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">
        <v>1002.0</v>
      </c>
      <c r="B1003" s="1">
        <v>1418.0</v>
      </c>
      <c r="C1003" s="1">
        <v>4.0</v>
      </c>
      <c r="D1003" s="4">
        <v>42930.0</v>
      </c>
      <c r="E1003" s="4">
        <v>42932.0</v>
      </c>
      <c r="F1003" s="4">
        <v>42932.0</v>
      </c>
      <c r="G1003" s="1">
        <v>1.0</v>
      </c>
      <c r="H1003" s="1">
        <v>3.0</v>
      </c>
      <c r="I1003" s="3" t="str">
        <f>VLOOKUP(B1003,Customers!A:J, 10,FALSE)</f>
        <v>Penni Best</v>
      </c>
      <c r="J1003" s="3" t="str">
        <f>VLOOKUP(B1003,Customers!A:J,8,FALSE)</f>
        <v>CA</v>
      </c>
      <c r="K1003" s="3" t="str">
        <f>VLOOKUP(B1003,Customers!A:J,7,FALSE)</f>
        <v>Anaheim</v>
      </c>
      <c r="L1003" s="3" t="str">
        <f>VLOOKUP(H1003,Staff!A:I,9,FALSE)</f>
        <v>Genna Serrano</v>
      </c>
      <c r="M1003" s="3" t="str">
        <f>VLOOKUP(G1003,Store!A:H,2,FALSE)</f>
        <v>Santa Cruz Bikes</v>
      </c>
      <c r="N1003" s="3" t="str">
        <f>VLOOKUP(G1003,Store!A:H,6,FALSE)</f>
        <v>Santa Cruz</v>
      </c>
      <c r="O1003" s="3" t="s">
        <v>15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">
        <v>1003.0</v>
      </c>
      <c r="B1004" s="1">
        <v>503.0</v>
      </c>
      <c r="C1004" s="1">
        <v>4.0</v>
      </c>
      <c r="D1004" s="4">
        <v>42930.0</v>
      </c>
      <c r="E1004" s="4">
        <v>42932.0</v>
      </c>
      <c r="F1004" s="4">
        <v>42932.0</v>
      </c>
      <c r="G1004" s="1">
        <v>2.0</v>
      </c>
      <c r="H1004" s="1">
        <v>7.0</v>
      </c>
      <c r="I1004" s="3" t="str">
        <f>VLOOKUP(B1004,Customers!A:J, 10,FALSE)</f>
        <v>Marlo Jefferson</v>
      </c>
      <c r="J1004" s="3" t="str">
        <f>VLOOKUP(B1004,Customers!A:J,8,FALSE)</f>
        <v>NY</v>
      </c>
      <c r="K1004" s="3" t="str">
        <f>VLOOKUP(B1004,Customers!A:J,7,FALSE)</f>
        <v>Niagara Falls</v>
      </c>
      <c r="L1004" s="3" t="str">
        <f>VLOOKUP(H1004,Staff!A:I,9,FALSE)</f>
        <v>Venita Daniel</v>
      </c>
      <c r="M1004" s="3" t="str">
        <f>VLOOKUP(G1004,Store!A:H,2,FALSE)</f>
        <v>Baldwin Bikes</v>
      </c>
      <c r="N1004" s="3" t="str">
        <f>VLOOKUP(G1004,Store!A:H,6,FALSE)</f>
        <v>Baldwin</v>
      </c>
      <c r="O1004" s="3" t="s">
        <v>16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">
        <v>1004.0</v>
      </c>
      <c r="B1005" s="1">
        <v>1389.0</v>
      </c>
      <c r="C1005" s="1">
        <v>4.0</v>
      </c>
      <c r="D1005" s="4">
        <v>42930.0</v>
      </c>
      <c r="E1005" s="4">
        <v>42933.0</v>
      </c>
      <c r="F1005" s="4">
        <v>42932.0</v>
      </c>
      <c r="G1005" s="1">
        <v>2.0</v>
      </c>
      <c r="H1005" s="1">
        <v>6.0</v>
      </c>
      <c r="I1005" s="3" t="str">
        <f>VLOOKUP(B1005,Customers!A:J, 10,FALSE)</f>
        <v>Ulrike Chan</v>
      </c>
      <c r="J1005" s="3" t="str">
        <f>VLOOKUP(B1005,Customers!A:J,8,FALSE)</f>
        <v>NY</v>
      </c>
      <c r="K1005" s="3" t="str">
        <f>VLOOKUP(B1005,Customers!A:J,7,FALSE)</f>
        <v>Port Chester</v>
      </c>
      <c r="L1005" s="3" t="str">
        <f>VLOOKUP(H1005,Staff!A:I,9,FALSE)</f>
        <v>Marcelene Boyer</v>
      </c>
      <c r="M1005" s="3" t="str">
        <f>VLOOKUP(G1005,Store!A:H,2,FALSE)</f>
        <v>Baldwin Bikes</v>
      </c>
      <c r="N1005" s="3" t="str">
        <f>VLOOKUP(G1005,Store!A:H,6,FALSE)</f>
        <v>Baldwin</v>
      </c>
      <c r="O1005" s="3" t="s">
        <v>16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">
        <v>1005.0</v>
      </c>
      <c r="B1006" s="1">
        <v>266.0</v>
      </c>
      <c r="C1006" s="1">
        <v>4.0</v>
      </c>
      <c r="D1006" s="4">
        <v>42931.0</v>
      </c>
      <c r="E1006" s="4">
        <v>42933.0</v>
      </c>
      <c r="F1006" s="4">
        <v>42932.0</v>
      </c>
      <c r="G1006" s="1">
        <v>2.0</v>
      </c>
      <c r="H1006" s="1">
        <v>7.0</v>
      </c>
      <c r="I1006" s="3" t="str">
        <f>VLOOKUP(B1006,Customers!A:J, 10,FALSE)</f>
        <v>Myung Hooper</v>
      </c>
      <c r="J1006" s="3" t="str">
        <f>VLOOKUP(B1006,Customers!A:J,8,FALSE)</f>
        <v>NY</v>
      </c>
      <c r="K1006" s="3" t="str">
        <f>VLOOKUP(B1006,Customers!A:J,7,FALSE)</f>
        <v>Elmont</v>
      </c>
      <c r="L1006" s="3" t="str">
        <f>VLOOKUP(H1006,Staff!A:I,9,FALSE)</f>
        <v>Venita Daniel</v>
      </c>
      <c r="M1006" s="3" t="str">
        <f>VLOOKUP(G1006,Store!A:H,2,FALSE)</f>
        <v>Baldwin Bikes</v>
      </c>
      <c r="N1006" s="3" t="str">
        <f>VLOOKUP(G1006,Store!A:H,6,FALSE)</f>
        <v>Baldwin</v>
      </c>
      <c r="O1006" s="3" t="s">
        <v>16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">
        <v>1006.0</v>
      </c>
      <c r="B1007" s="1">
        <v>1070.0</v>
      </c>
      <c r="C1007" s="1">
        <v>4.0</v>
      </c>
      <c r="D1007" s="4">
        <v>42931.0</v>
      </c>
      <c r="E1007" s="4">
        <v>42934.0</v>
      </c>
      <c r="F1007" s="4">
        <v>42933.0</v>
      </c>
      <c r="G1007" s="1">
        <v>2.0</v>
      </c>
      <c r="H1007" s="1">
        <v>7.0</v>
      </c>
      <c r="I1007" s="3" t="str">
        <f>VLOOKUP(B1007,Customers!A:J, 10,FALSE)</f>
        <v>Olimpia Mays</v>
      </c>
      <c r="J1007" s="3" t="str">
        <f>VLOOKUP(B1007,Customers!A:J,8,FALSE)</f>
        <v>NY</v>
      </c>
      <c r="K1007" s="3" t="str">
        <f>VLOOKUP(B1007,Customers!A:J,7,FALSE)</f>
        <v>Oakland Gardens</v>
      </c>
      <c r="L1007" s="3" t="str">
        <f>VLOOKUP(H1007,Staff!A:I,9,FALSE)</f>
        <v>Venita Daniel</v>
      </c>
      <c r="M1007" s="3" t="str">
        <f>VLOOKUP(G1007,Store!A:H,2,FALSE)</f>
        <v>Baldwin Bikes</v>
      </c>
      <c r="N1007" s="3" t="str">
        <f>VLOOKUP(G1007,Store!A:H,6,FALSE)</f>
        <v>Baldwin</v>
      </c>
      <c r="O1007" s="3" t="s">
        <v>16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">
        <v>1007.0</v>
      </c>
      <c r="B1008" s="1">
        <v>1115.0</v>
      </c>
      <c r="C1008" s="1">
        <v>4.0</v>
      </c>
      <c r="D1008" s="4">
        <v>42932.0</v>
      </c>
      <c r="E1008" s="4">
        <v>42933.0</v>
      </c>
      <c r="F1008" s="4">
        <v>42933.0</v>
      </c>
      <c r="G1008" s="1">
        <v>2.0</v>
      </c>
      <c r="H1008" s="1">
        <v>6.0</v>
      </c>
      <c r="I1008" s="3" t="str">
        <f>VLOOKUP(B1008,Customers!A:J, 10,FALSE)</f>
        <v>Lina Meadows</v>
      </c>
      <c r="J1008" s="3" t="str">
        <f>VLOOKUP(B1008,Customers!A:J,8,FALSE)</f>
        <v>NY</v>
      </c>
      <c r="K1008" s="3" t="str">
        <f>VLOOKUP(B1008,Customers!A:J,7,FALSE)</f>
        <v>Glen Cove</v>
      </c>
      <c r="L1008" s="3" t="str">
        <f>VLOOKUP(H1008,Staff!A:I,9,FALSE)</f>
        <v>Marcelene Boyer</v>
      </c>
      <c r="M1008" s="3" t="str">
        <f>VLOOKUP(G1008,Store!A:H,2,FALSE)</f>
        <v>Baldwin Bikes</v>
      </c>
      <c r="N1008" s="3" t="str">
        <f>VLOOKUP(G1008,Store!A:H,6,FALSE)</f>
        <v>Baldwin</v>
      </c>
      <c r="O1008" s="3" t="s">
        <v>16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">
        <v>1008.0</v>
      </c>
      <c r="B1009" s="1">
        <v>1345.0</v>
      </c>
      <c r="C1009" s="1">
        <v>4.0</v>
      </c>
      <c r="D1009" s="4">
        <v>42932.0</v>
      </c>
      <c r="E1009" s="4">
        <v>42934.0</v>
      </c>
      <c r="F1009" s="4">
        <v>42934.0</v>
      </c>
      <c r="G1009" s="1">
        <v>2.0</v>
      </c>
      <c r="H1009" s="1">
        <v>6.0</v>
      </c>
      <c r="I1009" s="3" t="str">
        <f>VLOOKUP(B1009,Customers!A:J, 10,FALSE)</f>
        <v>Arie Hunter</v>
      </c>
      <c r="J1009" s="3" t="str">
        <f>VLOOKUP(B1009,Customers!A:J,8,FALSE)</f>
        <v>NY</v>
      </c>
      <c r="K1009" s="3" t="str">
        <f>VLOOKUP(B1009,Customers!A:J,7,FALSE)</f>
        <v>Flushing</v>
      </c>
      <c r="L1009" s="3" t="str">
        <f>VLOOKUP(H1009,Staff!A:I,9,FALSE)</f>
        <v>Marcelene Boyer</v>
      </c>
      <c r="M1009" s="3" t="str">
        <f>VLOOKUP(G1009,Store!A:H,2,FALSE)</f>
        <v>Baldwin Bikes</v>
      </c>
      <c r="N1009" s="3" t="str">
        <f>VLOOKUP(G1009,Store!A:H,6,FALSE)</f>
        <v>Baldwin</v>
      </c>
      <c r="O1009" s="3" t="s">
        <v>16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">
        <v>1009.0</v>
      </c>
      <c r="B1010" s="1">
        <v>1064.0</v>
      </c>
      <c r="C1010" s="1">
        <v>4.0</v>
      </c>
      <c r="D1010" s="4">
        <v>42932.0</v>
      </c>
      <c r="E1010" s="4">
        <v>42935.0</v>
      </c>
      <c r="F1010" s="4">
        <v>42935.0</v>
      </c>
      <c r="G1010" s="1">
        <v>3.0</v>
      </c>
      <c r="H1010" s="1">
        <v>8.0</v>
      </c>
      <c r="I1010" s="3" t="str">
        <f>VLOOKUP(B1010,Customers!A:J, 10,FALSE)</f>
        <v>Patsy Russo</v>
      </c>
      <c r="J1010" s="3" t="str">
        <f>VLOOKUP(B1010,Customers!A:J,8,FALSE)</f>
        <v>TX</v>
      </c>
      <c r="K1010" s="3" t="str">
        <f>VLOOKUP(B1010,Customers!A:J,7,FALSE)</f>
        <v>Rowlett</v>
      </c>
      <c r="L1010" s="3" t="str">
        <f>VLOOKUP(H1010,Staff!A:I,9,FALSE)</f>
        <v>Kali Vargas</v>
      </c>
      <c r="M1010" s="3" t="str">
        <f>VLOOKUP(G1010,Store!A:H,2,FALSE)</f>
        <v>Rowlett Bikes</v>
      </c>
      <c r="N1010" s="3" t="str">
        <f>VLOOKUP(G1010,Store!A:H,6,FALSE)</f>
        <v>Rowlett</v>
      </c>
      <c r="O1010" s="3" t="s">
        <v>17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">
        <v>1010.0</v>
      </c>
      <c r="B1011" s="1">
        <v>8.0</v>
      </c>
      <c r="C1011" s="1">
        <v>3.0</v>
      </c>
      <c r="D1011" s="4">
        <v>42934.0</v>
      </c>
      <c r="E1011" s="4">
        <v>42934.0</v>
      </c>
      <c r="F1011" s="1" t="s">
        <v>18</v>
      </c>
      <c r="G1011" s="1">
        <v>2.0</v>
      </c>
      <c r="H1011" s="1">
        <v>7.0</v>
      </c>
      <c r="I1011" s="3" t="str">
        <f>VLOOKUP(B1011,Customers!A:J, 10,FALSE)</f>
        <v>Jacquline Duncan</v>
      </c>
      <c r="J1011" s="3" t="str">
        <f>VLOOKUP(B1011,Customers!A:J,8,FALSE)</f>
        <v>NY</v>
      </c>
      <c r="K1011" s="3" t="str">
        <f>VLOOKUP(B1011,Customers!A:J,7,FALSE)</f>
        <v>Jackson Heights</v>
      </c>
      <c r="L1011" s="3" t="str">
        <f>VLOOKUP(H1011,Staff!A:I,9,FALSE)</f>
        <v>Venita Daniel</v>
      </c>
      <c r="M1011" s="3" t="str">
        <f>VLOOKUP(G1011,Store!A:H,2,FALSE)</f>
        <v>Baldwin Bikes</v>
      </c>
      <c r="N1011" s="3" t="str">
        <f>VLOOKUP(G1011,Store!A:H,6,FALSE)</f>
        <v>Baldwin</v>
      </c>
      <c r="O1011" s="3" t="s">
        <v>16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">
        <v>1011.0</v>
      </c>
      <c r="B1012" s="1">
        <v>495.0</v>
      </c>
      <c r="C1012" s="1">
        <v>4.0</v>
      </c>
      <c r="D1012" s="4">
        <v>42934.0</v>
      </c>
      <c r="E1012" s="4">
        <v>42937.0</v>
      </c>
      <c r="F1012" s="4">
        <v>42937.0</v>
      </c>
      <c r="G1012" s="1">
        <v>1.0</v>
      </c>
      <c r="H1012" s="1">
        <v>3.0</v>
      </c>
      <c r="I1012" s="3" t="str">
        <f>VLOOKUP(B1012,Customers!A:J, 10,FALSE)</f>
        <v>Travis Goodman</v>
      </c>
      <c r="J1012" s="3" t="str">
        <f>VLOOKUP(B1012,Customers!A:J,8,FALSE)</f>
        <v>CA</v>
      </c>
      <c r="K1012" s="3" t="str">
        <f>VLOOKUP(B1012,Customers!A:J,7,FALSE)</f>
        <v>Los Banos</v>
      </c>
      <c r="L1012" s="3" t="str">
        <f>VLOOKUP(H1012,Staff!A:I,9,FALSE)</f>
        <v>Genna Serrano</v>
      </c>
      <c r="M1012" s="3" t="str">
        <f>VLOOKUP(G1012,Store!A:H,2,FALSE)</f>
        <v>Santa Cruz Bikes</v>
      </c>
      <c r="N1012" s="3" t="str">
        <f>VLOOKUP(G1012,Store!A:H,6,FALSE)</f>
        <v>Santa Cruz</v>
      </c>
      <c r="O1012" s="3" t="s">
        <v>15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">
        <v>1012.0</v>
      </c>
      <c r="B1013" s="1">
        <v>620.0</v>
      </c>
      <c r="C1013" s="1">
        <v>4.0</v>
      </c>
      <c r="D1013" s="4">
        <v>42934.0</v>
      </c>
      <c r="E1013" s="4">
        <v>42936.0</v>
      </c>
      <c r="F1013" s="4">
        <v>42936.0</v>
      </c>
      <c r="G1013" s="1">
        <v>2.0</v>
      </c>
      <c r="H1013" s="1">
        <v>7.0</v>
      </c>
      <c r="I1013" s="3" t="str">
        <f>VLOOKUP(B1013,Customers!A:J, 10,FALSE)</f>
        <v>Eric Hardin</v>
      </c>
      <c r="J1013" s="3" t="str">
        <f>VLOOKUP(B1013,Customers!A:J,8,FALSE)</f>
        <v>NY</v>
      </c>
      <c r="K1013" s="3" t="str">
        <f>VLOOKUP(B1013,Customers!A:J,7,FALSE)</f>
        <v>Jamaica</v>
      </c>
      <c r="L1013" s="3" t="str">
        <f>VLOOKUP(H1013,Staff!A:I,9,FALSE)</f>
        <v>Venita Daniel</v>
      </c>
      <c r="M1013" s="3" t="str">
        <f>VLOOKUP(G1013,Store!A:H,2,FALSE)</f>
        <v>Baldwin Bikes</v>
      </c>
      <c r="N1013" s="3" t="str">
        <f>VLOOKUP(G1013,Store!A:H,6,FALSE)</f>
        <v>Baldwin</v>
      </c>
      <c r="O1013" s="3" t="s">
        <v>16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">
        <v>1013.0</v>
      </c>
      <c r="B1014" s="1">
        <v>174.0</v>
      </c>
      <c r="C1014" s="1">
        <v>4.0</v>
      </c>
      <c r="D1014" s="4">
        <v>42935.0</v>
      </c>
      <c r="E1014" s="4">
        <v>42938.0</v>
      </c>
      <c r="F1014" s="4">
        <v>42937.0</v>
      </c>
      <c r="G1014" s="1">
        <v>2.0</v>
      </c>
      <c r="H1014" s="1">
        <v>6.0</v>
      </c>
      <c r="I1014" s="3" t="str">
        <f>VLOOKUP(B1014,Customers!A:J, 10,FALSE)</f>
        <v>Babara Ochoa</v>
      </c>
      <c r="J1014" s="3" t="str">
        <f>VLOOKUP(B1014,Customers!A:J,8,FALSE)</f>
        <v>NY</v>
      </c>
      <c r="K1014" s="3" t="str">
        <f>VLOOKUP(B1014,Customers!A:J,7,FALSE)</f>
        <v>Scarsdale</v>
      </c>
      <c r="L1014" s="3" t="str">
        <f>VLOOKUP(H1014,Staff!A:I,9,FALSE)</f>
        <v>Marcelene Boyer</v>
      </c>
      <c r="M1014" s="3" t="str">
        <f>VLOOKUP(G1014,Store!A:H,2,FALSE)</f>
        <v>Baldwin Bikes</v>
      </c>
      <c r="N1014" s="3" t="str">
        <f>VLOOKUP(G1014,Store!A:H,6,FALSE)</f>
        <v>Baldwin</v>
      </c>
      <c r="O1014" s="3" t="s">
        <v>16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">
        <v>1014.0</v>
      </c>
      <c r="B1015" s="1">
        <v>748.0</v>
      </c>
      <c r="C1015" s="1">
        <v>4.0</v>
      </c>
      <c r="D1015" s="4">
        <v>42935.0</v>
      </c>
      <c r="E1015" s="4">
        <v>42937.0</v>
      </c>
      <c r="F1015" s="4">
        <v>42937.0</v>
      </c>
      <c r="G1015" s="1">
        <v>2.0</v>
      </c>
      <c r="H1015" s="1">
        <v>6.0</v>
      </c>
      <c r="I1015" s="3" t="str">
        <f>VLOOKUP(B1015,Customers!A:J, 10,FALSE)</f>
        <v>Oliva Blackwell</v>
      </c>
      <c r="J1015" s="3" t="str">
        <f>VLOOKUP(B1015,Customers!A:J,8,FALSE)</f>
        <v>NY</v>
      </c>
      <c r="K1015" s="3" t="str">
        <f>VLOOKUP(B1015,Customers!A:J,7,FALSE)</f>
        <v>Elmhurst</v>
      </c>
      <c r="L1015" s="3" t="str">
        <f>VLOOKUP(H1015,Staff!A:I,9,FALSE)</f>
        <v>Marcelene Boyer</v>
      </c>
      <c r="M1015" s="3" t="str">
        <f>VLOOKUP(G1015,Store!A:H,2,FALSE)</f>
        <v>Baldwin Bikes</v>
      </c>
      <c r="N1015" s="3" t="str">
        <f>VLOOKUP(G1015,Store!A:H,6,FALSE)</f>
        <v>Baldwin</v>
      </c>
      <c r="O1015" s="3" t="s">
        <v>16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">
        <v>1015.0</v>
      </c>
      <c r="B1016" s="1">
        <v>799.0</v>
      </c>
      <c r="C1016" s="1">
        <v>4.0</v>
      </c>
      <c r="D1016" s="4">
        <v>42935.0</v>
      </c>
      <c r="E1016" s="4">
        <v>42938.0</v>
      </c>
      <c r="F1016" s="4">
        <v>42937.0</v>
      </c>
      <c r="G1016" s="1">
        <v>2.0</v>
      </c>
      <c r="H1016" s="1">
        <v>7.0</v>
      </c>
      <c r="I1016" s="3" t="str">
        <f>VLOOKUP(B1016,Customers!A:J, 10,FALSE)</f>
        <v>India Barron</v>
      </c>
      <c r="J1016" s="3" t="str">
        <f>VLOOKUP(B1016,Customers!A:J,8,FALSE)</f>
        <v>NY</v>
      </c>
      <c r="K1016" s="3" t="str">
        <f>VLOOKUP(B1016,Customers!A:J,7,FALSE)</f>
        <v>Huntington</v>
      </c>
      <c r="L1016" s="3" t="str">
        <f>VLOOKUP(H1016,Staff!A:I,9,FALSE)</f>
        <v>Venita Daniel</v>
      </c>
      <c r="M1016" s="3" t="str">
        <f>VLOOKUP(G1016,Store!A:H,2,FALSE)</f>
        <v>Baldwin Bikes</v>
      </c>
      <c r="N1016" s="3" t="str">
        <f>VLOOKUP(G1016,Store!A:H,6,FALSE)</f>
        <v>Baldwin</v>
      </c>
      <c r="O1016" s="3" t="s">
        <v>16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">
        <v>1016.0</v>
      </c>
      <c r="B1017" s="1">
        <v>1417.0</v>
      </c>
      <c r="C1017" s="1">
        <v>4.0</v>
      </c>
      <c r="D1017" s="4">
        <v>42935.0</v>
      </c>
      <c r="E1017" s="4">
        <v>42936.0</v>
      </c>
      <c r="F1017" s="4">
        <v>42937.0</v>
      </c>
      <c r="G1017" s="1">
        <v>3.0</v>
      </c>
      <c r="H1017" s="1">
        <v>9.0</v>
      </c>
      <c r="I1017" s="3" t="str">
        <f>VLOOKUP(B1017,Customers!A:J, 10,FALSE)</f>
        <v>Jasper Castro</v>
      </c>
      <c r="J1017" s="3" t="str">
        <f>VLOOKUP(B1017,Customers!A:J,8,FALSE)</f>
        <v>TX</v>
      </c>
      <c r="K1017" s="3" t="str">
        <f>VLOOKUP(B1017,Customers!A:J,7,FALSE)</f>
        <v>Forney</v>
      </c>
      <c r="L1017" s="3" t="str">
        <f>VLOOKUP(H1017,Staff!A:I,9,FALSE)</f>
        <v>Layla Terrell</v>
      </c>
      <c r="M1017" s="3" t="str">
        <f>VLOOKUP(G1017,Store!A:H,2,FALSE)</f>
        <v>Rowlett Bikes</v>
      </c>
      <c r="N1017" s="3" t="str">
        <f>VLOOKUP(G1017,Store!A:H,6,FALSE)</f>
        <v>Rowlett</v>
      </c>
      <c r="O1017" s="3" t="s">
        <v>17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">
        <v>1017.0</v>
      </c>
      <c r="B1018" s="1">
        <v>168.0</v>
      </c>
      <c r="C1018" s="1">
        <v>4.0</v>
      </c>
      <c r="D1018" s="4">
        <v>42936.0</v>
      </c>
      <c r="E1018" s="4">
        <v>42937.0</v>
      </c>
      <c r="F1018" s="4">
        <v>42939.0</v>
      </c>
      <c r="G1018" s="1">
        <v>2.0</v>
      </c>
      <c r="H1018" s="1">
        <v>6.0</v>
      </c>
      <c r="I1018" s="3" t="str">
        <f>VLOOKUP(B1018,Customers!A:J, 10,FALSE)</f>
        <v>Nettie Mcdaniel</v>
      </c>
      <c r="J1018" s="3" t="str">
        <f>VLOOKUP(B1018,Customers!A:J,8,FALSE)</f>
        <v>NY</v>
      </c>
      <c r="K1018" s="3" t="str">
        <f>VLOOKUP(B1018,Customers!A:J,7,FALSE)</f>
        <v>South Ozone Park</v>
      </c>
      <c r="L1018" s="3" t="str">
        <f>VLOOKUP(H1018,Staff!A:I,9,FALSE)</f>
        <v>Marcelene Boyer</v>
      </c>
      <c r="M1018" s="3" t="str">
        <f>VLOOKUP(G1018,Store!A:H,2,FALSE)</f>
        <v>Baldwin Bikes</v>
      </c>
      <c r="N1018" s="3" t="str">
        <f>VLOOKUP(G1018,Store!A:H,6,FALSE)</f>
        <v>Baldwin</v>
      </c>
      <c r="O1018" s="3" t="s">
        <v>16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">
        <v>1018.0</v>
      </c>
      <c r="B1019" s="1">
        <v>290.0</v>
      </c>
      <c r="C1019" s="1">
        <v>4.0</v>
      </c>
      <c r="D1019" s="4">
        <v>42938.0</v>
      </c>
      <c r="E1019" s="4">
        <v>42939.0</v>
      </c>
      <c r="F1019" s="4">
        <v>42939.0</v>
      </c>
      <c r="G1019" s="1">
        <v>2.0</v>
      </c>
      <c r="H1019" s="1">
        <v>6.0</v>
      </c>
      <c r="I1019" s="3" t="str">
        <f>VLOOKUP(B1019,Customers!A:J, 10,FALSE)</f>
        <v>Barry Buckner</v>
      </c>
      <c r="J1019" s="3" t="str">
        <f>VLOOKUP(B1019,Customers!A:J,8,FALSE)</f>
        <v>NY</v>
      </c>
      <c r="K1019" s="3" t="str">
        <f>VLOOKUP(B1019,Customers!A:J,7,FALSE)</f>
        <v>Centereach</v>
      </c>
      <c r="L1019" s="3" t="str">
        <f>VLOOKUP(H1019,Staff!A:I,9,FALSE)</f>
        <v>Marcelene Boyer</v>
      </c>
      <c r="M1019" s="3" t="str">
        <f>VLOOKUP(G1019,Store!A:H,2,FALSE)</f>
        <v>Baldwin Bikes</v>
      </c>
      <c r="N1019" s="3" t="str">
        <f>VLOOKUP(G1019,Store!A:H,6,FALSE)</f>
        <v>Baldwin</v>
      </c>
      <c r="O1019" s="3" t="s">
        <v>16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">
        <v>1019.0</v>
      </c>
      <c r="B1020" s="1">
        <v>408.0</v>
      </c>
      <c r="C1020" s="1">
        <v>4.0</v>
      </c>
      <c r="D1020" s="4">
        <v>42938.0</v>
      </c>
      <c r="E1020" s="4">
        <v>42939.0</v>
      </c>
      <c r="F1020" s="4">
        <v>42940.0</v>
      </c>
      <c r="G1020" s="1">
        <v>2.0</v>
      </c>
      <c r="H1020" s="1">
        <v>7.0</v>
      </c>
      <c r="I1020" s="3" t="str">
        <f>VLOOKUP(B1020,Customers!A:J, 10,FALSE)</f>
        <v>Edra Fitzgerald</v>
      </c>
      <c r="J1020" s="3" t="str">
        <f>VLOOKUP(B1020,Customers!A:J,8,FALSE)</f>
        <v>NY</v>
      </c>
      <c r="K1020" s="3" t="str">
        <f>VLOOKUP(B1020,Customers!A:J,7,FALSE)</f>
        <v>Central Islip</v>
      </c>
      <c r="L1020" s="3" t="str">
        <f>VLOOKUP(H1020,Staff!A:I,9,FALSE)</f>
        <v>Venita Daniel</v>
      </c>
      <c r="M1020" s="3" t="str">
        <f>VLOOKUP(G1020,Store!A:H,2,FALSE)</f>
        <v>Baldwin Bikes</v>
      </c>
      <c r="N1020" s="3" t="str">
        <f>VLOOKUP(G1020,Store!A:H,6,FALSE)</f>
        <v>Baldwin</v>
      </c>
      <c r="O1020" s="3" t="s">
        <v>16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">
        <v>1020.0</v>
      </c>
      <c r="B1021" s="1">
        <v>16.0</v>
      </c>
      <c r="C1021" s="1">
        <v>3.0</v>
      </c>
      <c r="D1021" s="4">
        <v>42939.0</v>
      </c>
      <c r="E1021" s="4">
        <v>42939.0</v>
      </c>
      <c r="F1021" s="1" t="s">
        <v>18</v>
      </c>
      <c r="G1021" s="1">
        <v>2.0</v>
      </c>
      <c r="H1021" s="1">
        <v>6.0</v>
      </c>
      <c r="I1021" s="3" t="str">
        <f>VLOOKUP(B1021,Customers!A:J, 10,FALSE)</f>
        <v>Emmitt Sanchez</v>
      </c>
      <c r="J1021" s="3" t="str">
        <f>VLOOKUP(B1021,Customers!A:J,8,FALSE)</f>
        <v>NY</v>
      </c>
      <c r="K1021" s="3" t="str">
        <f>VLOOKUP(B1021,Customers!A:J,7,FALSE)</f>
        <v>New York</v>
      </c>
      <c r="L1021" s="3" t="str">
        <f>VLOOKUP(H1021,Staff!A:I,9,FALSE)</f>
        <v>Marcelene Boyer</v>
      </c>
      <c r="M1021" s="3" t="str">
        <f>VLOOKUP(G1021,Store!A:H,2,FALSE)</f>
        <v>Baldwin Bikes</v>
      </c>
      <c r="N1021" s="3" t="str">
        <f>VLOOKUP(G1021,Store!A:H,6,FALSE)</f>
        <v>Baldwin</v>
      </c>
      <c r="O1021" s="3" t="s">
        <v>16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">
        <v>1021.0</v>
      </c>
      <c r="B1022" s="1">
        <v>125.0</v>
      </c>
      <c r="C1022" s="1">
        <v>4.0</v>
      </c>
      <c r="D1022" s="4">
        <v>42939.0</v>
      </c>
      <c r="E1022" s="4">
        <v>42940.0</v>
      </c>
      <c r="F1022" s="4">
        <v>42942.0</v>
      </c>
      <c r="G1022" s="1">
        <v>2.0</v>
      </c>
      <c r="H1022" s="1">
        <v>6.0</v>
      </c>
      <c r="I1022" s="3" t="str">
        <f>VLOOKUP(B1022,Customers!A:J, 10,FALSE)</f>
        <v>Herlinda Stone</v>
      </c>
      <c r="J1022" s="3" t="str">
        <f>VLOOKUP(B1022,Customers!A:J,8,FALSE)</f>
        <v>NY</v>
      </c>
      <c r="K1022" s="3" t="str">
        <f>VLOOKUP(B1022,Customers!A:J,7,FALSE)</f>
        <v>Canandaigua</v>
      </c>
      <c r="L1022" s="3" t="str">
        <f>VLOOKUP(H1022,Staff!A:I,9,FALSE)</f>
        <v>Marcelene Boyer</v>
      </c>
      <c r="M1022" s="3" t="str">
        <f>VLOOKUP(G1022,Store!A:H,2,FALSE)</f>
        <v>Baldwin Bikes</v>
      </c>
      <c r="N1022" s="3" t="str">
        <f>VLOOKUP(G1022,Store!A:H,6,FALSE)</f>
        <v>Baldwin</v>
      </c>
      <c r="O1022" s="3" t="s">
        <v>16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">
        <v>1022.0</v>
      </c>
      <c r="B1023" s="1">
        <v>353.0</v>
      </c>
      <c r="C1023" s="1">
        <v>4.0</v>
      </c>
      <c r="D1023" s="4">
        <v>42939.0</v>
      </c>
      <c r="E1023" s="4">
        <v>42942.0</v>
      </c>
      <c r="F1023" s="4">
        <v>42940.0</v>
      </c>
      <c r="G1023" s="1">
        <v>2.0</v>
      </c>
      <c r="H1023" s="1">
        <v>7.0</v>
      </c>
      <c r="I1023" s="3" t="str">
        <f>VLOOKUP(B1023,Customers!A:J, 10,FALSE)</f>
        <v>Tisa Whitney</v>
      </c>
      <c r="J1023" s="3" t="str">
        <f>VLOOKUP(B1023,Customers!A:J,8,FALSE)</f>
        <v>NY</v>
      </c>
      <c r="K1023" s="3" t="str">
        <f>VLOOKUP(B1023,Customers!A:J,7,FALSE)</f>
        <v>Monsey</v>
      </c>
      <c r="L1023" s="3" t="str">
        <f>VLOOKUP(H1023,Staff!A:I,9,FALSE)</f>
        <v>Venita Daniel</v>
      </c>
      <c r="M1023" s="3" t="str">
        <f>VLOOKUP(G1023,Store!A:H,2,FALSE)</f>
        <v>Baldwin Bikes</v>
      </c>
      <c r="N1023" s="3" t="str">
        <f>VLOOKUP(G1023,Store!A:H,6,FALSE)</f>
        <v>Baldwin</v>
      </c>
      <c r="O1023" s="3" t="s">
        <v>16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">
        <v>1023.0</v>
      </c>
      <c r="B1024" s="1">
        <v>356.0</v>
      </c>
      <c r="C1024" s="1">
        <v>4.0</v>
      </c>
      <c r="D1024" s="4">
        <v>42939.0</v>
      </c>
      <c r="E1024" s="4">
        <v>42942.0</v>
      </c>
      <c r="F1024" s="4">
        <v>42941.0</v>
      </c>
      <c r="G1024" s="1">
        <v>2.0</v>
      </c>
      <c r="H1024" s="1">
        <v>6.0</v>
      </c>
      <c r="I1024" s="3" t="str">
        <f>VLOOKUP(B1024,Customers!A:J, 10,FALSE)</f>
        <v>Vashti Rosario</v>
      </c>
      <c r="J1024" s="3" t="str">
        <f>VLOOKUP(B1024,Customers!A:J,8,FALSE)</f>
        <v>NY</v>
      </c>
      <c r="K1024" s="3" t="str">
        <f>VLOOKUP(B1024,Customers!A:J,7,FALSE)</f>
        <v>Bronx</v>
      </c>
      <c r="L1024" s="3" t="str">
        <f>VLOOKUP(H1024,Staff!A:I,9,FALSE)</f>
        <v>Marcelene Boyer</v>
      </c>
      <c r="M1024" s="3" t="str">
        <f>VLOOKUP(G1024,Store!A:H,2,FALSE)</f>
        <v>Baldwin Bikes</v>
      </c>
      <c r="N1024" s="3" t="str">
        <f>VLOOKUP(G1024,Store!A:H,6,FALSE)</f>
        <v>Baldwin</v>
      </c>
      <c r="O1024" s="3" t="s">
        <v>16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">
        <v>1024.0</v>
      </c>
      <c r="B1025" s="1">
        <v>837.0</v>
      </c>
      <c r="C1025" s="1">
        <v>4.0</v>
      </c>
      <c r="D1025" s="4">
        <v>42939.0</v>
      </c>
      <c r="E1025" s="4">
        <v>42941.0</v>
      </c>
      <c r="F1025" s="4">
        <v>42942.0</v>
      </c>
      <c r="G1025" s="1">
        <v>2.0</v>
      </c>
      <c r="H1025" s="1">
        <v>7.0</v>
      </c>
      <c r="I1025" s="3" t="str">
        <f>VLOOKUP(B1025,Customers!A:J, 10,FALSE)</f>
        <v>Kellye Campbell</v>
      </c>
      <c r="J1025" s="3" t="str">
        <f>VLOOKUP(B1025,Customers!A:J,8,FALSE)</f>
        <v>NY</v>
      </c>
      <c r="K1025" s="3" t="str">
        <f>VLOOKUP(B1025,Customers!A:J,7,FALSE)</f>
        <v>Baldwinsville</v>
      </c>
      <c r="L1025" s="3" t="str">
        <f>VLOOKUP(H1025,Staff!A:I,9,FALSE)</f>
        <v>Venita Daniel</v>
      </c>
      <c r="M1025" s="3" t="str">
        <f>VLOOKUP(G1025,Store!A:H,2,FALSE)</f>
        <v>Baldwin Bikes</v>
      </c>
      <c r="N1025" s="3" t="str">
        <f>VLOOKUP(G1025,Store!A:H,6,FALSE)</f>
        <v>Baldwin</v>
      </c>
      <c r="O1025" s="3" t="s">
        <v>16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">
        <v>1025.0</v>
      </c>
      <c r="B1026" s="1">
        <v>1304.0</v>
      </c>
      <c r="C1026" s="1">
        <v>4.0</v>
      </c>
      <c r="D1026" s="4">
        <v>42939.0</v>
      </c>
      <c r="E1026" s="4">
        <v>42942.0</v>
      </c>
      <c r="F1026" s="4">
        <v>42942.0</v>
      </c>
      <c r="G1026" s="1">
        <v>2.0</v>
      </c>
      <c r="H1026" s="1">
        <v>6.0</v>
      </c>
      <c r="I1026" s="3" t="str">
        <f>VLOOKUP(B1026,Customers!A:J, 10,FALSE)</f>
        <v>Tama Berg</v>
      </c>
      <c r="J1026" s="3" t="str">
        <f>VLOOKUP(B1026,Customers!A:J,8,FALSE)</f>
        <v>NY</v>
      </c>
      <c r="K1026" s="3" t="str">
        <f>VLOOKUP(B1026,Customers!A:J,7,FALSE)</f>
        <v>Hollis</v>
      </c>
      <c r="L1026" s="3" t="str">
        <f>VLOOKUP(H1026,Staff!A:I,9,FALSE)</f>
        <v>Marcelene Boyer</v>
      </c>
      <c r="M1026" s="3" t="str">
        <f>VLOOKUP(G1026,Store!A:H,2,FALSE)</f>
        <v>Baldwin Bikes</v>
      </c>
      <c r="N1026" s="3" t="str">
        <f>VLOOKUP(G1026,Store!A:H,6,FALSE)</f>
        <v>Baldwin</v>
      </c>
      <c r="O1026" s="3" t="s">
        <v>16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">
        <v>1026.0</v>
      </c>
      <c r="B1027" s="1">
        <v>1370.0</v>
      </c>
      <c r="C1027" s="1">
        <v>4.0</v>
      </c>
      <c r="D1027" s="4">
        <v>42942.0</v>
      </c>
      <c r="E1027" s="4">
        <v>42944.0</v>
      </c>
      <c r="F1027" s="4">
        <v>42945.0</v>
      </c>
      <c r="G1027" s="1">
        <v>1.0</v>
      </c>
      <c r="H1027" s="1">
        <v>2.0</v>
      </c>
      <c r="I1027" s="3" t="str">
        <f>VLOOKUP(B1027,Customers!A:J, 10,FALSE)</f>
        <v>Rona Rojas</v>
      </c>
      <c r="J1027" s="3" t="str">
        <f>VLOOKUP(B1027,Customers!A:J,8,FALSE)</f>
        <v>CA</v>
      </c>
      <c r="K1027" s="3" t="str">
        <f>VLOOKUP(B1027,Customers!A:J,7,FALSE)</f>
        <v>San Jose</v>
      </c>
      <c r="L1027" s="3" t="str">
        <f>VLOOKUP(H1027,Staff!A:I,9,FALSE)</f>
        <v>Mireya Copeland</v>
      </c>
      <c r="M1027" s="3" t="str">
        <f>VLOOKUP(G1027,Store!A:H,2,FALSE)</f>
        <v>Santa Cruz Bikes</v>
      </c>
      <c r="N1027" s="3" t="str">
        <f>VLOOKUP(G1027,Store!A:H,6,FALSE)</f>
        <v>Santa Cruz</v>
      </c>
      <c r="O1027" s="3" t="s">
        <v>15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">
        <v>1027.0</v>
      </c>
      <c r="B1028" s="1">
        <v>588.0</v>
      </c>
      <c r="C1028" s="1">
        <v>4.0</v>
      </c>
      <c r="D1028" s="4">
        <v>42942.0</v>
      </c>
      <c r="E1028" s="4">
        <v>42944.0</v>
      </c>
      <c r="F1028" s="4">
        <v>42944.0</v>
      </c>
      <c r="G1028" s="1">
        <v>2.0</v>
      </c>
      <c r="H1028" s="1">
        <v>6.0</v>
      </c>
      <c r="I1028" s="3" t="str">
        <f>VLOOKUP(B1028,Customers!A:J, 10,FALSE)</f>
        <v>Cherelle Key</v>
      </c>
      <c r="J1028" s="3" t="str">
        <f>VLOOKUP(B1028,Customers!A:J,8,FALSE)</f>
        <v>NY</v>
      </c>
      <c r="K1028" s="3" t="str">
        <f>VLOOKUP(B1028,Customers!A:J,7,FALSE)</f>
        <v>Valley Stream</v>
      </c>
      <c r="L1028" s="3" t="str">
        <f>VLOOKUP(H1028,Staff!A:I,9,FALSE)</f>
        <v>Marcelene Boyer</v>
      </c>
      <c r="M1028" s="3" t="str">
        <f>VLOOKUP(G1028,Store!A:H,2,FALSE)</f>
        <v>Baldwin Bikes</v>
      </c>
      <c r="N1028" s="3" t="str">
        <f>VLOOKUP(G1028,Store!A:H,6,FALSE)</f>
        <v>Baldwin</v>
      </c>
      <c r="O1028" s="3" t="s">
        <v>16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">
        <v>1028.0</v>
      </c>
      <c r="B1029" s="1">
        <v>1273.0</v>
      </c>
      <c r="C1029" s="1">
        <v>4.0</v>
      </c>
      <c r="D1029" s="4">
        <v>42943.0</v>
      </c>
      <c r="E1029" s="4">
        <v>42944.0</v>
      </c>
      <c r="F1029" s="4">
        <v>42946.0</v>
      </c>
      <c r="G1029" s="1">
        <v>2.0</v>
      </c>
      <c r="H1029" s="1">
        <v>7.0</v>
      </c>
      <c r="I1029" s="3" t="str">
        <f>VLOOKUP(B1029,Customers!A:J, 10,FALSE)</f>
        <v>Cheree Hale</v>
      </c>
      <c r="J1029" s="3" t="str">
        <f>VLOOKUP(B1029,Customers!A:J,8,FALSE)</f>
        <v>NY</v>
      </c>
      <c r="K1029" s="3" t="str">
        <f>VLOOKUP(B1029,Customers!A:J,7,FALSE)</f>
        <v>Oswego</v>
      </c>
      <c r="L1029" s="3" t="str">
        <f>VLOOKUP(H1029,Staff!A:I,9,FALSE)</f>
        <v>Venita Daniel</v>
      </c>
      <c r="M1029" s="3" t="str">
        <f>VLOOKUP(G1029,Store!A:H,2,FALSE)</f>
        <v>Baldwin Bikes</v>
      </c>
      <c r="N1029" s="3" t="str">
        <f>VLOOKUP(G1029,Store!A:H,6,FALSE)</f>
        <v>Baldwin</v>
      </c>
      <c r="O1029" s="3" t="s">
        <v>16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">
        <v>1029.0</v>
      </c>
      <c r="B1030" s="1">
        <v>407.0</v>
      </c>
      <c r="C1030" s="1">
        <v>4.0</v>
      </c>
      <c r="D1030" s="4">
        <v>42945.0</v>
      </c>
      <c r="E1030" s="4">
        <v>42946.0</v>
      </c>
      <c r="F1030" s="4">
        <v>42948.0</v>
      </c>
      <c r="G1030" s="1">
        <v>1.0</v>
      </c>
      <c r="H1030" s="1">
        <v>3.0</v>
      </c>
      <c r="I1030" s="3" t="str">
        <f>VLOOKUP(B1030,Customers!A:J, 10,FALSE)</f>
        <v>Dannette Guerrero</v>
      </c>
      <c r="J1030" s="3" t="str">
        <f>VLOOKUP(B1030,Customers!A:J,8,FALSE)</f>
        <v>CA</v>
      </c>
      <c r="K1030" s="3" t="str">
        <f>VLOOKUP(B1030,Customers!A:J,7,FALSE)</f>
        <v>San Pablo</v>
      </c>
      <c r="L1030" s="3" t="str">
        <f>VLOOKUP(H1030,Staff!A:I,9,FALSE)</f>
        <v>Genna Serrano</v>
      </c>
      <c r="M1030" s="3" t="str">
        <f>VLOOKUP(G1030,Store!A:H,2,FALSE)</f>
        <v>Santa Cruz Bikes</v>
      </c>
      <c r="N1030" s="3" t="str">
        <f>VLOOKUP(G1030,Store!A:H,6,FALSE)</f>
        <v>Santa Cruz</v>
      </c>
      <c r="O1030" s="3" t="s">
        <v>15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">
        <v>1030.0</v>
      </c>
      <c r="B1031" s="1">
        <v>161.0</v>
      </c>
      <c r="C1031" s="1">
        <v>4.0</v>
      </c>
      <c r="D1031" s="4">
        <v>42945.0</v>
      </c>
      <c r="E1031" s="4">
        <v>42946.0</v>
      </c>
      <c r="F1031" s="4">
        <v>42947.0</v>
      </c>
      <c r="G1031" s="1">
        <v>2.0</v>
      </c>
      <c r="H1031" s="1">
        <v>6.0</v>
      </c>
      <c r="I1031" s="3" t="str">
        <f>VLOOKUP(B1031,Customers!A:J, 10,FALSE)</f>
        <v>Crystle Gilliam</v>
      </c>
      <c r="J1031" s="3" t="str">
        <f>VLOOKUP(B1031,Customers!A:J,8,FALSE)</f>
        <v>NY</v>
      </c>
      <c r="K1031" s="3" t="str">
        <f>VLOOKUP(B1031,Customers!A:J,7,FALSE)</f>
        <v>Smithtown</v>
      </c>
      <c r="L1031" s="3" t="str">
        <f>VLOOKUP(H1031,Staff!A:I,9,FALSE)</f>
        <v>Marcelene Boyer</v>
      </c>
      <c r="M1031" s="3" t="str">
        <f>VLOOKUP(G1031,Store!A:H,2,FALSE)</f>
        <v>Baldwin Bikes</v>
      </c>
      <c r="N1031" s="3" t="str">
        <f>VLOOKUP(G1031,Store!A:H,6,FALSE)</f>
        <v>Baldwin</v>
      </c>
      <c r="O1031" s="3" t="s">
        <v>16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">
        <v>1031.0</v>
      </c>
      <c r="B1032" s="1">
        <v>1308.0</v>
      </c>
      <c r="C1032" s="1">
        <v>4.0</v>
      </c>
      <c r="D1032" s="4">
        <v>42946.0</v>
      </c>
      <c r="E1032" s="4">
        <v>42948.0</v>
      </c>
      <c r="F1032" s="4">
        <v>42949.0</v>
      </c>
      <c r="G1032" s="1">
        <v>1.0</v>
      </c>
      <c r="H1032" s="1">
        <v>2.0</v>
      </c>
      <c r="I1032" s="3" t="str">
        <f>VLOOKUP(B1032,Customers!A:J, 10,FALSE)</f>
        <v>Shea Howell</v>
      </c>
      <c r="J1032" s="3" t="str">
        <f>VLOOKUP(B1032,Customers!A:J,8,FALSE)</f>
        <v>CA</v>
      </c>
      <c r="K1032" s="3" t="str">
        <f>VLOOKUP(B1032,Customers!A:J,7,FALSE)</f>
        <v>South El Monte</v>
      </c>
      <c r="L1032" s="3" t="str">
        <f>VLOOKUP(H1032,Staff!A:I,9,FALSE)</f>
        <v>Mireya Copeland</v>
      </c>
      <c r="M1032" s="3" t="str">
        <f>VLOOKUP(G1032,Store!A:H,2,FALSE)</f>
        <v>Santa Cruz Bikes</v>
      </c>
      <c r="N1032" s="3" t="str">
        <f>VLOOKUP(G1032,Store!A:H,6,FALSE)</f>
        <v>Santa Cruz</v>
      </c>
      <c r="O1032" s="3" t="s">
        <v>15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">
        <v>1032.0</v>
      </c>
      <c r="B1033" s="1">
        <v>429.0</v>
      </c>
      <c r="C1033" s="1">
        <v>4.0</v>
      </c>
      <c r="D1033" s="4">
        <v>42946.0</v>
      </c>
      <c r="E1033" s="4">
        <v>42949.0</v>
      </c>
      <c r="F1033" s="4">
        <v>42948.0</v>
      </c>
      <c r="G1033" s="1">
        <v>2.0</v>
      </c>
      <c r="H1033" s="1">
        <v>6.0</v>
      </c>
      <c r="I1033" s="3" t="str">
        <f>VLOOKUP(B1033,Customers!A:J, 10,FALSE)</f>
        <v>Emmett Casey</v>
      </c>
      <c r="J1033" s="3" t="str">
        <f>VLOOKUP(B1033,Customers!A:J,8,FALSE)</f>
        <v>NY</v>
      </c>
      <c r="K1033" s="3" t="str">
        <f>VLOOKUP(B1033,Customers!A:J,7,FALSE)</f>
        <v>Valley Stream</v>
      </c>
      <c r="L1033" s="3" t="str">
        <f>VLOOKUP(H1033,Staff!A:I,9,FALSE)</f>
        <v>Marcelene Boyer</v>
      </c>
      <c r="M1033" s="3" t="str">
        <f>VLOOKUP(G1033,Store!A:H,2,FALSE)</f>
        <v>Baldwin Bikes</v>
      </c>
      <c r="N1033" s="3" t="str">
        <f>VLOOKUP(G1033,Store!A:H,6,FALSE)</f>
        <v>Baldwin</v>
      </c>
      <c r="O1033" s="3" t="s">
        <v>16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">
        <v>1033.0</v>
      </c>
      <c r="B1034" s="1">
        <v>582.0</v>
      </c>
      <c r="C1034" s="1">
        <v>4.0</v>
      </c>
      <c r="D1034" s="4">
        <v>42946.0</v>
      </c>
      <c r="E1034" s="4">
        <v>42947.0</v>
      </c>
      <c r="F1034" s="4">
        <v>42949.0</v>
      </c>
      <c r="G1034" s="1">
        <v>2.0</v>
      </c>
      <c r="H1034" s="1">
        <v>7.0</v>
      </c>
      <c r="I1034" s="3" t="str">
        <f>VLOOKUP(B1034,Customers!A:J, 10,FALSE)</f>
        <v>Soledad Moses</v>
      </c>
      <c r="J1034" s="3" t="str">
        <f>VLOOKUP(B1034,Customers!A:J,8,FALSE)</f>
        <v>NY</v>
      </c>
      <c r="K1034" s="3" t="str">
        <f>VLOOKUP(B1034,Customers!A:J,7,FALSE)</f>
        <v>Jackson Heights</v>
      </c>
      <c r="L1034" s="3" t="str">
        <f>VLOOKUP(H1034,Staff!A:I,9,FALSE)</f>
        <v>Venita Daniel</v>
      </c>
      <c r="M1034" s="3" t="str">
        <f>VLOOKUP(G1034,Store!A:H,2,FALSE)</f>
        <v>Baldwin Bikes</v>
      </c>
      <c r="N1034" s="3" t="str">
        <f>VLOOKUP(G1034,Store!A:H,6,FALSE)</f>
        <v>Baldwin</v>
      </c>
      <c r="O1034" s="3" t="s">
        <v>16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">
        <v>1034.0</v>
      </c>
      <c r="B1035" s="1">
        <v>895.0</v>
      </c>
      <c r="C1035" s="1">
        <v>4.0</v>
      </c>
      <c r="D1035" s="4">
        <v>42946.0</v>
      </c>
      <c r="E1035" s="4">
        <v>42947.0</v>
      </c>
      <c r="F1035" s="4">
        <v>42947.0</v>
      </c>
      <c r="G1035" s="1">
        <v>2.0</v>
      </c>
      <c r="H1035" s="1">
        <v>7.0</v>
      </c>
      <c r="I1035" s="3" t="str">
        <f>VLOOKUP(B1035,Customers!A:J, 10,FALSE)</f>
        <v>Elaina Key</v>
      </c>
      <c r="J1035" s="3" t="str">
        <f>VLOOKUP(B1035,Customers!A:J,8,FALSE)</f>
        <v>NY</v>
      </c>
      <c r="K1035" s="3" t="str">
        <f>VLOOKUP(B1035,Customers!A:J,7,FALSE)</f>
        <v>Plainview</v>
      </c>
      <c r="L1035" s="3" t="str">
        <f>VLOOKUP(H1035,Staff!A:I,9,FALSE)</f>
        <v>Venita Daniel</v>
      </c>
      <c r="M1035" s="3" t="str">
        <f>VLOOKUP(G1035,Store!A:H,2,FALSE)</f>
        <v>Baldwin Bikes</v>
      </c>
      <c r="N1035" s="3" t="str">
        <f>VLOOKUP(G1035,Store!A:H,6,FALSE)</f>
        <v>Baldwin</v>
      </c>
      <c r="O1035" s="3" t="s">
        <v>16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">
        <v>1035.0</v>
      </c>
      <c r="B1036" s="1">
        <v>1283.0</v>
      </c>
      <c r="C1036" s="1">
        <v>4.0</v>
      </c>
      <c r="D1036" s="4">
        <v>42946.0</v>
      </c>
      <c r="E1036" s="4">
        <v>42949.0</v>
      </c>
      <c r="F1036" s="4">
        <v>42949.0</v>
      </c>
      <c r="G1036" s="1">
        <v>2.0</v>
      </c>
      <c r="H1036" s="1">
        <v>6.0</v>
      </c>
      <c r="I1036" s="3" t="str">
        <f>VLOOKUP(B1036,Customers!A:J, 10,FALSE)</f>
        <v>Mica Barry</v>
      </c>
      <c r="J1036" s="3" t="str">
        <f>VLOOKUP(B1036,Customers!A:J,8,FALSE)</f>
        <v>NY</v>
      </c>
      <c r="K1036" s="3" t="str">
        <f>VLOOKUP(B1036,Customers!A:J,7,FALSE)</f>
        <v>Hopewell Junction</v>
      </c>
      <c r="L1036" s="3" t="str">
        <f>VLOOKUP(H1036,Staff!A:I,9,FALSE)</f>
        <v>Marcelene Boyer</v>
      </c>
      <c r="M1036" s="3" t="str">
        <f>VLOOKUP(G1036,Store!A:H,2,FALSE)</f>
        <v>Baldwin Bikes</v>
      </c>
      <c r="N1036" s="3" t="str">
        <f>VLOOKUP(G1036,Store!A:H,6,FALSE)</f>
        <v>Baldwin</v>
      </c>
      <c r="O1036" s="3" t="s">
        <v>16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">
        <v>1036.0</v>
      </c>
      <c r="B1037" s="1">
        <v>1442.0</v>
      </c>
      <c r="C1037" s="1">
        <v>4.0</v>
      </c>
      <c r="D1037" s="4">
        <v>42946.0</v>
      </c>
      <c r="E1037" s="4">
        <v>42948.0</v>
      </c>
      <c r="F1037" s="4">
        <v>42947.0</v>
      </c>
      <c r="G1037" s="1">
        <v>2.0</v>
      </c>
      <c r="H1037" s="1">
        <v>6.0</v>
      </c>
      <c r="I1037" s="3" t="str">
        <f>VLOOKUP(B1037,Customers!A:J, 10,FALSE)</f>
        <v>Cassie Cline</v>
      </c>
      <c r="J1037" s="3" t="str">
        <f>VLOOKUP(B1037,Customers!A:J,8,FALSE)</f>
        <v>NY</v>
      </c>
      <c r="K1037" s="3" t="str">
        <f>VLOOKUP(B1037,Customers!A:J,7,FALSE)</f>
        <v>Brooklyn</v>
      </c>
      <c r="L1037" s="3" t="str">
        <f>VLOOKUP(H1037,Staff!A:I,9,FALSE)</f>
        <v>Marcelene Boyer</v>
      </c>
      <c r="M1037" s="3" t="str">
        <f>VLOOKUP(G1037,Store!A:H,2,FALSE)</f>
        <v>Baldwin Bikes</v>
      </c>
      <c r="N1037" s="3" t="str">
        <f>VLOOKUP(G1037,Store!A:H,6,FALSE)</f>
        <v>Baldwin</v>
      </c>
      <c r="O1037" s="3" t="s">
        <v>16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">
        <v>1037.0</v>
      </c>
      <c r="B1038" s="1">
        <v>1229.0</v>
      </c>
      <c r="C1038" s="1">
        <v>4.0</v>
      </c>
      <c r="D1038" s="4">
        <v>42947.0</v>
      </c>
      <c r="E1038" s="4">
        <v>42949.0</v>
      </c>
      <c r="F1038" s="4">
        <v>42950.0</v>
      </c>
      <c r="G1038" s="1">
        <v>2.0</v>
      </c>
      <c r="H1038" s="1">
        <v>6.0</v>
      </c>
      <c r="I1038" s="3" t="str">
        <f>VLOOKUP(B1038,Customers!A:J, 10,FALSE)</f>
        <v>Carina Lynch</v>
      </c>
      <c r="J1038" s="3" t="str">
        <f>VLOOKUP(B1038,Customers!A:J,8,FALSE)</f>
        <v>NY</v>
      </c>
      <c r="K1038" s="3" t="str">
        <f>VLOOKUP(B1038,Customers!A:J,7,FALSE)</f>
        <v>Wappingers Falls</v>
      </c>
      <c r="L1038" s="3" t="str">
        <f>VLOOKUP(H1038,Staff!A:I,9,FALSE)</f>
        <v>Marcelene Boyer</v>
      </c>
      <c r="M1038" s="3" t="str">
        <f>VLOOKUP(G1038,Store!A:H,2,FALSE)</f>
        <v>Baldwin Bikes</v>
      </c>
      <c r="N1038" s="3" t="str">
        <f>VLOOKUP(G1038,Store!A:H,6,FALSE)</f>
        <v>Baldwin</v>
      </c>
      <c r="O1038" s="3" t="s">
        <v>16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">
        <v>1038.0</v>
      </c>
      <c r="B1039" s="1">
        <v>1281.0</v>
      </c>
      <c r="C1039" s="1">
        <v>4.0</v>
      </c>
      <c r="D1039" s="4">
        <v>42947.0</v>
      </c>
      <c r="E1039" s="4">
        <v>42948.0</v>
      </c>
      <c r="F1039" s="4">
        <v>42950.0</v>
      </c>
      <c r="G1039" s="1">
        <v>2.0</v>
      </c>
      <c r="H1039" s="1">
        <v>7.0</v>
      </c>
      <c r="I1039" s="3" t="str">
        <f>VLOOKUP(B1039,Customers!A:J, 10,FALSE)</f>
        <v>Marlen Dawson</v>
      </c>
      <c r="J1039" s="3" t="str">
        <f>VLOOKUP(B1039,Customers!A:J,8,FALSE)</f>
        <v>NY</v>
      </c>
      <c r="K1039" s="3" t="str">
        <f>VLOOKUP(B1039,Customers!A:J,7,FALSE)</f>
        <v>Woodside</v>
      </c>
      <c r="L1039" s="3" t="str">
        <f>VLOOKUP(H1039,Staff!A:I,9,FALSE)</f>
        <v>Venita Daniel</v>
      </c>
      <c r="M1039" s="3" t="str">
        <f>VLOOKUP(G1039,Store!A:H,2,FALSE)</f>
        <v>Baldwin Bikes</v>
      </c>
      <c r="N1039" s="3" t="str">
        <f>VLOOKUP(G1039,Store!A:H,6,FALSE)</f>
        <v>Baldwin</v>
      </c>
      <c r="O1039" s="3" t="s">
        <v>16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">
        <v>1039.0</v>
      </c>
      <c r="B1040" s="1">
        <v>1077.0</v>
      </c>
      <c r="C1040" s="1">
        <v>4.0</v>
      </c>
      <c r="D1040" s="4">
        <v>42949.0</v>
      </c>
      <c r="E1040" s="4">
        <v>42951.0</v>
      </c>
      <c r="F1040" s="4">
        <v>42950.0</v>
      </c>
      <c r="G1040" s="1">
        <v>2.0</v>
      </c>
      <c r="H1040" s="1">
        <v>7.0</v>
      </c>
      <c r="I1040" s="3" t="str">
        <f>VLOOKUP(B1040,Customers!A:J, 10,FALSE)</f>
        <v>Heather Perry</v>
      </c>
      <c r="J1040" s="3" t="str">
        <f>VLOOKUP(B1040,Customers!A:J,8,FALSE)</f>
        <v>NY</v>
      </c>
      <c r="K1040" s="3" t="str">
        <f>VLOOKUP(B1040,Customers!A:J,7,FALSE)</f>
        <v>Sunnyside</v>
      </c>
      <c r="L1040" s="3" t="str">
        <f>VLOOKUP(H1040,Staff!A:I,9,FALSE)</f>
        <v>Venita Daniel</v>
      </c>
      <c r="M1040" s="3" t="str">
        <f>VLOOKUP(G1040,Store!A:H,2,FALSE)</f>
        <v>Baldwin Bikes</v>
      </c>
      <c r="N1040" s="3" t="str">
        <f>VLOOKUP(G1040,Store!A:H,6,FALSE)</f>
        <v>Baldwin</v>
      </c>
      <c r="O1040" s="3" t="s">
        <v>16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">
        <v>1040.0</v>
      </c>
      <c r="B1041" s="1">
        <v>1225.0</v>
      </c>
      <c r="C1041" s="1">
        <v>4.0</v>
      </c>
      <c r="D1041" s="4">
        <v>42951.0</v>
      </c>
      <c r="E1041" s="4">
        <v>42954.0</v>
      </c>
      <c r="F1041" s="4">
        <v>42952.0</v>
      </c>
      <c r="G1041" s="1">
        <v>1.0</v>
      </c>
      <c r="H1041" s="1">
        <v>2.0</v>
      </c>
      <c r="I1041" s="3" t="str">
        <f>VLOOKUP(B1041,Customers!A:J, 10,FALSE)</f>
        <v>Mellisa Griffin</v>
      </c>
      <c r="J1041" s="3" t="str">
        <f>VLOOKUP(B1041,Customers!A:J,8,FALSE)</f>
        <v>CA</v>
      </c>
      <c r="K1041" s="3" t="str">
        <f>VLOOKUP(B1041,Customers!A:J,7,FALSE)</f>
        <v>Los Banos</v>
      </c>
      <c r="L1041" s="3" t="str">
        <f>VLOOKUP(H1041,Staff!A:I,9,FALSE)</f>
        <v>Mireya Copeland</v>
      </c>
      <c r="M1041" s="3" t="str">
        <f>VLOOKUP(G1041,Store!A:H,2,FALSE)</f>
        <v>Santa Cruz Bikes</v>
      </c>
      <c r="N1041" s="3" t="str">
        <f>VLOOKUP(G1041,Store!A:H,6,FALSE)</f>
        <v>Santa Cruz</v>
      </c>
      <c r="O1041" s="3" t="s">
        <v>15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">
        <v>1041.0</v>
      </c>
      <c r="B1042" s="1">
        <v>70.0</v>
      </c>
      <c r="C1042" s="1">
        <v>4.0</v>
      </c>
      <c r="D1042" s="4">
        <v>42951.0</v>
      </c>
      <c r="E1042" s="4">
        <v>42953.0</v>
      </c>
      <c r="F1042" s="4">
        <v>42952.0</v>
      </c>
      <c r="G1042" s="1">
        <v>2.0</v>
      </c>
      <c r="H1042" s="1">
        <v>7.0</v>
      </c>
      <c r="I1042" s="3" t="str">
        <f>VLOOKUP(B1042,Customers!A:J, 10,FALSE)</f>
        <v>Tomasa Carson</v>
      </c>
      <c r="J1042" s="3" t="str">
        <f>VLOOKUP(B1042,Customers!A:J,8,FALSE)</f>
        <v>NY</v>
      </c>
      <c r="K1042" s="3" t="str">
        <f>VLOOKUP(B1042,Customers!A:J,7,FALSE)</f>
        <v>East Elmhurst</v>
      </c>
      <c r="L1042" s="3" t="str">
        <f>VLOOKUP(H1042,Staff!A:I,9,FALSE)</f>
        <v>Venita Daniel</v>
      </c>
      <c r="M1042" s="3" t="str">
        <f>VLOOKUP(G1042,Store!A:H,2,FALSE)</f>
        <v>Baldwin Bikes</v>
      </c>
      <c r="N1042" s="3" t="str">
        <f>VLOOKUP(G1042,Store!A:H,6,FALSE)</f>
        <v>Baldwin</v>
      </c>
      <c r="O1042" s="3" t="s">
        <v>16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">
        <v>1042.0</v>
      </c>
      <c r="B1043" s="1">
        <v>539.0</v>
      </c>
      <c r="C1043" s="1">
        <v>4.0</v>
      </c>
      <c r="D1043" s="4">
        <v>42953.0</v>
      </c>
      <c r="E1043" s="4">
        <v>42954.0</v>
      </c>
      <c r="F1043" s="4">
        <v>42954.0</v>
      </c>
      <c r="G1043" s="1">
        <v>2.0</v>
      </c>
      <c r="H1043" s="1">
        <v>7.0</v>
      </c>
      <c r="I1043" s="3" t="str">
        <f>VLOOKUP(B1043,Customers!A:J, 10,FALSE)</f>
        <v>Jamika Acevedo</v>
      </c>
      <c r="J1043" s="3" t="str">
        <f>VLOOKUP(B1043,Customers!A:J,8,FALSE)</f>
        <v>NY</v>
      </c>
      <c r="K1043" s="3" t="str">
        <f>VLOOKUP(B1043,Customers!A:J,7,FALSE)</f>
        <v>Ozone Park</v>
      </c>
      <c r="L1043" s="3" t="str">
        <f>VLOOKUP(H1043,Staff!A:I,9,FALSE)</f>
        <v>Venita Daniel</v>
      </c>
      <c r="M1043" s="3" t="str">
        <f>VLOOKUP(G1043,Store!A:H,2,FALSE)</f>
        <v>Baldwin Bikes</v>
      </c>
      <c r="N1043" s="3" t="str">
        <f>VLOOKUP(G1043,Store!A:H,6,FALSE)</f>
        <v>Baldwin</v>
      </c>
      <c r="O1043" s="3" t="s">
        <v>16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">
        <v>1043.0</v>
      </c>
      <c r="B1044" s="1">
        <v>1235.0</v>
      </c>
      <c r="C1044" s="1">
        <v>4.0</v>
      </c>
      <c r="D1044" s="4">
        <v>42953.0</v>
      </c>
      <c r="E1044" s="4">
        <v>42956.0</v>
      </c>
      <c r="F1044" s="4">
        <v>42955.0</v>
      </c>
      <c r="G1044" s="1">
        <v>2.0</v>
      </c>
      <c r="H1044" s="1">
        <v>6.0</v>
      </c>
      <c r="I1044" s="3" t="str">
        <f>VLOOKUP(B1044,Customers!A:J, 10,FALSE)</f>
        <v>Georgina Gonzales</v>
      </c>
      <c r="J1044" s="3" t="str">
        <f>VLOOKUP(B1044,Customers!A:J,8,FALSE)</f>
        <v>NY</v>
      </c>
      <c r="K1044" s="3" t="str">
        <f>VLOOKUP(B1044,Customers!A:J,7,FALSE)</f>
        <v>Endicott</v>
      </c>
      <c r="L1044" s="3" t="str">
        <f>VLOOKUP(H1044,Staff!A:I,9,FALSE)</f>
        <v>Marcelene Boyer</v>
      </c>
      <c r="M1044" s="3" t="str">
        <f>VLOOKUP(G1044,Store!A:H,2,FALSE)</f>
        <v>Baldwin Bikes</v>
      </c>
      <c r="N1044" s="3" t="str">
        <f>VLOOKUP(G1044,Store!A:H,6,FALSE)</f>
        <v>Baldwin</v>
      </c>
      <c r="O1044" s="3" t="s">
        <v>16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">
        <v>1044.0</v>
      </c>
      <c r="B1045" s="1">
        <v>1270.0</v>
      </c>
      <c r="C1045" s="1">
        <v>4.0</v>
      </c>
      <c r="D1045" s="4">
        <v>42954.0</v>
      </c>
      <c r="E1045" s="4">
        <v>42957.0</v>
      </c>
      <c r="F1045" s="4">
        <v>42955.0</v>
      </c>
      <c r="G1045" s="1">
        <v>2.0</v>
      </c>
      <c r="H1045" s="1">
        <v>7.0</v>
      </c>
      <c r="I1045" s="3" t="str">
        <f>VLOOKUP(B1045,Customers!A:J, 10,FALSE)</f>
        <v>Ciera Webb</v>
      </c>
      <c r="J1045" s="3" t="str">
        <f>VLOOKUP(B1045,Customers!A:J,8,FALSE)</f>
        <v>NY</v>
      </c>
      <c r="K1045" s="3" t="str">
        <f>VLOOKUP(B1045,Customers!A:J,7,FALSE)</f>
        <v>Orchard Park</v>
      </c>
      <c r="L1045" s="3" t="str">
        <f>VLOOKUP(H1045,Staff!A:I,9,FALSE)</f>
        <v>Venita Daniel</v>
      </c>
      <c r="M1045" s="3" t="str">
        <f>VLOOKUP(G1045,Store!A:H,2,FALSE)</f>
        <v>Baldwin Bikes</v>
      </c>
      <c r="N1045" s="3" t="str">
        <f>VLOOKUP(G1045,Store!A:H,6,FALSE)</f>
        <v>Baldwin</v>
      </c>
      <c r="O1045" s="3" t="s">
        <v>16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">
        <v>1045.0</v>
      </c>
      <c r="B1046" s="1">
        <v>185.0</v>
      </c>
      <c r="C1046" s="1">
        <v>4.0</v>
      </c>
      <c r="D1046" s="4">
        <v>42954.0</v>
      </c>
      <c r="E1046" s="4">
        <v>42956.0</v>
      </c>
      <c r="F1046" s="4">
        <v>42957.0</v>
      </c>
      <c r="G1046" s="1">
        <v>3.0</v>
      </c>
      <c r="H1046" s="1">
        <v>9.0</v>
      </c>
      <c r="I1046" s="3" t="str">
        <f>VLOOKUP(B1046,Customers!A:J, 10,FALSE)</f>
        <v>Morton Lee</v>
      </c>
      <c r="J1046" s="3" t="str">
        <f>VLOOKUP(B1046,Customers!A:J,8,FALSE)</f>
        <v>TX</v>
      </c>
      <c r="K1046" s="3" t="str">
        <f>VLOOKUP(B1046,Customers!A:J,7,FALSE)</f>
        <v>San Angelo</v>
      </c>
      <c r="L1046" s="3" t="str">
        <f>VLOOKUP(H1046,Staff!A:I,9,FALSE)</f>
        <v>Layla Terrell</v>
      </c>
      <c r="M1046" s="3" t="str">
        <f>VLOOKUP(G1046,Store!A:H,2,FALSE)</f>
        <v>Rowlett Bikes</v>
      </c>
      <c r="N1046" s="3" t="str">
        <f>VLOOKUP(G1046,Store!A:H,6,FALSE)</f>
        <v>Rowlett</v>
      </c>
      <c r="O1046" s="3" t="s">
        <v>17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">
        <v>1046.0</v>
      </c>
      <c r="B1047" s="1">
        <v>1134.0</v>
      </c>
      <c r="C1047" s="1">
        <v>4.0</v>
      </c>
      <c r="D1047" s="4">
        <v>42954.0</v>
      </c>
      <c r="E1047" s="4">
        <v>42956.0</v>
      </c>
      <c r="F1047" s="4">
        <v>42955.0</v>
      </c>
      <c r="G1047" s="1">
        <v>3.0</v>
      </c>
      <c r="H1047" s="1">
        <v>8.0</v>
      </c>
      <c r="I1047" s="3" t="str">
        <f>VLOOKUP(B1047,Customers!A:J, 10,FALSE)</f>
        <v>Sherril Alvarado</v>
      </c>
      <c r="J1047" s="3" t="str">
        <f>VLOOKUP(B1047,Customers!A:J,8,FALSE)</f>
        <v>TX</v>
      </c>
      <c r="K1047" s="3" t="str">
        <f>VLOOKUP(B1047,Customers!A:J,7,FALSE)</f>
        <v>Desoto</v>
      </c>
      <c r="L1047" s="3" t="str">
        <f>VLOOKUP(H1047,Staff!A:I,9,FALSE)</f>
        <v>Kali Vargas</v>
      </c>
      <c r="M1047" s="3" t="str">
        <f>VLOOKUP(G1047,Store!A:H,2,FALSE)</f>
        <v>Rowlett Bikes</v>
      </c>
      <c r="N1047" s="3" t="str">
        <f>VLOOKUP(G1047,Store!A:H,6,FALSE)</f>
        <v>Rowlett</v>
      </c>
      <c r="O1047" s="3" t="s">
        <v>17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">
        <v>1047.0</v>
      </c>
      <c r="B1048" s="1">
        <v>116.0</v>
      </c>
      <c r="C1048" s="1">
        <v>3.0</v>
      </c>
      <c r="D1048" s="4">
        <v>42955.0</v>
      </c>
      <c r="E1048" s="4">
        <v>42955.0</v>
      </c>
      <c r="F1048" s="1" t="s">
        <v>18</v>
      </c>
      <c r="G1048" s="1">
        <v>3.0</v>
      </c>
      <c r="H1048" s="1">
        <v>8.0</v>
      </c>
      <c r="I1048" s="3" t="str">
        <f>VLOOKUP(B1048,Customers!A:J, 10,FALSE)</f>
        <v>Merlene Vinson</v>
      </c>
      <c r="J1048" s="3" t="str">
        <f>VLOOKUP(B1048,Customers!A:J,8,FALSE)</f>
        <v>TX</v>
      </c>
      <c r="K1048" s="3" t="str">
        <f>VLOOKUP(B1048,Customers!A:J,7,FALSE)</f>
        <v>Euless</v>
      </c>
      <c r="L1048" s="3" t="str">
        <f>VLOOKUP(H1048,Staff!A:I,9,FALSE)</f>
        <v>Kali Vargas</v>
      </c>
      <c r="M1048" s="3" t="str">
        <f>VLOOKUP(G1048,Store!A:H,2,FALSE)</f>
        <v>Rowlett Bikes</v>
      </c>
      <c r="N1048" s="3" t="str">
        <f>VLOOKUP(G1048,Store!A:H,6,FALSE)</f>
        <v>Rowlett</v>
      </c>
      <c r="O1048" s="3" t="s">
        <v>17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">
        <v>1048.0</v>
      </c>
      <c r="B1049" s="1">
        <v>777.0</v>
      </c>
      <c r="C1049" s="1">
        <v>4.0</v>
      </c>
      <c r="D1049" s="4">
        <v>42955.0</v>
      </c>
      <c r="E1049" s="4">
        <v>42957.0</v>
      </c>
      <c r="F1049" s="4">
        <v>42956.0</v>
      </c>
      <c r="G1049" s="1">
        <v>2.0</v>
      </c>
      <c r="H1049" s="1">
        <v>7.0</v>
      </c>
      <c r="I1049" s="3" t="str">
        <f>VLOOKUP(B1049,Customers!A:J, 10,FALSE)</f>
        <v>Ilda Roberson</v>
      </c>
      <c r="J1049" s="3" t="str">
        <f>VLOOKUP(B1049,Customers!A:J,8,FALSE)</f>
        <v>NY</v>
      </c>
      <c r="K1049" s="3" t="str">
        <f>VLOOKUP(B1049,Customers!A:J,7,FALSE)</f>
        <v>Kingston</v>
      </c>
      <c r="L1049" s="3" t="str">
        <f>VLOOKUP(H1049,Staff!A:I,9,FALSE)</f>
        <v>Venita Daniel</v>
      </c>
      <c r="M1049" s="3" t="str">
        <f>VLOOKUP(G1049,Store!A:H,2,FALSE)</f>
        <v>Baldwin Bikes</v>
      </c>
      <c r="N1049" s="3" t="str">
        <f>VLOOKUP(G1049,Store!A:H,6,FALSE)</f>
        <v>Baldwin</v>
      </c>
      <c r="O1049" s="3" t="s">
        <v>16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">
        <v>1049.0</v>
      </c>
      <c r="B1050" s="1">
        <v>194.0</v>
      </c>
      <c r="C1050" s="1">
        <v>4.0</v>
      </c>
      <c r="D1050" s="4">
        <v>42956.0</v>
      </c>
      <c r="E1050" s="4">
        <v>42958.0</v>
      </c>
      <c r="F1050" s="4">
        <v>42957.0</v>
      </c>
      <c r="G1050" s="1">
        <v>1.0</v>
      </c>
      <c r="H1050" s="1">
        <v>2.0</v>
      </c>
      <c r="I1050" s="3" t="str">
        <f>VLOOKUP(B1050,Customers!A:J, 10,FALSE)</f>
        <v>Dorine Roberson</v>
      </c>
      <c r="J1050" s="3" t="str">
        <f>VLOOKUP(B1050,Customers!A:J,8,FALSE)</f>
        <v>CA</v>
      </c>
      <c r="K1050" s="3" t="str">
        <f>VLOOKUP(B1050,Customers!A:J,7,FALSE)</f>
        <v>Santa Cruz</v>
      </c>
      <c r="L1050" s="3" t="str">
        <f>VLOOKUP(H1050,Staff!A:I,9,FALSE)</f>
        <v>Mireya Copeland</v>
      </c>
      <c r="M1050" s="3" t="str">
        <f>VLOOKUP(G1050,Store!A:H,2,FALSE)</f>
        <v>Santa Cruz Bikes</v>
      </c>
      <c r="N1050" s="3" t="str">
        <f>VLOOKUP(G1050,Store!A:H,6,FALSE)</f>
        <v>Santa Cruz</v>
      </c>
      <c r="O1050" s="3" t="s">
        <v>15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">
        <v>1050.0</v>
      </c>
      <c r="B1051" s="1">
        <v>239.0</v>
      </c>
      <c r="C1051" s="1">
        <v>4.0</v>
      </c>
      <c r="D1051" s="4">
        <v>42956.0</v>
      </c>
      <c r="E1051" s="4">
        <v>42959.0</v>
      </c>
      <c r="F1051" s="4">
        <v>42959.0</v>
      </c>
      <c r="G1051" s="1">
        <v>1.0</v>
      </c>
      <c r="H1051" s="1">
        <v>3.0</v>
      </c>
      <c r="I1051" s="3" t="str">
        <f>VLOOKUP(B1051,Customers!A:J, 10,FALSE)</f>
        <v>Felice Guzman</v>
      </c>
      <c r="J1051" s="3" t="str">
        <f>VLOOKUP(B1051,Customers!A:J,8,FALSE)</f>
        <v>CA</v>
      </c>
      <c r="K1051" s="3" t="str">
        <f>VLOOKUP(B1051,Customers!A:J,7,FALSE)</f>
        <v>Canyon Country</v>
      </c>
      <c r="L1051" s="3" t="str">
        <f>VLOOKUP(H1051,Staff!A:I,9,FALSE)</f>
        <v>Genna Serrano</v>
      </c>
      <c r="M1051" s="3" t="str">
        <f>VLOOKUP(G1051,Store!A:H,2,FALSE)</f>
        <v>Santa Cruz Bikes</v>
      </c>
      <c r="N1051" s="3" t="str">
        <f>VLOOKUP(G1051,Store!A:H,6,FALSE)</f>
        <v>Santa Cruz</v>
      </c>
      <c r="O1051" s="3" t="s">
        <v>15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">
        <v>1051.0</v>
      </c>
      <c r="B1052" s="1">
        <v>209.0</v>
      </c>
      <c r="C1052" s="1">
        <v>4.0</v>
      </c>
      <c r="D1052" s="4">
        <v>42957.0</v>
      </c>
      <c r="E1052" s="4">
        <v>42958.0</v>
      </c>
      <c r="F1052" s="4">
        <v>42958.0</v>
      </c>
      <c r="G1052" s="1">
        <v>2.0</v>
      </c>
      <c r="H1052" s="1">
        <v>7.0</v>
      </c>
      <c r="I1052" s="3" t="str">
        <f>VLOOKUP(B1052,Customers!A:J, 10,FALSE)</f>
        <v>Jutta Everett</v>
      </c>
      <c r="J1052" s="3" t="str">
        <f>VLOOKUP(B1052,Customers!A:J,8,FALSE)</f>
        <v>NY</v>
      </c>
      <c r="K1052" s="3" t="str">
        <f>VLOOKUP(B1052,Customers!A:J,7,FALSE)</f>
        <v>Selden</v>
      </c>
      <c r="L1052" s="3" t="str">
        <f>VLOOKUP(H1052,Staff!A:I,9,FALSE)</f>
        <v>Venita Daniel</v>
      </c>
      <c r="M1052" s="3" t="str">
        <f>VLOOKUP(G1052,Store!A:H,2,FALSE)</f>
        <v>Baldwin Bikes</v>
      </c>
      <c r="N1052" s="3" t="str">
        <f>VLOOKUP(G1052,Store!A:H,6,FALSE)</f>
        <v>Baldwin</v>
      </c>
      <c r="O1052" s="3" t="s">
        <v>16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">
        <v>1052.0</v>
      </c>
      <c r="B1053" s="1">
        <v>460.0</v>
      </c>
      <c r="C1053" s="1">
        <v>4.0</v>
      </c>
      <c r="D1053" s="4">
        <v>42957.0</v>
      </c>
      <c r="E1053" s="4">
        <v>42959.0</v>
      </c>
      <c r="F1053" s="4">
        <v>42960.0</v>
      </c>
      <c r="G1053" s="1">
        <v>2.0</v>
      </c>
      <c r="H1053" s="1">
        <v>6.0</v>
      </c>
      <c r="I1053" s="3" t="str">
        <f>VLOOKUP(B1053,Customers!A:J, 10,FALSE)</f>
        <v>Romelia Myers</v>
      </c>
      <c r="J1053" s="3" t="str">
        <f>VLOOKUP(B1053,Customers!A:J,8,FALSE)</f>
        <v>NY</v>
      </c>
      <c r="K1053" s="3" t="str">
        <f>VLOOKUP(B1053,Customers!A:J,7,FALSE)</f>
        <v>Garden City</v>
      </c>
      <c r="L1053" s="3" t="str">
        <f>VLOOKUP(H1053,Staff!A:I,9,FALSE)</f>
        <v>Marcelene Boyer</v>
      </c>
      <c r="M1053" s="3" t="str">
        <f>VLOOKUP(G1053,Store!A:H,2,FALSE)</f>
        <v>Baldwin Bikes</v>
      </c>
      <c r="N1053" s="3" t="str">
        <f>VLOOKUP(G1053,Store!A:H,6,FALSE)</f>
        <v>Baldwin</v>
      </c>
      <c r="O1053" s="3" t="s">
        <v>16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">
        <v>1053.0</v>
      </c>
      <c r="B1054" s="1">
        <v>1439.0</v>
      </c>
      <c r="C1054" s="1">
        <v>4.0</v>
      </c>
      <c r="D1054" s="4">
        <v>42957.0</v>
      </c>
      <c r="E1054" s="4">
        <v>42958.0</v>
      </c>
      <c r="F1054" s="4">
        <v>42959.0</v>
      </c>
      <c r="G1054" s="1">
        <v>2.0</v>
      </c>
      <c r="H1054" s="1">
        <v>6.0</v>
      </c>
      <c r="I1054" s="3" t="str">
        <f>VLOOKUP(B1054,Customers!A:J, 10,FALSE)</f>
        <v>Florrie Little</v>
      </c>
      <c r="J1054" s="3" t="str">
        <f>VLOOKUP(B1054,Customers!A:J,8,FALSE)</f>
        <v>NY</v>
      </c>
      <c r="K1054" s="3" t="str">
        <f>VLOOKUP(B1054,Customers!A:J,7,FALSE)</f>
        <v>New Rochelle</v>
      </c>
      <c r="L1054" s="3" t="str">
        <f>VLOOKUP(H1054,Staff!A:I,9,FALSE)</f>
        <v>Marcelene Boyer</v>
      </c>
      <c r="M1054" s="3" t="str">
        <f>VLOOKUP(G1054,Store!A:H,2,FALSE)</f>
        <v>Baldwin Bikes</v>
      </c>
      <c r="N1054" s="3" t="str">
        <f>VLOOKUP(G1054,Store!A:H,6,FALSE)</f>
        <v>Baldwin</v>
      </c>
      <c r="O1054" s="3" t="s">
        <v>16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">
        <v>1054.0</v>
      </c>
      <c r="B1055" s="1">
        <v>189.0</v>
      </c>
      <c r="C1055" s="1">
        <v>4.0</v>
      </c>
      <c r="D1055" s="4">
        <v>42958.0</v>
      </c>
      <c r="E1055" s="4">
        <v>42959.0</v>
      </c>
      <c r="F1055" s="4">
        <v>42959.0</v>
      </c>
      <c r="G1055" s="1">
        <v>2.0</v>
      </c>
      <c r="H1055" s="1">
        <v>7.0</v>
      </c>
      <c r="I1055" s="3" t="str">
        <f>VLOOKUP(B1055,Customers!A:J, 10,FALSE)</f>
        <v>Damian Dawson</v>
      </c>
      <c r="J1055" s="3" t="str">
        <f>VLOOKUP(B1055,Customers!A:J,8,FALSE)</f>
        <v>NY</v>
      </c>
      <c r="K1055" s="3" t="str">
        <f>VLOOKUP(B1055,Customers!A:J,7,FALSE)</f>
        <v>Liverpool</v>
      </c>
      <c r="L1055" s="3" t="str">
        <f>VLOOKUP(H1055,Staff!A:I,9,FALSE)</f>
        <v>Venita Daniel</v>
      </c>
      <c r="M1055" s="3" t="str">
        <f>VLOOKUP(G1055,Store!A:H,2,FALSE)</f>
        <v>Baldwin Bikes</v>
      </c>
      <c r="N1055" s="3" t="str">
        <f>VLOOKUP(G1055,Store!A:H,6,FALSE)</f>
        <v>Baldwin</v>
      </c>
      <c r="O1055" s="3" t="s">
        <v>16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">
        <v>1055.0</v>
      </c>
      <c r="B1056" s="1">
        <v>140.0</v>
      </c>
      <c r="C1056" s="1">
        <v>4.0</v>
      </c>
      <c r="D1056" s="4">
        <v>42959.0</v>
      </c>
      <c r="E1056" s="4">
        <v>42962.0</v>
      </c>
      <c r="F1056" s="4">
        <v>42962.0</v>
      </c>
      <c r="G1056" s="1">
        <v>2.0</v>
      </c>
      <c r="H1056" s="1">
        <v>6.0</v>
      </c>
      <c r="I1056" s="3" t="str">
        <f>VLOOKUP(B1056,Customers!A:J, 10,FALSE)</f>
        <v>Cleopatra Tate</v>
      </c>
      <c r="J1056" s="3" t="str">
        <f>VLOOKUP(B1056,Customers!A:J,8,FALSE)</f>
        <v>NY</v>
      </c>
      <c r="K1056" s="3" t="str">
        <f>VLOOKUP(B1056,Customers!A:J,7,FALSE)</f>
        <v>East Elmhurst</v>
      </c>
      <c r="L1056" s="3" t="str">
        <f>VLOOKUP(H1056,Staff!A:I,9,FALSE)</f>
        <v>Marcelene Boyer</v>
      </c>
      <c r="M1056" s="3" t="str">
        <f>VLOOKUP(G1056,Store!A:H,2,FALSE)</f>
        <v>Baldwin Bikes</v>
      </c>
      <c r="N1056" s="3" t="str">
        <f>VLOOKUP(G1056,Store!A:H,6,FALSE)</f>
        <v>Baldwin</v>
      </c>
      <c r="O1056" s="3" t="s">
        <v>16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">
        <v>1056.0</v>
      </c>
      <c r="B1057" s="1">
        <v>325.0</v>
      </c>
      <c r="C1057" s="1">
        <v>4.0</v>
      </c>
      <c r="D1057" s="4">
        <v>42959.0</v>
      </c>
      <c r="E1057" s="4">
        <v>42962.0</v>
      </c>
      <c r="F1057" s="4">
        <v>42960.0</v>
      </c>
      <c r="G1057" s="1">
        <v>2.0</v>
      </c>
      <c r="H1057" s="1">
        <v>7.0</v>
      </c>
      <c r="I1057" s="3" t="str">
        <f>VLOOKUP(B1057,Customers!A:J, 10,FALSE)</f>
        <v>Berna Moore</v>
      </c>
      <c r="J1057" s="3" t="str">
        <f>VLOOKUP(B1057,Customers!A:J,8,FALSE)</f>
        <v>NY</v>
      </c>
      <c r="K1057" s="3" t="str">
        <f>VLOOKUP(B1057,Customers!A:J,7,FALSE)</f>
        <v>Bronx</v>
      </c>
      <c r="L1057" s="3" t="str">
        <f>VLOOKUP(H1057,Staff!A:I,9,FALSE)</f>
        <v>Venita Daniel</v>
      </c>
      <c r="M1057" s="3" t="str">
        <f>VLOOKUP(G1057,Store!A:H,2,FALSE)</f>
        <v>Baldwin Bikes</v>
      </c>
      <c r="N1057" s="3" t="str">
        <f>VLOOKUP(G1057,Store!A:H,6,FALSE)</f>
        <v>Baldwin</v>
      </c>
      <c r="O1057" s="3" t="s">
        <v>16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">
        <v>1057.0</v>
      </c>
      <c r="B1058" s="1">
        <v>456.0</v>
      </c>
      <c r="C1058" s="1">
        <v>4.0</v>
      </c>
      <c r="D1058" s="4">
        <v>42959.0</v>
      </c>
      <c r="E1058" s="4">
        <v>42962.0</v>
      </c>
      <c r="F1058" s="4">
        <v>42960.0</v>
      </c>
      <c r="G1058" s="1">
        <v>2.0</v>
      </c>
      <c r="H1058" s="1">
        <v>7.0</v>
      </c>
      <c r="I1058" s="3" t="str">
        <f>VLOOKUP(B1058,Customers!A:J, 10,FALSE)</f>
        <v>Serina Hensley</v>
      </c>
      <c r="J1058" s="3" t="str">
        <f>VLOOKUP(B1058,Customers!A:J,8,FALSE)</f>
        <v>NY</v>
      </c>
      <c r="K1058" s="3" t="str">
        <f>VLOOKUP(B1058,Customers!A:J,7,FALSE)</f>
        <v>Jamaica</v>
      </c>
      <c r="L1058" s="3" t="str">
        <f>VLOOKUP(H1058,Staff!A:I,9,FALSE)</f>
        <v>Venita Daniel</v>
      </c>
      <c r="M1058" s="3" t="str">
        <f>VLOOKUP(G1058,Store!A:H,2,FALSE)</f>
        <v>Baldwin Bikes</v>
      </c>
      <c r="N1058" s="3" t="str">
        <f>VLOOKUP(G1058,Store!A:H,6,FALSE)</f>
        <v>Baldwin</v>
      </c>
      <c r="O1058" s="3" t="s">
        <v>16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">
        <v>1058.0</v>
      </c>
      <c r="B1059" s="1">
        <v>782.0</v>
      </c>
      <c r="C1059" s="1">
        <v>4.0</v>
      </c>
      <c r="D1059" s="4">
        <v>42960.0</v>
      </c>
      <c r="E1059" s="4">
        <v>42963.0</v>
      </c>
      <c r="F1059" s="4">
        <v>42961.0</v>
      </c>
      <c r="G1059" s="1">
        <v>2.0</v>
      </c>
      <c r="H1059" s="1">
        <v>6.0</v>
      </c>
      <c r="I1059" s="3" t="str">
        <f>VLOOKUP(B1059,Customers!A:J, 10,FALSE)</f>
        <v>Ricki Bullock</v>
      </c>
      <c r="J1059" s="3" t="str">
        <f>VLOOKUP(B1059,Customers!A:J,8,FALSE)</f>
        <v>NY</v>
      </c>
      <c r="K1059" s="3" t="str">
        <f>VLOOKUP(B1059,Customers!A:J,7,FALSE)</f>
        <v>Woodside</v>
      </c>
      <c r="L1059" s="3" t="str">
        <f>VLOOKUP(H1059,Staff!A:I,9,FALSE)</f>
        <v>Marcelene Boyer</v>
      </c>
      <c r="M1059" s="3" t="str">
        <f>VLOOKUP(G1059,Store!A:H,2,FALSE)</f>
        <v>Baldwin Bikes</v>
      </c>
      <c r="N1059" s="3" t="str">
        <f>VLOOKUP(G1059,Store!A:H,6,FALSE)</f>
        <v>Baldwin</v>
      </c>
      <c r="O1059" s="3" t="s">
        <v>16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">
        <v>1059.0</v>
      </c>
      <c r="B1060" s="1">
        <v>6.0</v>
      </c>
      <c r="C1060" s="1">
        <v>4.0</v>
      </c>
      <c r="D1060" s="4">
        <v>42961.0</v>
      </c>
      <c r="E1060" s="4">
        <v>42964.0</v>
      </c>
      <c r="F1060" s="4">
        <v>42964.0</v>
      </c>
      <c r="G1060" s="1">
        <v>2.0</v>
      </c>
      <c r="H1060" s="1">
        <v>7.0</v>
      </c>
      <c r="I1060" s="3" t="str">
        <f>VLOOKUP(B1060,Customers!A:J, 10,FALSE)</f>
        <v>Lyndsey Bean</v>
      </c>
      <c r="J1060" s="3" t="str">
        <f>VLOOKUP(B1060,Customers!A:J,8,FALSE)</f>
        <v>NY</v>
      </c>
      <c r="K1060" s="3" t="str">
        <f>VLOOKUP(B1060,Customers!A:J,7,FALSE)</f>
        <v>Fairport</v>
      </c>
      <c r="L1060" s="3" t="str">
        <f>VLOOKUP(H1060,Staff!A:I,9,FALSE)</f>
        <v>Venita Daniel</v>
      </c>
      <c r="M1060" s="3" t="str">
        <f>VLOOKUP(G1060,Store!A:H,2,FALSE)</f>
        <v>Baldwin Bikes</v>
      </c>
      <c r="N1060" s="3" t="str">
        <f>VLOOKUP(G1060,Store!A:H,6,FALSE)</f>
        <v>Baldwin</v>
      </c>
      <c r="O1060" s="3" t="s">
        <v>16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">
        <v>1060.0</v>
      </c>
      <c r="B1061" s="1">
        <v>182.0</v>
      </c>
      <c r="C1061" s="1">
        <v>4.0</v>
      </c>
      <c r="D1061" s="4">
        <v>42962.0</v>
      </c>
      <c r="E1061" s="4">
        <v>42965.0</v>
      </c>
      <c r="F1061" s="4">
        <v>42964.0</v>
      </c>
      <c r="G1061" s="1">
        <v>2.0</v>
      </c>
      <c r="H1061" s="1">
        <v>6.0</v>
      </c>
      <c r="I1061" s="3" t="str">
        <f>VLOOKUP(B1061,Customers!A:J, 10,FALSE)</f>
        <v>Jenniffer Bullock</v>
      </c>
      <c r="J1061" s="3" t="str">
        <f>VLOOKUP(B1061,Customers!A:J,8,FALSE)</f>
        <v>NY</v>
      </c>
      <c r="K1061" s="3" t="str">
        <f>VLOOKUP(B1061,Customers!A:J,7,FALSE)</f>
        <v>Bay Shore</v>
      </c>
      <c r="L1061" s="3" t="str">
        <f>VLOOKUP(H1061,Staff!A:I,9,FALSE)</f>
        <v>Marcelene Boyer</v>
      </c>
      <c r="M1061" s="3" t="str">
        <f>VLOOKUP(G1061,Store!A:H,2,FALSE)</f>
        <v>Baldwin Bikes</v>
      </c>
      <c r="N1061" s="3" t="str">
        <f>VLOOKUP(G1061,Store!A:H,6,FALSE)</f>
        <v>Baldwin</v>
      </c>
      <c r="O1061" s="3" t="s">
        <v>16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">
        <v>1061.0</v>
      </c>
      <c r="B1062" s="1">
        <v>655.0</v>
      </c>
      <c r="C1062" s="1">
        <v>4.0</v>
      </c>
      <c r="D1062" s="4">
        <v>42962.0</v>
      </c>
      <c r="E1062" s="4">
        <v>42965.0</v>
      </c>
      <c r="F1062" s="4">
        <v>42965.0</v>
      </c>
      <c r="G1062" s="1">
        <v>2.0</v>
      </c>
      <c r="H1062" s="1">
        <v>7.0</v>
      </c>
      <c r="I1062" s="3" t="str">
        <f>VLOOKUP(B1062,Customers!A:J, 10,FALSE)</f>
        <v>Marylyn Browning</v>
      </c>
      <c r="J1062" s="3" t="str">
        <f>VLOOKUP(B1062,Customers!A:J,8,FALSE)</f>
        <v>NY</v>
      </c>
      <c r="K1062" s="3" t="str">
        <f>VLOOKUP(B1062,Customers!A:J,7,FALSE)</f>
        <v>Scarsdale</v>
      </c>
      <c r="L1062" s="3" t="str">
        <f>VLOOKUP(H1062,Staff!A:I,9,FALSE)</f>
        <v>Venita Daniel</v>
      </c>
      <c r="M1062" s="3" t="str">
        <f>VLOOKUP(G1062,Store!A:H,2,FALSE)</f>
        <v>Baldwin Bikes</v>
      </c>
      <c r="N1062" s="3" t="str">
        <f>VLOOKUP(G1062,Store!A:H,6,FALSE)</f>
        <v>Baldwin</v>
      </c>
      <c r="O1062" s="3" t="s">
        <v>16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">
        <v>1062.0</v>
      </c>
      <c r="B1063" s="1">
        <v>1210.0</v>
      </c>
      <c r="C1063" s="1">
        <v>4.0</v>
      </c>
      <c r="D1063" s="4">
        <v>42962.0</v>
      </c>
      <c r="E1063" s="4">
        <v>42964.0</v>
      </c>
      <c r="F1063" s="4">
        <v>42965.0</v>
      </c>
      <c r="G1063" s="1">
        <v>2.0</v>
      </c>
      <c r="H1063" s="1">
        <v>6.0</v>
      </c>
      <c r="I1063" s="3" t="str">
        <f>VLOOKUP(B1063,Customers!A:J, 10,FALSE)</f>
        <v>Shawnna Frank</v>
      </c>
      <c r="J1063" s="3" t="str">
        <f>VLOOKUP(B1063,Customers!A:J,8,FALSE)</f>
        <v>NY</v>
      </c>
      <c r="K1063" s="3" t="str">
        <f>VLOOKUP(B1063,Customers!A:J,7,FALSE)</f>
        <v>Woodside</v>
      </c>
      <c r="L1063" s="3" t="str">
        <f>VLOOKUP(H1063,Staff!A:I,9,FALSE)</f>
        <v>Marcelene Boyer</v>
      </c>
      <c r="M1063" s="3" t="str">
        <f>VLOOKUP(G1063,Store!A:H,2,FALSE)</f>
        <v>Baldwin Bikes</v>
      </c>
      <c r="N1063" s="3" t="str">
        <f>VLOOKUP(G1063,Store!A:H,6,FALSE)</f>
        <v>Baldwin</v>
      </c>
      <c r="O1063" s="3" t="s">
        <v>16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">
        <v>1063.0</v>
      </c>
      <c r="B1064" s="1">
        <v>198.0</v>
      </c>
      <c r="C1064" s="1">
        <v>4.0</v>
      </c>
      <c r="D1064" s="4">
        <v>42963.0</v>
      </c>
      <c r="E1064" s="4">
        <v>42966.0</v>
      </c>
      <c r="F1064" s="4">
        <v>42966.0</v>
      </c>
      <c r="G1064" s="1">
        <v>3.0</v>
      </c>
      <c r="H1064" s="1">
        <v>8.0</v>
      </c>
      <c r="I1064" s="3" t="str">
        <f>VLOOKUP(B1064,Customers!A:J, 10,FALSE)</f>
        <v>Luis Tyler</v>
      </c>
      <c r="J1064" s="3" t="str">
        <f>VLOOKUP(B1064,Customers!A:J,8,FALSE)</f>
        <v>TX</v>
      </c>
      <c r="K1064" s="3" t="str">
        <f>VLOOKUP(B1064,Customers!A:J,7,FALSE)</f>
        <v>Amarillo</v>
      </c>
      <c r="L1064" s="3" t="str">
        <f>VLOOKUP(H1064,Staff!A:I,9,FALSE)</f>
        <v>Kali Vargas</v>
      </c>
      <c r="M1064" s="3" t="str">
        <f>VLOOKUP(G1064,Store!A:H,2,FALSE)</f>
        <v>Rowlett Bikes</v>
      </c>
      <c r="N1064" s="3" t="str">
        <f>VLOOKUP(G1064,Store!A:H,6,FALSE)</f>
        <v>Rowlett</v>
      </c>
      <c r="O1064" s="3" t="s">
        <v>17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">
        <v>1064.0</v>
      </c>
      <c r="B1065" s="1">
        <v>898.0</v>
      </c>
      <c r="C1065" s="1">
        <v>4.0</v>
      </c>
      <c r="D1065" s="4">
        <v>42963.0</v>
      </c>
      <c r="E1065" s="4">
        <v>42965.0</v>
      </c>
      <c r="F1065" s="4">
        <v>42966.0</v>
      </c>
      <c r="G1065" s="1">
        <v>3.0</v>
      </c>
      <c r="H1065" s="1">
        <v>9.0</v>
      </c>
      <c r="I1065" s="3" t="str">
        <f>VLOOKUP(B1065,Customers!A:J, 10,FALSE)</f>
        <v>Crysta Velez</v>
      </c>
      <c r="J1065" s="3" t="str">
        <f>VLOOKUP(B1065,Customers!A:J,8,FALSE)</f>
        <v>TX</v>
      </c>
      <c r="K1065" s="3" t="str">
        <f>VLOOKUP(B1065,Customers!A:J,7,FALSE)</f>
        <v>Houston</v>
      </c>
      <c r="L1065" s="3" t="str">
        <f>VLOOKUP(H1065,Staff!A:I,9,FALSE)</f>
        <v>Layla Terrell</v>
      </c>
      <c r="M1065" s="3" t="str">
        <f>VLOOKUP(G1065,Store!A:H,2,FALSE)</f>
        <v>Rowlett Bikes</v>
      </c>
      <c r="N1065" s="3" t="str">
        <f>VLOOKUP(G1065,Store!A:H,6,FALSE)</f>
        <v>Rowlett</v>
      </c>
      <c r="O1065" s="3" t="s">
        <v>17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">
        <v>1065.0</v>
      </c>
      <c r="B1066" s="1">
        <v>25.0</v>
      </c>
      <c r="C1066" s="1">
        <v>4.0</v>
      </c>
      <c r="D1066" s="4">
        <v>42964.0</v>
      </c>
      <c r="E1066" s="4">
        <v>42966.0</v>
      </c>
      <c r="F1066" s="4">
        <v>42966.0</v>
      </c>
      <c r="G1066" s="1">
        <v>2.0</v>
      </c>
      <c r="H1066" s="1">
        <v>7.0</v>
      </c>
      <c r="I1066" s="3" t="str">
        <f>VLOOKUP(B1066,Customers!A:J, 10,FALSE)</f>
        <v>Regenia Vaughan</v>
      </c>
      <c r="J1066" s="3" t="str">
        <f>VLOOKUP(B1066,Customers!A:J,8,FALSE)</f>
        <v>NY</v>
      </c>
      <c r="K1066" s="3" t="str">
        <f>VLOOKUP(B1066,Customers!A:J,7,FALSE)</f>
        <v>Mahopac</v>
      </c>
      <c r="L1066" s="3" t="str">
        <f>VLOOKUP(H1066,Staff!A:I,9,FALSE)</f>
        <v>Venita Daniel</v>
      </c>
      <c r="M1066" s="3" t="str">
        <f>VLOOKUP(G1066,Store!A:H,2,FALSE)</f>
        <v>Baldwin Bikes</v>
      </c>
      <c r="N1066" s="3" t="str">
        <f>VLOOKUP(G1066,Store!A:H,6,FALSE)</f>
        <v>Baldwin</v>
      </c>
      <c r="O1066" s="3" t="s">
        <v>16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">
        <v>1066.0</v>
      </c>
      <c r="B1067" s="1">
        <v>106.0</v>
      </c>
      <c r="C1067" s="1">
        <v>4.0</v>
      </c>
      <c r="D1067" s="4">
        <v>42964.0</v>
      </c>
      <c r="E1067" s="4">
        <v>42967.0</v>
      </c>
      <c r="F1067" s="4">
        <v>42966.0</v>
      </c>
      <c r="G1067" s="1">
        <v>2.0</v>
      </c>
      <c r="H1067" s="1">
        <v>7.0</v>
      </c>
      <c r="I1067" s="3" t="str">
        <f>VLOOKUP(B1067,Customers!A:J, 10,FALSE)</f>
        <v>Raul Melendez</v>
      </c>
      <c r="J1067" s="3" t="str">
        <f>VLOOKUP(B1067,Customers!A:J,8,FALSE)</f>
        <v>NY</v>
      </c>
      <c r="K1067" s="3" t="str">
        <f>VLOOKUP(B1067,Customers!A:J,7,FALSE)</f>
        <v>Elmhurst</v>
      </c>
      <c r="L1067" s="3" t="str">
        <f>VLOOKUP(H1067,Staff!A:I,9,FALSE)</f>
        <v>Venita Daniel</v>
      </c>
      <c r="M1067" s="3" t="str">
        <f>VLOOKUP(G1067,Store!A:H,2,FALSE)</f>
        <v>Baldwin Bikes</v>
      </c>
      <c r="N1067" s="3" t="str">
        <f>VLOOKUP(G1067,Store!A:H,6,FALSE)</f>
        <v>Baldwin</v>
      </c>
      <c r="O1067" s="3" t="s">
        <v>16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">
        <v>1067.0</v>
      </c>
      <c r="B1068" s="1">
        <v>225.0</v>
      </c>
      <c r="C1068" s="1">
        <v>4.0</v>
      </c>
      <c r="D1068" s="4">
        <v>42964.0</v>
      </c>
      <c r="E1068" s="4">
        <v>42966.0</v>
      </c>
      <c r="F1068" s="4">
        <v>42966.0</v>
      </c>
      <c r="G1068" s="1">
        <v>2.0</v>
      </c>
      <c r="H1068" s="1">
        <v>7.0</v>
      </c>
      <c r="I1068" s="3" t="str">
        <f>VLOOKUP(B1068,Customers!A:J, 10,FALSE)</f>
        <v>Barbera Riggs</v>
      </c>
      <c r="J1068" s="3" t="str">
        <f>VLOOKUP(B1068,Customers!A:J,8,FALSE)</f>
        <v>NY</v>
      </c>
      <c r="K1068" s="3" t="str">
        <f>VLOOKUP(B1068,Customers!A:J,7,FALSE)</f>
        <v>Plainview</v>
      </c>
      <c r="L1068" s="3" t="str">
        <f>VLOOKUP(H1068,Staff!A:I,9,FALSE)</f>
        <v>Venita Daniel</v>
      </c>
      <c r="M1068" s="3" t="str">
        <f>VLOOKUP(G1068,Store!A:H,2,FALSE)</f>
        <v>Baldwin Bikes</v>
      </c>
      <c r="N1068" s="3" t="str">
        <f>VLOOKUP(G1068,Store!A:H,6,FALSE)</f>
        <v>Baldwin</v>
      </c>
      <c r="O1068" s="3" t="s">
        <v>16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">
        <v>1068.0</v>
      </c>
      <c r="B1069" s="1">
        <v>453.0</v>
      </c>
      <c r="C1069" s="1">
        <v>4.0</v>
      </c>
      <c r="D1069" s="4">
        <v>42964.0</v>
      </c>
      <c r="E1069" s="4">
        <v>42967.0</v>
      </c>
      <c r="F1069" s="4">
        <v>42966.0</v>
      </c>
      <c r="G1069" s="1">
        <v>2.0</v>
      </c>
      <c r="H1069" s="1">
        <v>7.0</v>
      </c>
      <c r="I1069" s="3" t="str">
        <f>VLOOKUP(B1069,Customers!A:J, 10,FALSE)</f>
        <v>Courtney Wyatt</v>
      </c>
      <c r="J1069" s="3" t="str">
        <f>VLOOKUP(B1069,Customers!A:J,8,FALSE)</f>
        <v>NY</v>
      </c>
      <c r="K1069" s="3" t="str">
        <f>VLOOKUP(B1069,Customers!A:J,7,FALSE)</f>
        <v>Garden City</v>
      </c>
      <c r="L1069" s="3" t="str">
        <f>VLOOKUP(H1069,Staff!A:I,9,FALSE)</f>
        <v>Venita Daniel</v>
      </c>
      <c r="M1069" s="3" t="str">
        <f>VLOOKUP(G1069,Store!A:H,2,FALSE)</f>
        <v>Baldwin Bikes</v>
      </c>
      <c r="N1069" s="3" t="str">
        <f>VLOOKUP(G1069,Store!A:H,6,FALSE)</f>
        <v>Baldwin</v>
      </c>
      <c r="O1069" s="3" t="s">
        <v>16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">
        <v>1069.0</v>
      </c>
      <c r="B1070" s="1">
        <v>493.0</v>
      </c>
      <c r="C1070" s="1">
        <v>4.0</v>
      </c>
      <c r="D1070" s="4">
        <v>42964.0</v>
      </c>
      <c r="E1070" s="4">
        <v>42966.0</v>
      </c>
      <c r="F1070" s="4">
        <v>42965.0</v>
      </c>
      <c r="G1070" s="1">
        <v>2.0</v>
      </c>
      <c r="H1070" s="1">
        <v>6.0</v>
      </c>
      <c r="I1070" s="3" t="str">
        <f>VLOOKUP(B1070,Customers!A:J, 10,FALSE)</f>
        <v>Lise Alvarado</v>
      </c>
      <c r="J1070" s="3" t="str">
        <f>VLOOKUP(B1070,Customers!A:J,8,FALSE)</f>
        <v>NY</v>
      </c>
      <c r="K1070" s="3" t="str">
        <f>VLOOKUP(B1070,Customers!A:J,7,FALSE)</f>
        <v>Hamburg</v>
      </c>
      <c r="L1070" s="3" t="str">
        <f>VLOOKUP(H1070,Staff!A:I,9,FALSE)</f>
        <v>Marcelene Boyer</v>
      </c>
      <c r="M1070" s="3" t="str">
        <f>VLOOKUP(G1070,Store!A:H,2,FALSE)</f>
        <v>Baldwin Bikes</v>
      </c>
      <c r="N1070" s="3" t="str">
        <f>VLOOKUP(G1070,Store!A:H,6,FALSE)</f>
        <v>Baldwin</v>
      </c>
      <c r="O1070" s="3" t="s">
        <v>16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">
        <v>1070.0</v>
      </c>
      <c r="B1071" s="1">
        <v>596.0</v>
      </c>
      <c r="C1071" s="1">
        <v>4.0</v>
      </c>
      <c r="D1071" s="4">
        <v>42964.0</v>
      </c>
      <c r="E1071" s="4">
        <v>42967.0</v>
      </c>
      <c r="F1071" s="4">
        <v>42965.0</v>
      </c>
      <c r="G1071" s="1">
        <v>2.0</v>
      </c>
      <c r="H1071" s="1">
        <v>7.0</v>
      </c>
      <c r="I1071" s="3" t="str">
        <f>VLOOKUP(B1071,Customers!A:J, 10,FALSE)</f>
        <v>Emelda Dickerson</v>
      </c>
      <c r="J1071" s="3" t="str">
        <f>VLOOKUP(B1071,Customers!A:J,8,FALSE)</f>
        <v>NY</v>
      </c>
      <c r="K1071" s="3" t="str">
        <f>VLOOKUP(B1071,Customers!A:J,7,FALSE)</f>
        <v>Hamburg</v>
      </c>
      <c r="L1071" s="3" t="str">
        <f>VLOOKUP(H1071,Staff!A:I,9,FALSE)</f>
        <v>Venita Daniel</v>
      </c>
      <c r="M1071" s="3" t="str">
        <f>VLOOKUP(G1071,Store!A:H,2,FALSE)</f>
        <v>Baldwin Bikes</v>
      </c>
      <c r="N1071" s="3" t="str">
        <f>VLOOKUP(G1071,Store!A:H,6,FALSE)</f>
        <v>Baldwin</v>
      </c>
      <c r="O1071" s="3" t="s">
        <v>16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">
        <v>1071.0</v>
      </c>
      <c r="B1072" s="1">
        <v>602.0</v>
      </c>
      <c r="C1072" s="1">
        <v>4.0</v>
      </c>
      <c r="D1072" s="4">
        <v>42964.0</v>
      </c>
      <c r="E1072" s="4">
        <v>42967.0</v>
      </c>
      <c r="F1072" s="4">
        <v>42965.0</v>
      </c>
      <c r="G1072" s="1">
        <v>3.0</v>
      </c>
      <c r="H1072" s="1">
        <v>8.0</v>
      </c>
      <c r="I1072" s="3" t="str">
        <f>VLOOKUP(B1072,Customers!A:J, 10,FALSE)</f>
        <v>Delaine Estes</v>
      </c>
      <c r="J1072" s="3" t="str">
        <f>VLOOKUP(B1072,Customers!A:J,8,FALSE)</f>
        <v>TX</v>
      </c>
      <c r="K1072" s="3" t="str">
        <f>VLOOKUP(B1072,Customers!A:J,7,FALSE)</f>
        <v>Amarillo</v>
      </c>
      <c r="L1072" s="3" t="str">
        <f>VLOOKUP(H1072,Staff!A:I,9,FALSE)</f>
        <v>Kali Vargas</v>
      </c>
      <c r="M1072" s="3" t="str">
        <f>VLOOKUP(G1072,Store!A:H,2,FALSE)</f>
        <v>Rowlett Bikes</v>
      </c>
      <c r="N1072" s="3" t="str">
        <f>VLOOKUP(G1072,Store!A:H,6,FALSE)</f>
        <v>Rowlett</v>
      </c>
      <c r="O1072" s="3" t="s">
        <v>17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">
        <v>1072.0</v>
      </c>
      <c r="B1073" s="1">
        <v>47.0</v>
      </c>
      <c r="C1073" s="1">
        <v>3.0</v>
      </c>
      <c r="D1073" s="4">
        <v>42965.0</v>
      </c>
      <c r="E1073" s="4">
        <v>42965.0</v>
      </c>
      <c r="F1073" s="1" t="s">
        <v>18</v>
      </c>
      <c r="G1073" s="1">
        <v>1.0</v>
      </c>
      <c r="H1073" s="1">
        <v>3.0</v>
      </c>
      <c r="I1073" s="3" t="str">
        <f>VLOOKUP(B1073,Customers!A:J, 10,FALSE)</f>
        <v>Bridgette Guerra</v>
      </c>
      <c r="J1073" s="3" t="str">
        <f>VLOOKUP(B1073,Customers!A:J,8,FALSE)</f>
        <v>CA</v>
      </c>
      <c r="K1073" s="3" t="str">
        <f>VLOOKUP(B1073,Customers!A:J,7,FALSE)</f>
        <v>San Lorenzo</v>
      </c>
      <c r="L1073" s="3" t="str">
        <f>VLOOKUP(H1073,Staff!A:I,9,FALSE)</f>
        <v>Genna Serrano</v>
      </c>
      <c r="M1073" s="3" t="str">
        <f>VLOOKUP(G1073,Store!A:H,2,FALSE)</f>
        <v>Santa Cruz Bikes</v>
      </c>
      <c r="N1073" s="3" t="str">
        <f>VLOOKUP(G1073,Store!A:H,6,FALSE)</f>
        <v>Santa Cruz</v>
      </c>
      <c r="O1073" s="3" t="s">
        <v>15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">
        <v>1073.0</v>
      </c>
      <c r="B1074" s="1">
        <v>911.0</v>
      </c>
      <c r="C1074" s="1">
        <v>4.0</v>
      </c>
      <c r="D1074" s="4">
        <v>42965.0</v>
      </c>
      <c r="E1074" s="4">
        <v>42966.0</v>
      </c>
      <c r="F1074" s="4">
        <v>42968.0</v>
      </c>
      <c r="G1074" s="1">
        <v>2.0</v>
      </c>
      <c r="H1074" s="1">
        <v>7.0</v>
      </c>
      <c r="I1074" s="3" t="str">
        <f>VLOOKUP(B1074,Customers!A:J, 10,FALSE)</f>
        <v>Nikita Roy</v>
      </c>
      <c r="J1074" s="3" t="str">
        <f>VLOOKUP(B1074,Customers!A:J,8,FALSE)</f>
        <v>NY</v>
      </c>
      <c r="K1074" s="3" t="str">
        <f>VLOOKUP(B1074,Customers!A:J,7,FALSE)</f>
        <v>Pittsford</v>
      </c>
      <c r="L1074" s="3" t="str">
        <f>VLOOKUP(H1074,Staff!A:I,9,FALSE)</f>
        <v>Venita Daniel</v>
      </c>
      <c r="M1074" s="3" t="str">
        <f>VLOOKUP(G1074,Store!A:H,2,FALSE)</f>
        <v>Baldwin Bikes</v>
      </c>
      <c r="N1074" s="3" t="str">
        <f>VLOOKUP(G1074,Store!A:H,6,FALSE)</f>
        <v>Baldwin</v>
      </c>
      <c r="O1074" s="3" t="s">
        <v>16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">
        <v>1074.0</v>
      </c>
      <c r="B1075" s="1">
        <v>11.0</v>
      </c>
      <c r="C1075" s="1">
        <v>3.0</v>
      </c>
      <c r="D1075" s="4">
        <v>42966.0</v>
      </c>
      <c r="E1075" s="4">
        <v>42966.0</v>
      </c>
      <c r="F1075" s="1" t="s">
        <v>18</v>
      </c>
      <c r="G1075" s="1">
        <v>2.0</v>
      </c>
      <c r="H1075" s="1">
        <v>6.0</v>
      </c>
      <c r="I1075" s="3" t="str">
        <f>VLOOKUP(B1075,Customers!A:J, 10,FALSE)</f>
        <v>Deshawn Mendoza</v>
      </c>
      <c r="J1075" s="3" t="str">
        <f>VLOOKUP(B1075,Customers!A:J,8,FALSE)</f>
        <v>NY</v>
      </c>
      <c r="K1075" s="3" t="str">
        <f>VLOOKUP(B1075,Customers!A:J,7,FALSE)</f>
        <v>Monsey</v>
      </c>
      <c r="L1075" s="3" t="str">
        <f>VLOOKUP(H1075,Staff!A:I,9,FALSE)</f>
        <v>Marcelene Boyer</v>
      </c>
      <c r="M1075" s="3" t="str">
        <f>VLOOKUP(G1075,Store!A:H,2,FALSE)</f>
        <v>Baldwin Bikes</v>
      </c>
      <c r="N1075" s="3" t="str">
        <f>VLOOKUP(G1075,Store!A:H,6,FALSE)</f>
        <v>Baldwin</v>
      </c>
      <c r="O1075" s="3" t="s">
        <v>16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">
        <v>1075.0</v>
      </c>
      <c r="B1076" s="1">
        <v>1003.0</v>
      </c>
      <c r="C1076" s="1">
        <v>4.0</v>
      </c>
      <c r="D1076" s="4">
        <v>42966.0</v>
      </c>
      <c r="E1076" s="4">
        <v>42968.0</v>
      </c>
      <c r="F1076" s="4">
        <v>42969.0</v>
      </c>
      <c r="G1076" s="1">
        <v>1.0</v>
      </c>
      <c r="H1076" s="1">
        <v>3.0</v>
      </c>
      <c r="I1076" s="3" t="str">
        <f>VLOOKUP(B1076,Customers!A:J, 10,FALSE)</f>
        <v>Sharell Ross</v>
      </c>
      <c r="J1076" s="3" t="str">
        <f>VLOOKUP(B1076,Customers!A:J,8,FALSE)</f>
        <v>CA</v>
      </c>
      <c r="K1076" s="3" t="str">
        <f>VLOOKUP(B1076,Customers!A:J,7,FALSE)</f>
        <v>Vista</v>
      </c>
      <c r="L1076" s="3" t="str">
        <f>VLOOKUP(H1076,Staff!A:I,9,FALSE)</f>
        <v>Genna Serrano</v>
      </c>
      <c r="M1076" s="3" t="str">
        <f>VLOOKUP(G1076,Store!A:H,2,FALSE)</f>
        <v>Santa Cruz Bikes</v>
      </c>
      <c r="N1076" s="3" t="str">
        <f>VLOOKUP(G1076,Store!A:H,6,FALSE)</f>
        <v>Santa Cruz</v>
      </c>
      <c r="O1076" s="3" t="s">
        <v>15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">
        <v>1076.0</v>
      </c>
      <c r="B1077" s="1">
        <v>42.0</v>
      </c>
      <c r="C1077" s="1">
        <v>4.0</v>
      </c>
      <c r="D1077" s="4">
        <v>42966.0</v>
      </c>
      <c r="E1077" s="4">
        <v>42969.0</v>
      </c>
      <c r="F1077" s="4">
        <v>42969.0</v>
      </c>
      <c r="G1077" s="1">
        <v>2.0</v>
      </c>
      <c r="H1077" s="1">
        <v>6.0</v>
      </c>
      <c r="I1077" s="3" t="str">
        <f>VLOOKUP(B1077,Customers!A:J, 10,FALSE)</f>
        <v>Tangela Quinn</v>
      </c>
      <c r="J1077" s="3" t="str">
        <f>VLOOKUP(B1077,Customers!A:J,8,FALSE)</f>
        <v>NY</v>
      </c>
      <c r="K1077" s="3" t="str">
        <f>VLOOKUP(B1077,Customers!A:J,7,FALSE)</f>
        <v>Richmond Hill</v>
      </c>
      <c r="L1077" s="3" t="str">
        <f>VLOOKUP(H1077,Staff!A:I,9,FALSE)</f>
        <v>Marcelene Boyer</v>
      </c>
      <c r="M1077" s="3" t="str">
        <f>VLOOKUP(G1077,Store!A:H,2,FALSE)</f>
        <v>Baldwin Bikes</v>
      </c>
      <c r="N1077" s="3" t="str">
        <f>VLOOKUP(G1077,Store!A:H,6,FALSE)</f>
        <v>Baldwin</v>
      </c>
      <c r="O1077" s="3" t="s">
        <v>16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">
        <v>1077.0</v>
      </c>
      <c r="B1078" s="1">
        <v>412.0</v>
      </c>
      <c r="C1078" s="1">
        <v>4.0</v>
      </c>
      <c r="D1078" s="4">
        <v>42966.0</v>
      </c>
      <c r="E1078" s="4">
        <v>42967.0</v>
      </c>
      <c r="F1078" s="4">
        <v>42968.0</v>
      </c>
      <c r="G1078" s="1">
        <v>2.0</v>
      </c>
      <c r="H1078" s="1">
        <v>6.0</v>
      </c>
      <c r="I1078" s="3" t="str">
        <f>VLOOKUP(B1078,Customers!A:J, 10,FALSE)</f>
        <v>Dexter Roberts</v>
      </c>
      <c r="J1078" s="3" t="str">
        <f>VLOOKUP(B1078,Customers!A:J,8,FALSE)</f>
        <v>NY</v>
      </c>
      <c r="K1078" s="3" t="str">
        <f>VLOOKUP(B1078,Customers!A:J,7,FALSE)</f>
        <v>Sunnyside</v>
      </c>
      <c r="L1078" s="3" t="str">
        <f>VLOOKUP(H1078,Staff!A:I,9,FALSE)</f>
        <v>Marcelene Boyer</v>
      </c>
      <c r="M1078" s="3" t="str">
        <f>VLOOKUP(G1078,Store!A:H,2,FALSE)</f>
        <v>Baldwin Bikes</v>
      </c>
      <c r="N1078" s="3" t="str">
        <f>VLOOKUP(G1078,Store!A:H,6,FALSE)</f>
        <v>Baldwin</v>
      </c>
      <c r="O1078" s="3" t="s">
        <v>16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">
        <v>1078.0</v>
      </c>
      <c r="B1079" s="1">
        <v>793.0</v>
      </c>
      <c r="C1079" s="1">
        <v>4.0</v>
      </c>
      <c r="D1079" s="4">
        <v>42966.0</v>
      </c>
      <c r="E1079" s="4">
        <v>42968.0</v>
      </c>
      <c r="F1079" s="4">
        <v>42967.0</v>
      </c>
      <c r="G1079" s="1">
        <v>2.0</v>
      </c>
      <c r="H1079" s="1">
        <v>6.0</v>
      </c>
      <c r="I1079" s="3" t="str">
        <f>VLOOKUP(B1079,Customers!A:J, 10,FALSE)</f>
        <v>Chantay Maynard</v>
      </c>
      <c r="J1079" s="3" t="str">
        <f>VLOOKUP(B1079,Customers!A:J,8,FALSE)</f>
        <v>NY</v>
      </c>
      <c r="K1079" s="3" t="str">
        <f>VLOOKUP(B1079,Customers!A:J,7,FALSE)</f>
        <v>Elmhurst</v>
      </c>
      <c r="L1079" s="3" t="str">
        <f>VLOOKUP(H1079,Staff!A:I,9,FALSE)</f>
        <v>Marcelene Boyer</v>
      </c>
      <c r="M1079" s="3" t="str">
        <f>VLOOKUP(G1079,Store!A:H,2,FALSE)</f>
        <v>Baldwin Bikes</v>
      </c>
      <c r="N1079" s="3" t="str">
        <f>VLOOKUP(G1079,Store!A:H,6,FALSE)</f>
        <v>Baldwin</v>
      </c>
      <c r="O1079" s="3" t="s">
        <v>16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">
        <v>1079.0</v>
      </c>
      <c r="B1080" s="1">
        <v>812.0</v>
      </c>
      <c r="C1080" s="1">
        <v>4.0</v>
      </c>
      <c r="D1080" s="4">
        <v>42966.0</v>
      </c>
      <c r="E1080" s="4">
        <v>42967.0</v>
      </c>
      <c r="F1080" s="4">
        <v>42967.0</v>
      </c>
      <c r="G1080" s="1">
        <v>2.0</v>
      </c>
      <c r="H1080" s="1">
        <v>7.0</v>
      </c>
      <c r="I1080" s="3" t="str">
        <f>VLOOKUP(B1080,Customers!A:J, 10,FALSE)</f>
        <v>Martha Burgess</v>
      </c>
      <c r="J1080" s="3" t="str">
        <f>VLOOKUP(B1080,Customers!A:J,8,FALSE)</f>
        <v>NY</v>
      </c>
      <c r="K1080" s="3" t="str">
        <f>VLOOKUP(B1080,Customers!A:J,7,FALSE)</f>
        <v>Woodhaven</v>
      </c>
      <c r="L1080" s="3" t="str">
        <f>VLOOKUP(H1080,Staff!A:I,9,FALSE)</f>
        <v>Venita Daniel</v>
      </c>
      <c r="M1080" s="3" t="str">
        <f>VLOOKUP(G1080,Store!A:H,2,FALSE)</f>
        <v>Baldwin Bikes</v>
      </c>
      <c r="N1080" s="3" t="str">
        <f>VLOOKUP(G1080,Store!A:H,6,FALSE)</f>
        <v>Baldwin</v>
      </c>
      <c r="O1080" s="3" t="s">
        <v>16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">
        <v>1080.0</v>
      </c>
      <c r="B1081" s="1">
        <v>1086.0</v>
      </c>
      <c r="C1081" s="1">
        <v>4.0</v>
      </c>
      <c r="D1081" s="4">
        <v>42966.0</v>
      </c>
      <c r="E1081" s="4">
        <v>42967.0</v>
      </c>
      <c r="F1081" s="4">
        <v>42967.0</v>
      </c>
      <c r="G1081" s="1">
        <v>2.0</v>
      </c>
      <c r="H1081" s="1">
        <v>7.0</v>
      </c>
      <c r="I1081" s="3" t="str">
        <f>VLOOKUP(B1081,Customers!A:J, 10,FALSE)</f>
        <v>Cori Schwartz</v>
      </c>
      <c r="J1081" s="3" t="str">
        <f>VLOOKUP(B1081,Customers!A:J,8,FALSE)</f>
        <v>NY</v>
      </c>
      <c r="K1081" s="3" t="str">
        <f>VLOOKUP(B1081,Customers!A:J,7,FALSE)</f>
        <v>Jamaica</v>
      </c>
      <c r="L1081" s="3" t="str">
        <f>VLOOKUP(H1081,Staff!A:I,9,FALSE)</f>
        <v>Venita Daniel</v>
      </c>
      <c r="M1081" s="3" t="str">
        <f>VLOOKUP(G1081,Store!A:H,2,FALSE)</f>
        <v>Baldwin Bikes</v>
      </c>
      <c r="N1081" s="3" t="str">
        <f>VLOOKUP(G1081,Store!A:H,6,FALSE)</f>
        <v>Baldwin</v>
      </c>
      <c r="O1081" s="3" t="s">
        <v>16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">
        <v>1081.0</v>
      </c>
      <c r="B1082" s="1">
        <v>1106.0</v>
      </c>
      <c r="C1082" s="1">
        <v>4.0</v>
      </c>
      <c r="D1082" s="4">
        <v>42966.0</v>
      </c>
      <c r="E1082" s="4">
        <v>42969.0</v>
      </c>
      <c r="F1082" s="4">
        <v>42969.0</v>
      </c>
      <c r="G1082" s="1">
        <v>2.0</v>
      </c>
      <c r="H1082" s="1">
        <v>6.0</v>
      </c>
      <c r="I1082" s="3" t="str">
        <f>VLOOKUP(B1082,Customers!A:J, 10,FALSE)</f>
        <v>Jerri Henry</v>
      </c>
      <c r="J1082" s="3" t="str">
        <f>VLOOKUP(B1082,Customers!A:J,8,FALSE)</f>
        <v>NY</v>
      </c>
      <c r="K1082" s="3" t="str">
        <f>VLOOKUP(B1082,Customers!A:J,7,FALSE)</f>
        <v>Spring Valley</v>
      </c>
      <c r="L1082" s="3" t="str">
        <f>VLOOKUP(H1082,Staff!A:I,9,FALSE)</f>
        <v>Marcelene Boyer</v>
      </c>
      <c r="M1082" s="3" t="str">
        <f>VLOOKUP(G1082,Store!A:H,2,FALSE)</f>
        <v>Baldwin Bikes</v>
      </c>
      <c r="N1082" s="3" t="str">
        <f>VLOOKUP(G1082,Store!A:H,6,FALSE)</f>
        <v>Baldwin</v>
      </c>
      <c r="O1082" s="3" t="s">
        <v>16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">
        <v>1082.0</v>
      </c>
      <c r="B1083" s="1">
        <v>1327.0</v>
      </c>
      <c r="C1083" s="1">
        <v>4.0</v>
      </c>
      <c r="D1083" s="4">
        <v>42967.0</v>
      </c>
      <c r="E1083" s="4">
        <v>42969.0</v>
      </c>
      <c r="F1083" s="4">
        <v>42968.0</v>
      </c>
      <c r="G1083" s="1">
        <v>2.0</v>
      </c>
      <c r="H1083" s="1">
        <v>6.0</v>
      </c>
      <c r="I1083" s="3" t="str">
        <f>VLOOKUP(B1083,Customers!A:J, 10,FALSE)</f>
        <v>Consuela Romero</v>
      </c>
      <c r="J1083" s="3" t="str">
        <f>VLOOKUP(B1083,Customers!A:J,8,FALSE)</f>
        <v>NY</v>
      </c>
      <c r="K1083" s="3" t="str">
        <f>VLOOKUP(B1083,Customers!A:J,7,FALSE)</f>
        <v>Monroe</v>
      </c>
      <c r="L1083" s="3" t="str">
        <f>VLOOKUP(H1083,Staff!A:I,9,FALSE)</f>
        <v>Marcelene Boyer</v>
      </c>
      <c r="M1083" s="3" t="str">
        <f>VLOOKUP(G1083,Store!A:H,2,FALSE)</f>
        <v>Baldwin Bikes</v>
      </c>
      <c r="N1083" s="3" t="str">
        <f>VLOOKUP(G1083,Store!A:H,6,FALSE)</f>
        <v>Baldwin</v>
      </c>
      <c r="O1083" s="3" t="s">
        <v>16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">
        <v>1083.0</v>
      </c>
      <c r="B1084" s="1">
        <v>1372.0</v>
      </c>
      <c r="C1084" s="1">
        <v>4.0</v>
      </c>
      <c r="D1084" s="4">
        <v>42967.0</v>
      </c>
      <c r="E1084" s="4">
        <v>42970.0</v>
      </c>
      <c r="F1084" s="4">
        <v>42970.0</v>
      </c>
      <c r="G1084" s="1">
        <v>2.0</v>
      </c>
      <c r="H1084" s="1">
        <v>6.0</v>
      </c>
      <c r="I1084" s="3" t="str">
        <f>VLOOKUP(B1084,Customers!A:J, 10,FALSE)</f>
        <v>Renna Williams</v>
      </c>
      <c r="J1084" s="3" t="str">
        <f>VLOOKUP(B1084,Customers!A:J,8,FALSE)</f>
        <v>NY</v>
      </c>
      <c r="K1084" s="3" t="str">
        <f>VLOOKUP(B1084,Customers!A:J,7,FALSE)</f>
        <v>South Ozone Park</v>
      </c>
      <c r="L1084" s="3" t="str">
        <f>VLOOKUP(H1084,Staff!A:I,9,FALSE)</f>
        <v>Marcelene Boyer</v>
      </c>
      <c r="M1084" s="3" t="str">
        <f>VLOOKUP(G1084,Store!A:H,2,FALSE)</f>
        <v>Baldwin Bikes</v>
      </c>
      <c r="N1084" s="3" t="str">
        <f>VLOOKUP(G1084,Store!A:H,6,FALSE)</f>
        <v>Baldwin</v>
      </c>
      <c r="O1084" s="3" t="s">
        <v>16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">
        <v>1084.0</v>
      </c>
      <c r="B1085" s="1">
        <v>2.0</v>
      </c>
      <c r="C1085" s="1">
        <v>4.0</v>
      </c>
      <c r="D1085" s="4">
        <v>42968.0</v>
      </c>
      <c r="E1085" s="4">
        <v>42971.0</v>
      </c>
      <c r="F1085" s="4">
        <v>42970.0</v>
      </c>
      <c r="G1085" s="1">
        <v>1.0</v>
      </c>
      <c r="H1085" s="1">
        <v>2.0</v>
      </c>
      <c r="I1085" s="3" t="str">
        <f>VLOOKUP(B1085,Customers!A:J, 10,FALSE)</f>
        <v>Kasha Todd</v>
      </c>
      <c r="J1085" s="3" t="str">
        <f>VLOOKUP(B1085,Customers!A:J,8,FALSE)</f>
        <v>CA</v>
      </c>
      <c r="K1085" s="3" t="str">
        <f>VLOOKUP(B1085,Customers!A:J,7,FALSE)</f>
        <v>Campbell</v>
      </c>
      <c r="L1085" s="3" t="str">
        <f>VLOOKUP(H1085,Staff!A:I,9,FALSE)</f>
        <v>Mireya Copeland</v>
      </c>
      <c r="M1085" s="3" t="str">
        <f>VLOOKUP(G1085,Store!A:H,2,FALSE)</f>
        <v>Santa Cruz Bikes</v>
      </c>
      <c r="N1085" s="3" t="str">
        <f>VLOOKUP(G1085,Store!A:H,6,FALSE)</f>
        <v>Santa Cruz</v>
      </c>
      <c r="O1085" s="3" t="s">
        <v>15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">
        <v>1085.0</v>
      </c>
      <c r="B1086" s="1">
        <v>305.0</v>
      </c>
      <c r="C1086" s="1">
        <v>4.0</v>
      </c>
      <c r="D1086" s="4">
        <v>42968.0</v>
      </c>
      <c r="E1086" s="4">
        <v>42970.0</v>
      </c>
      <c r="F1086" s="4">
        <v>42970.0</v>
      </c>
      <c r="G1086" s="1">
        <v>1.0</v>
      </c>
      <c r="H1086" s="1">
        <v>3.0</v>
      </c>
      <c r="I1086" s="3" t="str">
        <f>VLOOKUP(B1086,Customers!A:J, 10,FALSE)</f>
        <v>Hope Cotton</v>
      </c>
      <c r="J1086" s="3" t="str">
        <f>VLOOKUP(B1086,Customers!A:J,8,FALSE)</f>
        <v>CA</v>
      </c>
      <c r="K1086" s="3" t="str">
        <f>VLOOKUP(B1086,Customers!A:J,7,FALSE)</f>
        <v>Redondo Beach</v>
      </c>
      <c r="L1086" s="3" t="str">
        <f>VLOOKUP(H1086,Staff!A:I,9,FALSE)</f>
        <v>Genna Serrano</v>
      </c>
      <c r="M1086" s="3" t="str">
        <f>VLOOKUP(G1086,Store!A:H,2,FALSE)</f>
        <v>Santa Cruz Bikes</v>
      </c>
      <c r="N1086" s="3" t="str">
        <f>VLOOKUP(G1086,Store!A:H,6,FALSE)</f>
        <v>Santa Cruz</v>
      </c>
      <c r="O1086" s="3" t="s">
        <v>15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">
        <v>1086.0</v>
      </c>
      <c r="B1087" s="1">
        <v>220.0</v>
      </c>
      <c r="C1087" s="1">
        <v>4.0</v>
      </c>
      <c r="D1087" s="4">
        <v>42968.0</v>
      </c>
      <c r="E1087" s="4">
        <v>42970.0</v>
      </c>
      <c r="F1087" s="4">
        <v>42971.0</v>
      </c>
      <c r="G1087" s="1">
        <v>2.0</v>
      </c>
      <c r="H1087" s="1">
        <v>7.0</v>
      </c>
      <c r="I1087" s="3" t="str">
        <f>VLOOKUP(B1087,Customers!A:J, 10,FALSE)</f>
        <v>Lucio Sherman</v>
      </c>
      <c r="J1087" s="3" t="str">
        <f>VLOOKUP(B1087,Customers!A:J,8,FALSE)</f>
        <v>NY</v>
      </c>
      <c r="K1087" s="3" t="str">
        <f>VLOOKUP(B1087,Customers!A:J,7,FALSE)</f>
        <v>Smithtown</v>
      </c>
      <c r="L1087" s="3" t="str">
        <f>VLOOKUP(H1087,Staff!A:I,9,FALSE)</f>
        <v>Venita Daniel</v>
      </c>
      <c r="M1087" s="3" t="str">
        <f>VLOOKUP(G1087,Store!A:H,2,FALSE)</f>
        <v>Baldwin Bikes</v>
      </c>
      <c r="N1087" s="3" t="str">
        <f>VLOOKUP(G1087,Store!A:H,6,FALSE)</f>
        <v>Baldwin</v>
      </c>
      <c r="O1087" s="3" t="s">
        <v>16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">
        <v>1087.0</v>
      </c>
      <c r="B1088" s="1">
        <v>675.0</v>
      </c>
      <c r="C1088" s="1">
        <v>4.0</v>
      </c>
      <c r="D1088" s="4">
        <v>42969.0</v>
      </c>
      <c r="E1088" s="4">
        <v>42970.0</v>
      </c>
      <c r="F1088" s="4">
        <v>42972.0</v>
      </c>
      <c r="G1088" s="1">
        <v>3.0</v>
      </c>
      <c r="H1088" s="1">
        <v>8.0</v>
      </c>
      <c r="I1088" s="3" t="str">
        <f>VLOOKUP(B1088,Customers!A:J, 10,FALSE)</f>
        <v>Kermit Bowman</v>
      </c>
      <c r="J1088" s="3" t="str">
        <f>VLOOKUP(B1088,Customers!A:J,8,FALSE)</f>
        <v>TX</v>
      </c>
      <c r="K1088" s="3" t="str">
        <f>VLOOKUP(B1088,Customers!A:J,7,FALSE)</f>
        <v>El Paso</v>
      </c>
      <c r="L1088" s="3" t="str">
        <f>VLOOKUP(H1088,Staff!A:I,9,FALSE)</f>
        <v>Kali Vargas</v>
      </c>
      <c r="M1088" s="3" t="str">
        <f>VLOOKUP(G1088,Store!A:H,2,FALSE)</f>
        <v>Rowlett Bikes</v>
      </c>
      <c r="N1088" s="3" t="str">
        <f>VLOOKUP(G1088,Store!A:H,6,FALSE)</f>
        <v>Rowlett</v>
      </c>
      <c r="O1088" s="3" t="s">
        <v>17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">
        <v>1088.0</v>
      </c>
      <c r="B1089" s="1">
        <v>1160.0</v>
      </c>
      <c r="C1089" s="1">
        <v>4.0</v>
      </c>
      <c r="D1089" s="4">
        <v>42969.0</v>
      </c>
      <c r="E1089" s="4">
        <v>42970.0</v>
      </c>
      <c r="F1089" s="4">
        <v>42970.0</v>
      </c>
      <c r="G1089" s="1">
        <v>3.0</v>
      </c>
      <c r="H1089" s="1">
        <v>8.0</v>
      </c>
      <c r="I1089" s="3" t="str">
        <f>VLOOKUP(B1089,Customers!A:J, 10,FALSE)</f>
        <v>Efren Whitfield</v>
      </c>
      <c r="J1089" s="3" t="str">
        <f>VLOOKUP(B1089,Customers!A:J,8,FALSE)</f>
        <v>TX</v>
      </c>
      <c r="K1089" s="3" t="str">
        <f>VLOOKUP(B1089,Customers!A:J,7,FALSE)</f>
        <v>Euless</v>
      </c>
      <c r="L1089" s="3" t="str">
        <f>VLOOKUP(H1089,Staff!A:I,9,FALSE)</f>
        <v>Kali Vargas</v>
      </c>
      <c r="M1089" s="3" t="str">
        <f>VLOOKUP(G1089,Store!A:H,2,FALSE)</f>
        <v>Rowlett Bikes</v>
      </c>
      <c r="N1089" s="3" t="str">
        <f>VLOOKUP(G1089,Store!A:H,6,FALSE)</f>
        <v>Rowlett</v>
      </c>
      <c r="O1089" s="3" t="s">
        <v>17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">
        <v>1089.0</v>
      </c>
      <c r="B1090" s="1">
        <v>46.0</v>
      </c>
      <c r="C1090" s="1">
        <v>3.0</v>
      </c>
      <c r="D1090" s="4">
        <v>42970.0</v>
      </c>
      <c r="E1090" s="4">
        <v>42970.0</v>
      </c>
      <c r="F1090" s="1" t="s">
        <v>18</v>
      </c>
      <c r="G1090" s="1">
        <v>1.0</v>
      </c>
      <c r="H1090" s="1">
        <v>2.0</v>
      </c>
      <c r="I1090" s="3" t="str">
        <f>VLOOKUP(B1090,Customers!A:J, 10,FALSE)</f>
        <v>Monika Berg</v>
      </c>
      <c r="J1090" s="3" t="str">
        <f>VLOOKUP(B1090,Customers!A:J,8,FALSE)</f>
        <v>CA</v>
      </c>
      <c r="K1090" s="3" t="str">
        <f>VLOOKUP(B1090,Customers!A:J,7,FALSE)</f>
        <v>Encino</v>
      </c>
      <c r="L1090" s="3" t="str">
        <f>VLOOKUP(H1090,Staff!A:I,9,FALSE)</f>
        <v>Mireya Copeland</v>
      </c>
      <c r="M1090" s="3" t="str">
        <f>VLOOKUP(G1090,Store!A:H,2,FALSE)</f>
        <v>Santa Cruz Bikes</v>
      </c>
      <c r="N1090" s="3" t="str">
        <f>VLOOKUP(G1090,Store!A:H,6,FALSE)</f>
        <v>Santa Cruz</v>
      </c>
      <c r="O1090" s="3" t="s">
        <v>15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">
        <v>1090.0</v>
      </c>
      <c r="B1091" s="1">
        <v>1427.0</v>
      </c>
      <c r="C1091" s="1">
        <v>4.0</v>
      </c>
      <c r="D1091" s="4">
        <v>42971.0</v>
      </c>
      <c r="E1091" s="4">
        <v>42973.0</v>
      </c>
      <c r="F1091" s="4">
        <v>42973.0</v>
      </c>
      <c r="G1091" s="1">
        <v>1.0</v>
      </c>
      <c r="H1091" s="1">
        <v>2.0</v>
      </c>
      <c r="I1091" s="3" t="str">
        <f>VLOOKUP(B1091,Customers!A:J, 10,FALSE)</f>
        <v>Mikel Wilkerson</v>
      </c>
      <c r="J1091" s="3" t="str">
        <f>VLOOKUP(B1091,Customers!A:J,8,FALSE)</f>
        <v>CA</v>
      </c>
      <c r="K1091" s="3" t="str">
        <f>VLOOKUP(B1091,Customers!A:J,7,FALSE)</f>
        <v>Atwater</v>
      </c>
      <c r="L1091" s="3" t="str">
        <f>VLOOKUP(H1091,Staff!A:I,9,FALSE)</f>
        <v>Mireya Copeland</v>
      </c>
      <c r="M1091" s="3" t="str">
        <f>VLOOKUP(G1091,Store!A:H,2,FALSE)</f>
        <v>Santa Cruz Bikes</v>
      </c>
      <c r="N1091" s="3" t="str">
        <f>VLOOKUP(G1091,Store!A:H,6,FALSE)</f>
        <v>Santa Cruz</v>
      </c>
      <c r="O1091" s="3" t="s">
        <v>15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">
        <v>1091.0</v>
      </c>
      <c r="B1092" s="1">
        <v>1260.0</v>
      </c>
      <c r="C1092" s="1">
        <v>4.0</v>
      </c>
      <c r="D1092" s="4">
        <v>42971.0</v>
      </c>
      <c r="E1092" s="4">
        <v>42972.0</v>
      </c>
      <c r="F1092" s="4">
        <v>42972.0</v>
      </c>
      <c r="G1092" s="1">
        <v>2.0</v>
      </c>
      <c r="H1092" s="1">
        <v>7.0</v>
      </c>
      <c r="I1092" s="3" t="str">
        <f>VLOOKUP(B1092,Customers!A:J, 10,FALSE)</f>
        <v>Phuong Wolf</v>
      </c>
      <c r="J1092" s="3" t="str">
        <f>VLOOKUP(B1092,Customers!A:J,8,FALSE)</f>
        <v>NY</v>
      </c>
      <c r="K1092" s="3" t="str">
        <f>VLOOKUP(B1092,Customers!A:J,7,FALSE)</f>
        <v>Schenectady</v>
      </c>
      <c r="L1092" s="3" t="str">
        <f>VLOOKUP(H1092,Staff!A:I,9,FALSE)</f>
        <v>Venita Daniel</v>
      </c>
      <c r="M1092" s="3" t="str">
        <f>VLOOKUP(G1092,Store!A:H,2,FALSE)</f>
        <v>Baldwin Bikes</v>
      </c>
      <c r="N1092" s="3" t="str">
        <f>VLOOKUP(G1092,Store!A:H,6,FALSE)</f>
        <v>Baldwin</v>
      </c>
      <c r="O1092" s="3" t="s">
        <v>16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">
        <v>1092.0</v>
      </c>
      <c r="B1093" s="1">
        <v>40.0</v>
      </c>
      <c r="C1093" s="1">
        <v>4.0</v>
      </c>
      <c r="D1093" s="4">
        <v>42972.0</v>
      </c>
      <c r="E1093" s="4">
        <v>42975.0</v>
      </c>
      <c r="F1093" s="4">
        <v>42974.0</v>
      </c>
      <c r="G1093" s="1">
        <v>1.0</v>
      </c>
      <c r="H1093" s="1">
        <v>2.0</v>
      </c>
      <c r="I1093" s="3" t="str">
        <f>VLOOKUP(B1093,Customers!A:J, 10,FALSE)</f>
        <v>Ronna Butler</v>
      </c>
      <c r="J1093" s="3" t="str">
        <f>VLOOKUP(B1093,Customers!A:J,8,FALSE)</f>
        <v>CA</v>
      </c>
      <c r="K1093" s="3" t="str">
        <f>VLOOKUP(B1093,Customers!A:J,7,FALSE)</f>
        <v>Encino</v>
      </c>
      <c r="L1093" s="3" t="str">
        <f>VLOOKUP(H1093,Staff!A:I,9,FALSE)</f>
        <v>Mireya Copeland</v>
      </c>
      <c r="M1093" s="3" t="str">
        <f>VLOOKUP(G1093,Store!A:H,2,FALSE)</f>
        <v>Santa Cruz Bikes</v>
      </c>
      <c r="N1093" s="3" t="str">
        <f>VLOOKUP(G1093,Store!A:H,6,FALSE)</f>
        <v>Santa Cruz</v>
      </c>
      <c r="O1093" s="3" t="s">
        <v>15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">
        <v>1093.0</v>
      </c>
      <c r="B1094" s="1">
        <v>326.0</v>
      </c>
      <c r="C1094" s="1">
        <v>4.0</v>
      </c>
      <c r="D1094" s="4">
        <v>42972.0</v>
      </c>
      <c r="E1094" s="4">
        <v>42975.0</v>
      </c>
      <c r="F1094" s="4">
        <v>42973.0</v>
      </c>
      <c r="G1094" s="1">
        <v>1.0</v>
      </c>
      <c r="H1094" s="1">
        <v>3.0</v>
      </c>
      <c r="I1094" s="3" t="str">
        <f>VLOOKUP(B1094,Customers!A:J, 10,FALSE)</f>
        <v>Shiela Calderon</v>
      </c>
      <c r="J1094" s="3" t="str">
        <f>VLOOKUP(B1094,Customers!A:J,8,FALSE)</f>
        <v>CA</v>
      </c>
      <c r="K1094" s="3" t="str">
        <f>VLOOKUP(B1094,Customers!A:J,7,FALSE)</f>
        <v>Rocklin</v>
      </c>
      <c r="L1094" s="3" t="str">
        <f>VLOOKUP(H1094,Staff!A:I,9,FALSE)</f>
        <v>Genna Serrano</v>
      </c>
      <c r="M1094" s="3" t="str">
        <f>VLOOKUP(G1094,Store!A:H,2,FALSE)</f>
        <v>Santa Cruz Bikes</v>
      </c>
      <c r="N1094" s="3" t="str">
        <f>VLOOKUP(G1094,Store!A:H,6,FALSE)</f>
        <v>Santa Cruz</v>
      </c>
      <c r="O1094" s="3" t="s">
        <v>15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">
        <v>1094.0</v>
      </c>
      <c r="B1095" s="1">
        <v>828.0</v>
      </c>
      <c r="C1095" s="1">
        <v>4.0</v>
      </c>
      <c r="D1095" s="4">
        <v>42972.0</v>
      </c>
      <c r="E1095" s="4">
        <v>42974.0</v>
      </c>
      <c r="F1095" s="4">
        <v>42975.0</v>
      </c>
      <c r="G1095" s="1">
        <v>2.0</v>
      </c>
      <c r="H1095" s="1">
        <v>6.0</v>
      </c>
      <c r="I1095" s="3" t="str">
        <f>VLOOKUP(B1095,Customers!A:J, 10,FALSE)</f>
        <v>Renato Morton</v>
      </c>
      <c r="J1095" s="3" t="str">
        <f>VLOOKUP(B1095,Customers!A:J,8,FALSE)</f>
        <v>NY</v>
      </c>
      <c r="K1095" s="3" t="str">
        <f>VLOOKUP(B1095,Customers!A:J,7,FALSE)</f>
        <v>Mount Vernon</v>
      </c>
      <c r="L1095" s="3" t="str">
        <f>VLOOKUP(H1095,Staff!A:I,9,FALSE)</f>
        <v>Marcelene Boyer</v>
      </c>
      <c r="M1095" s="3" t="str">
        <f>VLOOKUP(G1095,Store!A:H,2,FALSE)</f>
        <v>Baldwin Bikes</v>
      </c>
      <c r="N1095" s="3" t="str">
        <f>VLOOKUP(G1095,Store!A:H,6,FALSE)</f>
        <v>Baldwin</v>
      </c>
      <c r="O1095" s="3" t="s">
        <v>16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">
        <v>1095.0</v>
      </c>
      <c r="B1096" s="1">
        <v>1382.0</v>
      </c>
      <c r="C1096" s="1">
        <v>4.0</v>
      </c>
      <c r="D1096" s="4">
        <v>42973.0</v>
      </c>
      <c r="E1096" s="4">
        <v>42975.0</v>
      </c>
      <c r="F1096" s="4">
        <v>42974.0</v>
      </c>
      <c r="G1096" s="1">
        <v>3.0</v>
      </c>
      <c r="H1096" s="1">
        <v>9.0</v>
      </c>
      <c r="I1096" s="3" t="str">
        <f>VLOOKUP(B1096,Customers!A:J, 10,FALSE)</f>
        <v>Wynona Douglas</v>
      </c>
      <c r="J1096" s="3" t="str">
        <f>VLOOKUP(B1096,Customers!A:J,8,FALSE)</f>
        <v>TX</v>
      </c>
      <c r="K1096" s="3" t="str">
        <f>VLOOKUP(B1096,Customers!A:J,7,FALSE)</f>
        <v>Harlingen</v>
      </c>
      <c r="L1096" s="3" t="str">
        <f>VLOOKUP(H1096,Staff!A:I,9,FALSE)</f>
        <v>Layla Terrell</v>
      </c>
      <c r="M1096" s="3" t="str">
        <f>VLOOKUP(G1096,Store!A:H,2,FALSE)</f>
        <v>Rowlett Bikes</v>
      </c>
      <c r="N1096" s="3" t="str">
        <f>VLOOKUP(G1096,Store!A:H,6,FALSE)</f>
        <v>Rowlett</v>
      </c>
      <c r="O1096" s="3" t="s">
        <v>17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">
        <v>1096.0</v>
      </c>
      <c r="B1097" s="1">
        <v>589.0</v>
      </c>
      <c r="C1097" s="1">
        <v>4.0</v>
      </c>
      <c r="D1097" s="4">
        <v>42974.0</v>
      </c>
      <c r="E1097" s="4">
        <v>42976.0</v>
      </c>
      <c r="F1097" s="4">
        <v>42976.0</v>
      </c>
      <c r="G1097" s="1">
        <v>1.0</v>
      </c>
      <c r="H1097" s="1">
        <v>2.0</v>
      </c>
      <c r="I1097" s="3" t="str">
        <f>VLOOKUP(B1097,Customers!A:J, 10,FALSE)</f>
        <v>Jeffry Church</v>
      </c>
      <c r="J1097" s="3" t="str">
        <f>VLOOKUP(B1097,Customers!A:J,8,FALSE)</f>
        <v>CA</v>
      </c>
      <c r="K1097" s="3" t="str">
        <f>VLOOKUP(B1097,Customers!A:J,7,FALSE)</f>
        <v>Pleasanton</v>
      </c>
      <c r="L1097" s="3" t="str">
        <f>VLOOKUP(H1097,Staff!A:I,9,FALSE)</f>
        <v>Mireya Copeland</v>
      </c>
      <c r="M1097" s="3" t="str">
        <f>VLOOKUP(G1097,Store!A:H,2,FALSE)</f>
        <v>Santa Cruz Bikes</v>
      </c>
      <c r="N1097" s="3" t="str">
        <f>VLOOKUP(G1097,Store!A:H,6,FALSE)</f>
        <v>Santa Cruz</v>
      </c>
      <c r="O1097" s="3" t="s">
        <v>15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">
        <v>1097.0</v>
      </c>
      <c r="B1098" s="1">
        <v>1311.0</v>
      </c>
      <c r="C1098" s="1">
        <v>4.0</v>
      </c>
      <c r="D1098" s="4">
        <v>42974.0</v>
      </c>
      <c r="E1098" s="4">
        <v>42977.0</v>
      </c>
      <c r="F1098" s="4">
        <v>42975.0</v>
      </c>
      <c r="G1098" s="1">
        <v>2.0</v>
      </c>
      <c r="H1098" s="1">
        <v>6.0</v>
      </c>
      <c r="I1098" s="3" t="str">
        <f>VLOOKUP(B1098,Customers!A:J, 10,FALSE)</f>
        <v>Whitley Cannon</v>
      </c>
      <c r="J1098" s="3" t="str">
        <f>VLOOKUP(B1098,Customers!A:J,8,FALSE)</f>
        <v>NY</v>
      </c>
      <c r="K1098" s="3" t="str">
        <f>VLOOKUP(B1098,Customers!A:J,7,FALSE)</f>
        <v>Coram</v>
      </c>
      <c r="L1098" s="3" t="str">
        <f>VLOOKUP(H1098,Staff!A:I,9,FALSE)</f>
        <v>Marcelene Boyer</v>
      </c>
      <c r="M1098" s="3" t="str">
        <f>VLOOKUP(G1098,Store!A:H,2,FALSE)</f>
        <v>Baldwin Bikes</v>
      </c>
      <c r="N1098" s="3" t="str">
        <f>VLOOKUP(G1098,Store!A:H,6,FALSE)</f>
        <v>Baldwin</v>
      </c>
      <c r="O1098" s="3" t="s">
        <v>16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">
        <v>1098.0</v>
      </c>
      <c r="B1099" s="1">
        <v>752.0</v>
      </c>
      <c r="C1099" s="1">
        <v>4.0</v>
      </c>
      <c r="D1099" s="4">
        <v>42975.0</v>
      </c>
      <c r="E1099" s="4">
        <v>42977.0</v>
      </c>
      <c r="F1099" s="4">
        <v>42977.0</v>
      </c>
      <c r="G1099" s="1">
        <v>1.0</v>
      </c>
      <c r="H1099" s="1">
        <v>2.0</v>
      </c>
      <c r="I1099" s="3" t="str">
        <f>VLOOKUP(B1099,Customers!A:J, 10,FALSE)</f>
        <v>Lloyd Miranda</v>
      </c>
      <c r="J1099" s="3" t="str">
        <f>VLOOKUP(B1099,Customers!A:J,8,FALSE)</f>
        <v>CA</v>
      </c>
      <c r="K1099" s="3" t="str">
        <f>VLOOKUP(B1099,Customers!A:J,7,FALSE)</f>
        <v>Encino</v>
      </c>
      <c r="L1099" s="3" t="str">
        <f>VLOOKUP(H1099,Staff!A:I,9,FALSE)</f>
        <v>Mireya Copeland</v>
      </c>
      <c r="M1099" s="3" t="str">
        <f>VLOOKUP(G1099,Store!A:H,2,FALSE)</f>
        <v>Santa Cruz Bikes</v>
      </c>
      <c r="N1099" s="3" t="str">
        <f>VLOOKUP(G1099,Store!A:H,6,FALSE)</f>
        <v>Santa Cruz</v>
      </c>
      <c r="O1099" s="3" t="s">
        <v>15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">
        <v>1099.0</v>
      </c>
      <c r="B1100" s="1">
        <v>1128.0</v>
      </c>
      <c r="C1100" s="1">
        <v>4.0</v>
      </c>
      <c r="D1100" s="4">
        <v>42975.0</v>
      </c>
      <c r="E1100" s="4">
        <v>42976.0</v>
      </c>
      <c r="F1100" s="4">
        <v>42977.0</v>
      </c>
      <c r="G1100" s="1">
        <v>2.0</v>
      </c>
      <c r="H1100" s="1">
        <v>6.0</v>
      </c>
      <c r="I1100" s="3" t="str">
        <f>VLOOKUP(B1100,Customers!A:J, 10,FALSE)</f>
        <v>Bea Kane</v>
      </c>
      <c r="J1100" s="3" t="str">
        <f>VLOOKUP(B1100,Customers!A:J,8,FALSE)</f>
        <v>NY</v>
      </c>
      <c r="K1100" s="3" t="str">
        <f>VLOOKUP(B1100,Customers!A:J,7,FALSE)</f>
        <v>Mahopac</v>
      </c>
      <c r="L1100" s="3" t="str">
        <f>VLOOKUP(H1100,Staff!A:I,9,FALSE)</f>
        <v>Marcelene Boyer</v>
      </c>
      <c r="M1100" s="3" t="str">
        <f>VLOOKUP(G1100,Store!A:H,2,FALSE)</f>
        <v>Baldwin Bikes</v>
      </c>
      <c r="N1100" s="3" t="str">
        <f>VLOOKUP(G1100,Store!A:H,6,FALSE)</f>
        <v>Baldwin</v>
      </c>
      <c r="O1100" s="3" t="s">
        <v>16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">
        <v>1100.0</v>
      </c>
      <c r="B1101" s="1">
        <v>1392.0</v>
      </c>
      <c r="C1101" s="1">
        <v>4.0</v>
      </c>
      <c r="D1101" s="4">
        <v>42975.0</v>
      </c>
      <c r="E1101" s="4">
        <v>42976.0</v>
      </c>
      <c r="F1101" s="4">
        <v>42976.0</v>
      </c>
      <c r="G1101" s="1">
        <v>2.0</v>
      </c>
      <c r="H1101" s="1">
        <v>7.0</v>
      </c>
      <c r="I1101" s="3" t="str">
        <f>VLOOKUP(B1101,Customers!A:J, 10,FALSE)</f>
        <v>Trista Lambert</v>
      </c>
      <c r="J1101" s="3" t="str">
        <f>VLOOKUP(B1101,Customers!A:J,8,FALSE)</f>
        <v>NY</v>
      </c>
      <c r="K1101" s="3" t="str">
        <f>VLOOKUP(B1101,Customers!A:J,7,FALSE)</f>
        <v>Fairport</v>
      </c>
      <c r="L1101" s="3" t="str">
        <f>VLOOKUP(H1101,Staff!A:I,9,FALSE)</f>
        <v>Venita Daniel</v>
      </c>
      <c r="M1101" s="3" t="str">
        <f>VLOOKUP(G1101,Store!A:H,2,FALSE)</f>
        <v>Baldwin Bikes</v>
      </c>
      <c r="N1101" s="3" t="str">
        <f>VLOOKUP(G1101,Store!A:H,6,FALSE)</f>
        <v>Baldwin</v>
      </c>
      <c r="O1101" s="3" t="s">
        <v>16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">
        <v>1101.0</v>
      </c>
      <c r="B1102" s="1">
        <v>379.0</v>
      </c>
      <c r="C1102" s="1">
        <v>4.0</v>
      </c>
      <c r="D1102" s="4">
        <v>42976.0</v>
      </c>
      <c r="E1102" s="4">
        <v>42977.0</v>
      </c>
      <c r="F1102" s="4">
        <v>42977.0</v>
      </c>
      <c r="G1102" s="1">
        <v>2.0</v>
      </c>
      <c r="H1102" s="1">
        <v>7.0</v>
      </c>
      <c r="I1102" s="3" t="str">
        <f>VLOOKUP(B1102,Customers!A:J, 10,FALSE)</f>
        <v>Mina Carrillo</v>
      </c>
      <c r="J1102" s="3" t="str">
        <f>VLOOKUP(B1102,Customers!A:J,8,FALSE)</f>
        <v>NY</v>
      </c>
      <c r="K1102" s="3" t="str">
        <f>VLOOKUP(B1102,Customers!A:J,7,FALSE)</f>
        <v>Uniondale</v>
      </c>
      <c r="L1102" s="3" t="str">
        <f>VLOOKUP(H1102,Staff!A:I,9,FALSE)</f>
        <v>Venita Daniel</v>
      </c>
      <c r="M1102" s="3" t="str">
        <f>VLOOKUP(G1102,Store!A:H,2,FALSE)</f>
        <v>Baldwin Bikes</v>
      </c>
      <c r="N1102" s="3" t="str">
        <f>VLOOKUP(G1102,Store!A:H,6,FALSE)</f>
        <v>Baldwin</v>
      </c>
      <c r="O1102" s="3" t="s">
        <v>16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">
        <v>1102.0</v>
      </c>
      <c r="B1103" s="1">
        <v>1317.0</v>
      </c>
      <c r="C1103" s="1">
        <v>4.0</v>
      </c>
      <c r="D1103" s="4">
        <v>42976.0</v>
      </c>
      <c r="E1103" s="4">
        <v>42978.0</v>
      </c>
      <c r="F1103" s="4">
        <v>42978.0</v>
      </c>
      <c r="G1103" s="1">
        <v>2.0</v>
      </c>
      <c r="H1103" s="1">
        <v>6.0</v>
      </c>
      <c r="I1103" s="3" t="str">
        <f>VLOOKUP(B1103,Customers!A:J, 10,FALSE)</f>
        <v>Glady Wells</v>
      </c>
      <c r="J1103" s="3" t="str">
        <f>VLOOKUP(B1103,Customers!A:J,8,FALSE)</f>
        <v>NY</v>
      </c>
      <c r="K1103" s="3" t="str">
        <f>VLOOKUP(B1103,Customers!A:J,7,FALSE)</f>
        <v>Syosset</v>
      </c>
      <c r="L1103" s="3" t="str">
        <f>VLOOKUP(H1103,Staff!A:I,9,FALSE)</f>
        <v>Marcelene Boyer</v>
      </c>
      <c r="M1103" s="3" t="str">
        <f>VLOOKUP(G1103,Store!A:H,2,FALSE)</f>
        <v>Baldwin Bikes</v>
      </c>
      <c r="N1103" s="3" t="str">
        <f>VLOOKUP(G1103,Store!A:H,6,FALSE)</f>
        <v>Baldwin</v>
      </c>
      <c r="O1103" s="3" t="s">
        <v>16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">
        <v>1103.0</v>
      </c>
      <c r="B1104" s="1">
        <v>1394.0</v>
      </c>
      <c r="C1104" s="1">
        <v>4.0</v>
      </c>
      <c r="D1104" s="4">
        <v>42978.0</v>
      </c>
      <c r="E1104" s="4">
        <v>42980.0</v>
      </c>
      <c r="F1104" s="4">
        <v>42980.0</v>
      </c>
      <c r="G1104" s="1">
        <v>2.0</v>
      </c>
      <c r="H1104" s="1">
        <v>7.0</v>
      </c>
      <c r="I1104" s="3" t="str">
        <f>VLOOKUP(B1104,Customers!A:J, 10,FALSE)</f>
        <v>Genny Fields</v>
      </c>
      <c r="J1104" s="3" t="str">
        <f>VLOOKUP(B1104,Customers!A:J,8,FALSE)</f>
        <v>NY</v>
      </c>
      <c r="K1104" s="3" t="str">
        <f>VLOOKUP(B1104,Customers!A:J,7,FALSE)</f>
        <v>Amityville</v>
      </c>
      <c r="L1104" s="3" t="str">
        <f>VLOOKUP(H1104,Staff!A:I,9,FALSE)</f>
        <v>Venita Daniel</v>
      </c>
      <c r="M1104" s="3" t="str">
        <f>VLOOKUP(G1104,Store!A:H,2,FALSE)</f>
        <v>Baldwin Bikes</v>
      </c>
      <c r="N1104" s="3" t="str">
        <f>VLOOKUP(G1104,Store!A:H,6,FALSE)</f>
        <v>Baldwin</v>
      </c>
      <c r="O1104" s="3" t="s">
        <v>16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">
        <v>1104.0</v>
      </c>
      <c r="B1105" s="1">
        <v>268.0</v>
      </c>
      <c r="C1105" s="1">
        <v>4.0</v>
      </c>
      <c r="D1105" s="4">
        <v>42979.0</v>
      </c>
      <c r="E1105" s="4">
        <v>42982.0</v>
      </c>
      <c r="F1105" s="4">
        <v>42981.0</v>
      </c>
      <c r="G1105" s="1">
        <v>2.0</v>
      </c>
      <c r="H1105" s="1">
        <v>6.0</v>
      </c>
      <c r="I1105" s="3" t="str">
        <f>VLOOKUP(B1105,Customers!A:J, 10,FALSE)</f>
        <v>Trinity Riddle</v>
      </c>
      <c r="J1105" s="3" t="str">
        <f>VLOOKUP(B1105,Customers!A:J,8,FALSE)</f>
        <v>NY</v>
      </c>
      <c r="K1105" s="3" t="str">
        <f>VLOOKUP(B1105,Customers!A:J,7,FALSE)</f>
        <v>Ballston Spa</v>
      </c>
      <c r="L1105" s="3" t="str">
        <f>VLOOKUP(H1105,Staff!A:I,9,FALSE)</f>
        <v>Marcelene Boyer</v>
      </c>
      <c r="M1105" s="3" t="str">
        <f>VLOOKUP(G1105,Store!A:H,2,FALSE)</f>
        <v>Baldwin Bikes</v>
      </c>
      <c r="N1105" s="3" t="str">
        <f>VLOOKUP(G1105,Store!A:H,6,FALSE)</f>
        <v>Baldwin</v>
      </c>
      <c r="O1105" s="3" t="s">
        <v>16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">
        <v>1105.0</v>
      </c>
      <c r="B1106" s="1">
        <v>747.0</v>
      </c>
      <c r="C1106" s="1">
        <v>4.0</v>
      </c>
      <c r="D1106" s="4">
        <v>42979.0</v>
      </c>
      <c r="E1106" s="4">
        <v>42982.0</v>
      </c>
      <c r="F1106" s="4">
        <v>42981.0</v>
      </c>
      <c r="G1106" s="1">
        <v>3.0</v>
      </c>
      <c r="H1106" s="1">
        <v>8.0</v>
      </c>
      <c r="I1106" s="3" t="str">
        <f>VLOOKUP(B1106,Customers!A:J, 10,FALSE)</f>
        <v>Margret Barnett</v>
      </c>
      <c r="J1106" s="3" t="str">
        <f>VLOOKUP(B1106,Customers!A:J,8,FALSE)</f>
        <v>TX</v>
      </c>
      <c r="K1106" s="3" t="str">
        <f>VLOOKUP(B1106,Customers!A:J,7,FALSE)</f>
        <v>Forney</v>
      </c>
      <c r="L1106" s="3" t="str">
        <f>VLOOKUP(H1106,Staff!A:I,9,FALSE)</f>
        <v>Kali Vargas</v>
      </c>
      <c r="M1106" s="3" t="str">
        <f>VLOOKUP(G1106,Store!A:H,2,FALSE)</f>
        <v>Rowlett Bikes</v>
      </c>
      <c r="N1106" s="3" t="str">
        <f>VLOOKUP(G1106,Store!A:H,6,FALSE)</f>
        <v>Rowlett</v>
      </c>
      <c r="O1106" s="3" t="s">
        <v>17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">
        <v>1106.0</v>
      </c>
      <c r="B1107" s="1">
        <v>1009.0</v>
      </c>
      <c r="C1107" s="1">
        <v>4.0</v>
      </c>
      <c r="D1107" s="4">
        <v>42980.0</v>
      </c>
      <c r="E1107" s="4">
        <v>42982.0</v>
      </c>
      <c r="F1107" s="4">
        <v>42982.0</v>
      </c>
      <c r="G1107" s="1">
        <v>2.0</v>
      </c>
      <c r="H1107" s="1">
        <v>6.0</v>
      </c>
      <c r="I1107" s="3" t="str">
        <f>VLOOKUP(B1107,Customers!A:J, 10,FALSE)</f>
        <v>Deangelo Cooley</v>
      </c>
      <c r="J1107" s="3" t="str">
        <f>VLOOKUP(B1107,Customers!A:J,8,FALSE)</f>
        <v>NY</v>
      </c>
      <c r="K1107" s="3" t="str">
        <f>VLOOKUP(B1107,Customers!A:J,7,FALSE)</f>
        <v>Rosedale</v>
      </c>
      <c r="L1107" s="3" t="str">
        <f>VLOOKUP(H1107,Staff!A:I,9,FALSE)</f>
        <v>Marcelene Boyer</v>
      </c>
      <c r="M1107" s="3" t="str">
        <f>VLOOKUP(G1107,Store!A:H,2,FALSE)</f>
        <v>Baldwin Bikes</v>
      </c>
      <c r="N1107" s="3" t="str">
        <f>VLOOKUP(G1107,Store!A:H,6,FALSE)</f>
        <v>Baldwin</v>
      </c>
      <c r="O1107" s="3" t="s">
        <v>16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">
        <v>1107.0</v>
      </c>
      <c r="B1108" s="1">
        <v>1424.0</v>
      </c>
      <c r="C1108" s="1">
        <v>4.0</v>
      </c>
      <c r="D1108" s="4">
        <v>42980.0</v>
      </c>
      <c r="E1108" s="4">
        <v>42983.0</v>
      </c>
      <c r="F1108" s="4">
        <v>42983.0</v>
      </c>
      <c r="G1108" s="1">
        <v>2.0</v>
      </c>
      <c r="H1108" s="1">
        <v>7.0</v>
      </c>
      <c r="I1108" s="3" t="str">
        <f>VLOOKUP(B1108,Customers!A:J, 10,FALSE)</f>
        <v>Lashunda Cole</v>
      </c>
      <c r="J1108" s="3" t="str">
        <f>VLOOKUP(B1108,Customers!A:J,8,FALSE)</f>
        <v>NY</v>
      </c>
      <c r="K1108" s="3" t="str">
        <f>VLOOKUP(B1108,Customers!A:J,7,FALSE)</f>
        <v>Monsey</v>
      </c>
      <c r="L1108" s="3" t="str">
        <f>VLOOKUP(H1108,Staff!A:I,9,FALSE)</f>
        <v>Venita Daniel</v>
      </c>
      <c r="M1108" s="3" t="str">
        <f>VLOOKUP(G1108,Store!A:H,2,FALSE)</f>
        <v>Baldwin Bikes</v>
      </c>
      <c r="N1108" s="3" t="str">
        <f>VLOOKUP(G1108,Store!A:H,6,FALSE)</f>
        <v>Baldwin</v>
      </c>
      <c r="O1108" s="3" t="s">
        <v>16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">
        <v>1108.0</v>
      </c>
      <c r="B1109" s="1">
        <v>735.0</v>
      </c>
      <c r="C1109" s="1">
        <v>4.0</v>
      </c>
      <c r="D1109" s="4">
        <v>42981.0</v>
      </c>
      <c r="E1109" s="4">
        <v>42983.0</v>
      </c>
      <c r="F1109" s="4">
        <v>42982.0</v>
      </c>
      <c r="G1109" s="1">
        <v>1.0</v>
      </c>
      <c r="H1109" s="1">
        <v>3.0</v>
      </c>
      <c r="I1109" s="3" t="str">
        <f>VLOOKUP(B1109,Customers!A:J, 10,FALSE)</f>
        <v>Aide Franco</v>
      </c>
      <c r="J1109" s="3" t="str">
        <f>VLOOKUP(B1109,Customers!A:J,8,FALSE)</f>
        <v>CA</v>
      </c>
      <c r="K1109" s="3" t="str">
        <f>VLOOKUP(B1109,Customers!A:J,7,FALSE)</f>
        <v>Atwater</v>
      </c>
      <c r="L1109" s="3" t="str">
        <f>VLOOKUP(H1109,Staff!A:I,9,FALSE)</f>
        <v>Genna Serrano</v>
      </c>
      <c r="M1109" s="3" t="str">
        <f>VLOOKUP(G1109,Store!A:H,2,FALSE)</f>
        <v>Santa Cruz Bikes</v>
      </c>
      <c r="N1109" s="3" t="str">
        <f>VLOOKUP(G1109,Store!A:H,6,FALSE)</f>
        <v>Santa Cruz</v>
      </c>
      <c r="O1109" s="3" t="s">
        <v>15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">
        <v>1109.0</v>
      </c>
      <c r="B1110" s="1">
        <v>23.0</v>
      </c>
      <c r="C1110" s="1">
        <v>4.0</v>
      </c>
      <c r="D1110" s="4">
        <v>42981.0</v>
      </c>
      <c r="E1110" s="4">
        <v>42982.0</v>
      </c>
      <c r="F1110" s="4">
        <v>42982.0</v>
      </c>
      <c r="G1110" s="1">
        <v>2.0</v>
      </c>
      <c r="H1110" s="1">
        <v>6.0</v>
      </c>
      <c r="I1110" s="3" t="str">
        <f>VLOOKUP(B1110,Customers!A:J, 10,FALSE)</f>
        <v>Kaylee English</v>
      </c>
      <c r="J1110" s="3" t="str">
        <f>VLOOKUP(B1110,Customers!A:J,8,FALSE)</f>
        <v>NY</v>
      </c>
      <c r="K1110" s="3" t="str">
        <f>VLOOKUP(B1110,Customers!A:J,7,FALSE)</f>
        <v>Hollis</v>
      </c>
      <c r="L1110" s="3" t="str">
        <f>VLOOKUP(H1110,Staff!A:I,9,FALSE)</f>
        <v>Marcelene Boyer</v>
      </c>
      <c r="M1110" s="3" t="str">
        <f>VLOOKUP(G1110,Store!A:H,2,FALSE)</f>
        <v>Baldwin Bikes</v>
      </c>
      <c r="N1110" s="3" t="str">
        <f>VLOOKUP(G1110,Store!A:H,6,FALSE)</f>
        <v>Baldwin</v>
      </c>
      <c r="O1110" s="3" t="s">
        <v>16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">
        <v>1110.0</v>
      </c>
      <c r="B1111" s="1">
        <v>912.0</v>
      </c>
      <c r="C1111" s="1">
        <v>4.0</v>
      </c>
      <c r="D1111" s="4">
        <v>42982.0</v>
      </c>
      <c r="E1111" s="4">
        <v>42985.0</v>
      </c>
      <c r="F1111" s="4">
        <v>42985.0</v>
      </c>
      <c r="G1111" s="1">
        <v>2.0</v>
      </c>
      <c r="H1111" s="1">
        <v>6.0</v>
      </c>
      <c r="I1111" s="3" t="str">
        <f>VLOOKUP(B1111,Customers!A:J, 10,FALSE)</f>
        <v>Inocencia Key</v>
      </c>
      <c r="J1111" s="3" t="str">
        <f>VLOOKUP(B1111,Customers!A:J,8,FALSE)</f>
        <v>NY</v>
      </c>
      <c r="K1111" s="3" t="str">
        <f>VLOOKUP(B1111,Customers!A:J,7,FALSE)</f>
        <v>Massapequa Park</v>
      </c>
      <c r="L1111" s="3" t="str">
        <f>VLOOKUP(H1111,Staff!A:I,9,FALSE)</f>
        <v>Marcelene Boyer</v>
      </c>
      <c r="M1111" s="3" t="str">
        <f>VLOOKUP(G1111,Store!A:H,2,FALSE)</f>
        <v>Baldwin Bikes</v>
      </c>
      <c r="N1111" s="3" t="str">
        <f>VLOOKUP(G1111,Store!A:H,6,FALSE)</f>
        <v>Baldwin</v>
      </c>
      <c r="O1111" s="3" t="s">
        <v>16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">
        <v>1111.0</v>
      </c>
      <c r="B1112" s="1">
        <v>930.0</v>
      </c>
      <c r="C1112" s="1">
        <v>4.0</v>
      </c>
      <c r="D1112" s="4">
        <v>42982.0</v>
      </c>
      <c r="E1112" s="4">
        <v>42984.0</v>
      </c>
      <c r="F1112" s="4">
        <v>42983.0</v>
      </c>
      <c r="G1112" s="1">
        <v>2.0</v>
      </c>
      <c r="H1112" s="1">
        <v>6.0</v>
      </c>
      <c r="I1112" s="3" t="str">
        <f>VLOOKUP(B1112,Customers!A:J, 10,FALSE)</f>
        <v>Delana Wagner</v>
      </c>
      <c r="J1112" s="3" t="str">
        <f>VLOOKUP(B1112,Customers!A:J,8,FALSE)</f>
        <v>NY</v>
      </c>
      <c r="K1112" s="3" t="str">
        <f>VLOOKUP(B1112,Customers!A:J,7,FALSE)</f>
        <v>Clifton Park</v>
      </c>
      <c r="L1112" s="3" t="str">
        <f>VLOOKUP(H1112,Staff!A:I,9,FALSE)</f>
        <v>Marcelene Boyer</v>
      </c>
      <c r="M1112" s="3" t="str">
        <f>VLOOKUP(G1112,Store!A:H,2,FALSE)</f>
        <v>Baldwin Bikes</v>
      </c>
      <c r="N1112" s="3" t="str">
        <f>VLOOKUP(G1112,Store!A:H,6,FALSE)</f>
        <v>Baldwin</v>
      </c>
      <c r="O1112" s="3" t="s">
        <v>16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">
        <v>1112.0</v>
      </c>
      <c r="B1113" s="1">
        <v>798.0</v>
      </c>
      <c r="C1113" s="1">
        <v>4.0</v>
      </c>
      <c r="D1113" s="4">
        <v>42983.0</v>
      </c>
      <c r="E1113" s="4">
        <v>42986.0</v>
      </c>
      <c r="F1113" s="4">
        <v>42985.0</v>
      </c>
      <c r="G1113" s="1">
        <v>2.0</v>
      </c>
      <c r="H1113" s="1">
        <v>7.0</v>
      </c>
      <c r="I1113" s="3" t="str">
        <f>VLOOKUP(B1113,Customers!A:J, 10,FALSE)</f>
        <v>Alyse Jacobson</v>
      </c>
      <c r="J1113" s="3" t="str">
        <f>VLOOKUP(B1113,Customers!A:J,8,FALSE)</f>
        <v>NY</v>
      </c>
      <c r="K1113" s="3" t="str">
        <f>VLOOKUP(B1113,Customers!A:J,7,FALSE)</f>
        <v>Massapequa Park</v>
      </c>
      <c r="L1113" s="3" t="str">
        <f>VLOOKUP(H1113,Staff!A:I,9,FALSE)</f>
        <v>Venita Daniel</v>
      </c>
      <c r="M1113" s="3" t="str">
        <f>VLOOKUP(G1113,Store!A:H,2,FALSE)</f>
        <v>Baldwin Bikes</v>
      </c>
      <c r="N1113" s="3" t="str">
        <f>VLOOKUP(G1113,Store!A:H,6,FALSE)</f>
        <v>Baldwin</v>
      </c>
      <c r="O1113" s="3" t="s">
        <v>16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">
        <v>1113.0</v>
      </c>
      <c r="B1114" s="1">
        <v>388.0</v>
      </c>
      <c r="C1114" s="1">
        <v>4.0</v>
      </c>
      <c r="D1114" s="4">
        <v>42984.0</v>
      </c>
      <c r="E1114" s="4">
        <v>42986.0</v>
      </c>
      <c r="F1114" s="4">
        <v>42985.0</v>
      </c>
      <c r="G1114" s="1">
        <v>2.0</v>
      </c>
      <c r="H1114" s="1">
        <v>7.0</v>
      </c>
      <c r="I1114" s="3" t="str">
        <f>VLOOKUP(B1114,Customers!A:J, 10,FALSE)</f>
        <v>Aleta Stone</v>
      </c>
      <c r="J1114" s="3" t="str">
        <f>VLOOKUP(B1114,Customers!A:J,8,FALSE)</f>
        <v>NY</v>
      </c>
      <c r="K1114" s="3" t="str">
        <f>VLOOKUP(B1114,Customers!A:J,7,FALSE)</f>
        <v>Whitestone</v>
      </c>
      <c r="L1114" s="3" t="str">
        <f>VLOOKUP(H1114,Staff!A:I,9,FALSE)</f>
        <v>Venita Daniel</v>
      </c>
      <c r="M1114" s="3" t="str">
        <f>VLOOKUP(G1114,Store!A:H,2,FALSE)</f>
        <v>Baldwin Bikes</v>
      </c>
      <c r="N1114" s="3" t="str">
        <f>VLOOKUP(G1114,Store!A:H,6,FALSE)</f>
        <v>Baldwin</v>
      </c>
      <c r="O1114" s="3" t="s">
        <v>16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">
        <v>1114.0</v>
      </c>
      <c r="B1115" s="1">
        <v>1036.0</v>
      </c>
      <c r="C1115" s="1">
        <v>4.0</v>
      </c>
      <c r="D1115" s="4">
        <v>42984.0</v>
      </c>
      <c r="E1115" s="4">
        <v>42986.0</v>
      </c>
      <c r="F1115" s="4">
        <v>42986.0</v>
      </c>
      <c r="G1115" s="1">
        <v>2.0</v>
      </c>
      <c r="H1115" s="1">
        <v>6.0</v>
      </c>
      <c r="I1115" s="3" t="str">
        <f>VLOOKUP(B1115,Customers!A:J, 10,FALSE)</f>
        <v>Randee Lester</v>
      </c>
      <c r="J1115" s="3" t="str">
        <f>VLOOKUP(B1115,Customers!A:J,8,FALSE)</f>
        <v>NY</v>
      </c>
      <c r="K1115" s="3" t="str">
        <f>VLOOKUP(B1115,Customers!A:J,7,FALSE)</f>
        <v>Centereach</v>
      </c>
      <c r="L1115" s="3" t="str">
        <f>VLOOKUP(H1115,Staff!A:I,9,FALSE)</f>
        <v>Marcelene Boyer</v>
      </c>
      <c r="M1115" s="3" t="str">
        <f>VLOOKUP(G1115,Store!A:H,2,FALSE)</f>
        <v>Baldwin Bikes</v>
      </c>
      <c r="N1115" s="3" t="str">
        <f>VLOOKUP(G1115,Store!A:H,6,FALSE)</f>
        <v>Baldwin</v>
      </c>
      <c r="O1115" s="3" t="s">
        <v>16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">
        <v>1115.0</v>
      </c>
      <c r="B1116" s="1">
        <v>1100.0</v>
      </c>
      <c r="C1116" s="1">
        <v>4.0</v>
      </c>
      <c r="D1116" s="4">
        <v>42985.0</v>
      </c>
      <c r="E1116" s="4">
        <v>42987.0</v>
      </c>
      <c r="F1116" s="4">
        <v>42987.0</v>
      </c>
      <c r="G1116" s="1">
        <v>2.0</v>
      </c>
      <c r="H1116" s="1">
        <v>6.0</v>
      </c>
      <c r="I1116" s="3" t="str">
        <f>VLOOKUP(B1116,Customers!A:J, 10,FALSE)</f>
        <v>Penny Acevedo</v>
      </c>
      <c r="J1116" s="3" t="str">
        <f>VLOOKUP(B1116,Customers!A:J,8,FALSE)</f>
        <v>NY</v>
      </c>
      <c r="K1116" s="3" t="str">
        <f>VLOOKUP(B1116,Customers!A:J,7,FALSE)</f>
        <v>Ballston Spa</v>
      </c>
      <c r="L1116" s="3" t="str">
        <f>VLOOKUP(H1116,Staff!A:I,9,FALSE)</f>
        <v>Marcelene Boyer</v>
      </c>
      <c r="M1116" s="3" t="str">
        <f>VLOOKUP(G1116,Store!A:H,2,FALSE)</f>
        <v>Baldwin Bikes</v>
      </c>
      <c r="N1116" s="3" t="str">
        <f>VLOOKUP(G1116,Store!A:H,6,FALSE)</f>
        <v>Baldwin</v>
      </c>
      <c r="O1116" s="3" t="s">
        <v>16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">
        <v>1116.0</v>
      </c>
      <c r="B1117" s="1">
        <v>52.0</v>
      </c>
      <c r="C1117" s="1">
        <v>4.0</v>
      </c>
      <c r="D1117" s="4">
        <v>42986.0</v>
      </c>
      <c r="E1117" s="4">
        <v>42988.0</v>
      </c>
      <c r="F1117" s="4">
        <v>42988.0</v>
      </c>
      <c r="G1117" s="1">
        <v>2.0</v>
      </c>
      <c r="H1117" s="1">
        <v>7.0</v>
      </c>
      <c r="I1117" s="3" t="str">
        <f>VLOOKUP(B1117,Customers!A:J, 10,FALSE)</f>
        <v>Tu Ramirez</v>
      </c>
      <c r="J1117" s="3" t="str">
        <f>VLOOKUP(B1117,Customers!A:J,8,FALSE)</f>
        <v>NY</v>
      </c>
      <c r="K1117" s="3" t="str">
        <f>VLOOKUP(B1117,Customers!A:J,7,FALSE)</f>
        <v>East Elmhurst</v>
      </c>
      <c r="L1117" s="3" t="str">
        <f>VLOOKUP(H1117,Staff!A:I,9,FALSE)</f>
        <v>Venita Daniel</v>
      </c>
      <c r="M1117" s="3" t="str">
        <f>VLOOKUP(G1117,Store!A:H,2,FALSE)</f>
        <v>Baldwin Bikes</v>
      </c>
      <c r="N1117" s="3" t="str">
        <f>VLOOKUP(G1117,Store!A:H,6,FALSE)</f>
        <v>Baldwin</v>
      </c>
      <c r="O1117" s="3" t="s">
        <v>16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">
        <v>1117.0</v>
      </c>
      <c r="B1118" s="1">
        <v>334.0</v>
      </c>
      <c r="C1118" s="1">
        <v>4.0</v>
      </c>
      <c r="D1118" s="4">
        <v>42986.0</v>
      </c>
      <c r="E1118" s="4">
        <v>42988.0</v>
      </c>
      <c r="F1118" s="4">
        <v>42988.0</v>
      </c>
      <c r="G1118" s="1">
        <v>2.0</v>
      </c>
      <c r="H1118" s="1">
        <v>6.0</v>
      </c>
      <c r="I1118" s="3" t="str">
        <f>VLOOKUP(B1118,Customers!A:J, 10,FALSE)</f>
        <v>Somer Jordan</v>
      </c>
      <c r="J1118" s="3" t="str">
        <f>VLOOKUP(B1118,Customers!A:J,8,FALSE)</f>
        <v>NY</v>
      </c>
      <c r="K1118" s="3" t="str">
        <f>VLOOKUP(B1118,Customers!A:J,7,FALSE)</f>
        <v>Huntington Station</v>
      </c>
      <c r="L1118" s="3" t="str">
        <f>VLOOKUP(H1118,Staff!A:I,9,FALSE)</f>
        <v>Marcelene Boyer</v>
      </c>
      <c r="M1118" s="3" t="str">
        <f>VLOOKUP(G1118,Store!A:H,2,FALSE)</f>
        <v>Baldwin Bikes</v>
      </c>
      <c r="N1118" s="3" t="str">
        <f>VLOOKUP(G1118,Store!A:H,6,FALSE)</f>
        <v>Baldwin</v>
      </c>
      <c r="O1118" s="3" t="s">
        <v>16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">
        <v>1118.0</v>
      </c>
      <c r="B1119" s="1">
        <v>1023.0</v>
      </c>
      <c r="C1119" s="1">
        <v>4.0</v>
      </c>
      <c r="D1119" s="4">
        <v>42986.0</v>
      </c>
      <c r="E1119" s="4">
        <v>42989.0</v>
      </c>
      <c r="F1119" s="4">
        <v>42989.0</v>
      </c>
      <c r="G1119" s="1">
        <v>2.0</v>
      </c>
      <c r="H1119" s="1">
        <v>6.0</v>
      </c>
      <c r="I1119" s="3" t="str">
        <f>VLOOKUP(B1119,Customers!A:J, 10,FALSE)</f>
        <v>Adena Blake</v>
      </c>
      <c r="J1119" s="3" t="str">
        <f>VLOOKUP(B1119,Customers!A:J,8,FALSE)</f>
        <v>NY</v>
      </c>
      <c r="K1119" s="3" t="str">
        <f>VLOOKUP(B1119,Customers!A:J,7,FALSE)</f>
        <v>Ballston Spa</v>
      </c>
      <c r="L1119" s="3" t="str">
        <f>VLOOKUP(H1119,Staff!A:I,9,FALSE)</f>
        <v>Marcelene Boyer</v>
      </c>
      <c r="M1119" s="3" t="str">
        <f>VLOOKUP(G1119,Store!A:H,2,FALSE)</f>
        <v>Baldwin Bikes</v>
      </c>
      <c r="N1119" s="3" t="str">
        <f>VLOOKUP(G1119,Store!A:H,6,FALSE)</f>
        <v>Baldwin</v>
      </c>
      <c r="O1119" s="3" t="s">
        <v>16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">
        <v>1119.0</v>
      </c>
      <c r="B1120" s="1">
        <v>749.0</v>
      </c>
      <c r="C1120" s="1">
        <v>4.0</v>
      </c>
      <c r="D1120" s="4">
        <v>42988.0</v>
      </c>
      <c r="E1120" s="4">
        <v>42990.0</v>
      </c>
      <c r="F1120" s="4">
        <v>42991.0</v>
      </c>
      <c r="G1120" s="1">
        <v>1.0</v>
      </c>
      <c r="H1120" s="1">
        <v>2.0</v>
      </c>
      <c r="I1120" s="3" t="str">
        <f>VLOOKUP(B1120,Customers!A:J, 10,FALSE)</f>
        <v>Oralia Farley</v>
      </c>
      <c r="J1120" s="3" t="str">
        <f>VLOOKUP(B1120,Customers!A:J,8,FALSE)</f>
        <v>CA</v>
      </c>
      <c r="K1120" s="3" t="str">
        <f>VLOOKUP(B1120,Customers!A:J,7,FALSE)</f>
        <v>Upland</v>
      </c>
      <c r="L1120" s="3" t="str">
        <f>VLOOKUP(H1120,Staff!A:I,9,FALSE)</f>
        <v>Mireya Copeland</v>
      </c>
      <c r="M1120" s="3" t="str">
        <f>VLOOKUP(G1120,Store!A:H,2,FALSE)</f>
        <v>Santa Cruz Bikes</v>
      </c>
      <c r="N1120" s="3" t="str">
        <f>VLOOKUP(G1120,Store!A:H,6,FALSE)</f>
        <v>Santa Cruz</v>
      </c>
      <c r="O1120" s="3" t="s">
        <v>15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">
        <v>1120.0</v>
      </c>
      <c r="B1121" s="1">
        <v>1269.0</v>
      </c>
      <c r="C1121" s="1">
        <v>4.0</v>
      </c>
      <c r="D1121" s="4">
        <v>42988.0</v>
      </c>
      <c r="E1121" s="4">
        <v>42990.0</v>
      </c>
      <c r="F1121" s="4">
        <v>42991.0</v>
      </c>
      <c r="G1121" s="1">
        <v>2.0</v>
      </c>
      <c r="H1121" s="1">
        <v>7.0</v>
      </c>
      <c r="I1121" s="3" t="str">
        <f>VLOOKUP(B1121,Customers!A:J, 10,FALSE)</f>
        <v>Gustavo Gamble</v>
      </c>
      <c r="J1121" s="3" t="str">
        <f>VLOOKUP(B1121,Customers!A:J,8,FALSE)</f>
        <v>NY</v>
      </c>
      <c r="K1121" s="3" t="str">
        <f>VLOOKUP(B1121,Customers!A:J,7,FALSE)</f>
        <v>Port Washington</v>
      </c>
      <c r="L1121" s="3" t="str">
        <f>VLOOKUP(H1121,Staff!A:I,9,FALSE)</f>
        <v>Venita Daniel</v>
      </c>
      <c r="M1121" s="3" t="str">
        <f>VLOOKUP(G1121,Store!A:H,2,FALSE)</f>
        <v>Baldwin Bikes</v>
      </c>
      <c r="N1121" s="3" t="str">
        <f>VLOOKUP(G1121,Store!A:H,6,FALSE)</f>
        <v>Baldwin</v>
      </c>
      <c r="O1121" s="3" t="s">
        <v>16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">
        <v>1121.0</v>
      </c>
      <c r="B1122" s="1">
        <v>143.0</v>
      </c>
      <c r="C1122" s="1">
        <v>4.0</v>
      </c>
      <c r="D1122" s="4">
        <v>42989.0</v>
      </c>
      <c r="E1122" s="4">
        <v>42991.0</v>
      </c>
      <c r="F1122" s="4">
        <v>42990.0</v>
      </c>
      <c r="G1122" s="1">
        <v>2.0</v>
      </c>
      <c r="H1122" s="1">
        <v>7.0</v>
      </c>
      <c r="I1122" s="3" t="str">
        <f>VLOOKUP(B1122,Customers!A:J, 10,FALSE)</f>
        <v>Janae Doyle</v>
      </c>
      <c r="J1122" s="3" t="str">
        <f>VLOOKUP(B1122,Customers!A:J,8,FALSE)</f>
        <v>NY</v>
      </c>
      <c r="K1122" s="3" t="str">
        <f>VLOOKUP(B1122,Customers!A:J,7,FALSE)</f>
        <v>Jackson Heights</v>
      </c>
      <c r="L1122" s="3" t="str">
        <f>VLOOKUP(H1122,Staff!A:I,9,FALSE)</f>
        <v>Venita Daniel</v>
      </c>
      <c r="M1122" s="3" t="str">
        <f>VLOOKUP(G1122,Store!A:H,2,FALSE)</f>
        <v>Baldwin Bikes</v>
      </c>
      <c r="N1122" s="3" t="str">
        <f>VLOOKUP(G1122,Store!A:H,6,FALSE)</f>
        <v>Baldwin</v>
      </c>
      <c r="O1122" s="3" t="s">
        <v>16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">
        <v>1122.0</v>
      </c>
      <c r="B1123" s="1">
        <v>1132.0</v>
      </c>
      <c r="C1123" s="1">
        <v>4.0</v>
      </c>
      <c r="D1123" s="4">
        <v>42990.0</v>
      </c>
      <c r="E1123" s="4">
        <v>42992.0</v>
      </c>
      <c r="F1123" s="4">
        <v>42992.0</v>
      </c>
      <c r="G1123" s="1">
        <v>2.0</v>
      </c>
      <c r="H1123" s="1">
        <v>6.0</v>
      </c>
      <c r="I1123" s="3" t="str">
        <f>VLOOKUP(B1123,Customers!A:J, 10,FALSE)</f>
        <v>Parthenia Holman</v>
      </c>
      <c r="J1123" s="3" t="str">
        <f>VLOOKUP(B1123,Customers!A:J,8,FALSE)</f>
        <v>NY</v>
      </c>
      <c r="K1123" s="3" t="str">
        <f>VLOOKUP(B1123,Customers!A:J,7,FALSE)</f>
        <v>Ithaca</v>
      </c>
      <c r="L1123" s="3" t="str">
        <f>VLOOKUP(H1123,Staff!A:I,9,FALSE)</f>
        <v>Marcelene Boyer</v>
      </c>
      <c r="M1123" s="3" t="str">
        <f>VLOOKUP(G1123,Store!A:H,2,FALSE)</f>
        <v>Baldwin Bikes</v>
      </c>
      <c r="N1123" s="3" t="str">
        <f>VLOOKUP(G1123,Store!A:H,6,FALSE)</f>
        <v>Baldwin</v>
      </c>
      <c r="O1123" s="3" t="s">
        <v>16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">
        <v>1123.0</v>
      </c>
      <c r="B1124" s="1">
        <v>598.0</v>
      </c>
      <c r="C1124" s="1">
        <v>4.0</v>
      </c>
      <c r="D1124" s="4">
        <v>42991.0</v>
      </c>
      <c r="E1124" s="4">
        <v>42992.0</v>
      </c>
      <c r="F1124" s="4">
        <v>42992.0</v>
      </c>
      <c r="G1124" s="1">
        <v>2.0</v>
      </c>
      <c r="H1124" s="1">
        <v>7.0</v>
      </c>
      <c r="I1124" s="3" t="str">
        <f>VLOOKUP(B1124,Customers!A:J, 10,FALSE)</f>
        <v>Benito Hendrix</v>
      </c>
      <c r="J1124" s="3" t="str">
        <f>VLOOKUP(B1124,Customers!A:J,8,FALSE)</f>
        <v>NY</v>
      </c>
      <c r="K1124" s="3" t="str">
        <f>VLOOKUP(B1124,Customers!A:J,7,FALSE)</f>
        <v>Depew</v>
      </c>
      <c r="L1124" s="3" t="str">
        <f>VLOOKUP(H1124,Staff!A:I,9,FALSE)</f>
        <v>Venita Daniel</v>
      </c>
      <c r="M1124" s="3" t="str">
        <f>VLOOKUP(G1124,Store!A:H,2,FALSE)</f>
        <v>Baldwin Bikes</v>
      </c>
      <c r="N1124" s="3" t="str">
        <f>VLOOKUP(G1124,Store!A:H,6,FALSE)</f>
        <v>Baldwin</v>
      </c>
      <c r="O1124" s="3" t="s">
        <v>16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">
        <v>1124.0</v>
      </c>
      <c r="B1125" s="1">
        <v>275.0</v>
      </c>
      <c r="C1125" s="1">
        <v>4.0</v>
      </c>
      <c r="D1125" s="4">
        <v>42991.0</v>
      </c>
      <c r="E1125" s="4">
        <v>42992.0</v>
      </c>
      <c r="F1125" s="4">
        <v>42994.0</v>
      </c>
      <c r="G1125" s="1">
        <v>3.0</v>
      </c>
      <c r="H1125" s="1">
        <v>9.0</v>
      </c>
      <c r="I1125" s="3" t="str">
        <f>VLOOKUP(B1125,Customers!A:J, 10,FALSE)</f>
        <v>Pinkie Kirkland</v>
      </c>
      <c r="J1125" s="3" t="str">
        <f>VLOOKUP(B1125,Customers!A:J,8,FALSE)</f>
        <v>TX</v>
      </c>
      <c r="K1125" s="3" t="str">
        <f>VLOOKUP(B1125,Customers!A:J,7,FALSE)</f>
        <v>San Angelo</v>
      </c>
      <c r="L1125" s="3" t="str">
        <f>VLOOKUP(H1125,Staff!A:I,9,FALSE)</f>
        <v>Layla Terrell</v>
      </c>
      <c r="M1125" s="3" t="str">
        <f>VLOOKUP(G1125,Store!A:H,2,FALSE)</f>
        <v>Rowlett Bikes</v>
      </c>
      <c r="N1125" s="3" t="str">
        <f>VLOOKUP(G1125,Store!A:H,6,FALSE)</f>
        <v>Rowlett</v>
      </c>
      <c r="O1125" s="3" t="s">
        <v>17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">
        <v>1125.0</v>
      </c>
      <c r="B1126" s="1">
        <v>945.0</v>
      </c>
      <c r="C1126" s="1">
        <v>4.0</v>
      </c>
      <c r="D1126" s="4">
        <v>42992.0</v>
      </c>
      <c r="E1126" s="4">
        <v>42993.0</v>
      </c>
      <c r="F1126" s="4">
        <v>42993.0</v>
      </c>
      <c r="G1126" s="1">
        <v>2.0</v>
      </c>
      <c r="H1126" s="1">
        <v>7.0</v>
      </c>
      <c r="I1126" s="3" t="str">
        <f>VLOOKUP(B1126,Customers!A:J, 10,FALSE)</f>
        <v>Krissy Ochoa</v>
      </c>
      <c r="J1126" s="3" t="str">
        <f>VLOOKUP(B1126,Customers!A:J,8,FALSE)</f>
        <v>NY</v>
      </c>
      <c r="K1126" s="3" t="str">
        <f>VLOOKUP(B1126,Customers!A:J,7,FALSE)</f>
        <v>Port Washington</v>
      </c>
      <c r="L1126" s="3" t="str">
        <f>VLOOKUP(H1126,Staff!A:I,9,FALSE)</f>
        <v>Venita Daniel</v>
      </c>
      <c r="M1126" s="3" t="str">
        <f>VLOOKUP(G1126,Store!A:H,2,FALSE)</f>
        <v>Baldwin Bikes</v>
      </c>
      <c r="N1126" s="3" t="str">
        <f>VLOOKUP(G1126,Store!A:H,6,FALSE)</f>
        <v>Baldwin</v>
      </c>
      <c r="O1126" s="3" t="s">
        <v>16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">
        <v>1126.0</v>
      </c>
      <c r="B1127" s="1">
        <v>1213.0</v>
      </c>
      <c r="C1127" s="1">
        <v>4.0</v>
      </c>
      <c r="D1127" s="4">
        <v>42992.0</v>
      </c>
      <c r="E1127" s="4">
        <v>42994.0</v>
      </c>
      <c r="F1127" s="4">
        <v>42993.0</v>
      </c>
      <c r="G1127" s="1">
        <v>3.0</v>
      </c>
      <c r="H1127" s="1">
        <v>8.0</v>
      </c>
      <c r="I1127" s="3" t="str">
        <f>VLOOKUP(B1127,Customers!A:J, 10,FALSE)</f>
        <v>Yang Giles</v>
      </c>
      <c r="J1127" s="3" t="str">
        <f>VLOOKUP(B1127,Customers!A:J,8,FALSE)</f>
        <v>TX</v>
      </c>
      <c r="K1127" s="3" t="str">
        <f>VLOOKUP(B1127,Customers!A:J,7,FALSE)</f>
        <v>San Angelo</v>
      </c>
      <c r="L1127" s="3" t="str">
        <f>VLOOKUP(H1127,Staff!A:I,9,FALSE)</f>
        <v>Kali Vargas</v>
      </c>
      <c r="M1127" s="3" t="str">
        <f>VLOOKUP(G1127,Store!A:H,2,FALSE)</f>
        <v>Rowlett Bikes</v>
      </c>
      <c r="N1127" s="3" t="str">
        <f>VLOOKUP(G1127,Store!A:H,6,FALSE)</f>
        <v>Rowlett</v>
      </c>
      <c r="O1127" s="3" t="s">
        <v>17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">
        <v>1127.0</v>
      </c>
      <c r="B1128" s="1">
        <v>494.0</v>
      </c>
      <c r="C1128" s="1">
        <v>4.0</v>
      </c>
      <c r="D1128" s="4">
        <v>42993.0</v>
      </c>
      <c r="E1128" s="4">
        <v>42994.0</v>
      </c>
      <c r="F1128" s="4">
        <v>42994.0</v>
      </c>
      <c r="G1128" s="1">
        <v>2.0</v>
      </c>
      <c r="H1128" s="1">
        <v>7.0</v>
      </c>
      <c r="I1128" s="3" t="str">
        <f>VLOOKUP(B1128,Customers!A:J, 10,FALSE)</f>
        <v>Pearl Fox</v>
      </c>
      <c r="J1128" s="3" t="str">
        <f>VLOOKUP(B1128,Customers!A:J,8,FALSE)</f>
        <v>NY</v>
      </c>
      <c r="K1128" s="3" t="str">
        <f>VLOOKUP(B1128,Customers!A:J,7,FALSE)</f>
        <v>Uniondale</v>
      </c>
      <c r="L1128" s="3" t="str">
        <f>VLOOKUP(H1128,Staff!A:I,9,FALSE)</f>
        <v>Venita Daniel</v>
      </c>
      <c r="M1128" s="3" t="str">
        <f>VLOOKUP(G1128,Store!A:H,2,FALSE)</f>
        <v>Baldwin Bikes</v>
      </c>
      <c r="N1128" s="3" t="str">
        <f>VLOOKUP(G1128,Store!A:H,6,FALSE)</f>
        <v>Baldwin</v>
      </c>
      <c r="O1128" s="3" t="s">
        <v>16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">
        <v>1128.0</v>
      </c>
      <c r="B1129" s="1">
        <v>936.0</v>
      </c>
      <c r="C1129" s="1">
        <v>4.0</v>
      </c>
      <c r="D1129" s="4">
        <v>42993.0</v>
      </c>
      <c r="E1129" s="4">
        <v>42995.0</v>
      </c>
      <c r="F1129" s="4">
        <v>42994.0</v>
      </c>
      <c r="G1129" s="1">
        <v>2.0</v>
      </c>
      <c r="H1129" s="1">
        <v>6.0</v>
      </c>
      <c r="I1129" s="3" t="str">
        <f>VLOOKUP(B1129,Customers!A:J, 10,FALSE)</f>
        <v>Sherilyn Wilcox</v>
      </c>
      <c r="J1129" s="3" t="str">
        <f>VLOOKUP(B1129,Customers!A:J,8,FALSE)</f>
        <v>NY</v>
      </c>
      <c r="K1129" s="3" t="str">
        <f>VLOOKUP(B1129,Customers!A:J,7,FALSE)</f>
        <v>Ossining</v>
      </c>
      <c r="L1129" s="3" t="str">
        <f>VLOOKUP(H1129,Staff!A:I,9,FALSE)</f>
        <v>Marcelene Boyer</v>
      </c>
      <c r="M1129" s="3" t="str">
        <f>VLOOKUP(G1129,Store!A:H,2,FALSE)</f>
        <v>Baldwin Bikes</v>
      </c>
      <c r="N1129" s="3" t="str">
        <f>VLOOKUP(G1129,Store!A:H,6,FALSE)</f>
        <v>Baldwin</v>
      </c>
      <c r="O1129" s="3" t="s">
        <v>16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">
        <v>1129.0</v>
      </c>
      <c r="B1130" s="1">
        <v>663.0</v>
      </c>
      <c r="C1130" s="1">
        <v>4.0</v>
      </c>
      <c r="D1130" s="4">
        <v>42995.0</v>
      </c>
      <c r="E1130" s="4">
        <v>42996.0</v>
      </c>
      <c r="F1130" s="4">
        <v>42998.0</v>
      </c>
      <c r="G1130" s="1">
        <v>2.0</v>
      </c>
      <c r="H1130" s="1">
        <v>6.0</v>
      </c>
      <c r="I1130" s="3" t="str">
        <f>VLOOKUP(B1130,Customers!A:J, 10,FALSE)</f>
        <v>Alissa Hood</v>
      </c>
      <c r="J1130" s="3" t="str">
        <f>VLOOKUP(B1130,Customers!A:J,8,FALSE)</f>
        <v>NY</v>
      </c>
      <c r="K1130" s="3" t="str">
        <f>VLOOKUP(B1130,Customers!A:J,7,FALSE)</f>
        <v>New Windsor</v>
      </c>
      <c r="L1130" s="3" t="str">
        <f>VLOOKUP(H1130,Staff!A:I,9,FALSE)</f>
        <v>Marcelene Boyer</v>
      </c>
      <c r="M1130" s="3" t="str">
        <f>VLOOKUP(G1130,Store!A:H,2,FALSE)</f>
        <v>Baldwin Bikes</v>
      </c>
      <c r="N1130" s="3" t="str">
        <f>VLOOKUP(G1130,Store!A:H,6,FALSE)</f>
        <v>Baldwin</v>
      </c>
      <c r="O1130" s="3" t="s">
        <v>16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">
        <v>1130.0</v>
      </c>
      <c r="B1131" s="1">
        <v>69.0</v>
      </c>
      <c r="C1131" s="1">
        <v>4.0</v>
      </c>
      <c r="D1131" s="4">
        <v>42996.0</v>
      </c>
      <c r="E1131" s="4">
        <v>42998.0</v>
      </c>
      <c r="F1131" s="4">
        <v>42998.0</v>
      </c>
      <c r="G1131" s="1">
        <v>1.0</v>
      </c>
      <c r="H1131" s="1">
        <v>3.0</v>
      </c>
      <c r="I1131" s="3" t="str">
        <f>VLOOKUP(B1131,Customers!A:J, 10,FALSE)</f>
        <v>Katelin Kennedy</v>
      </c>
      <c r="J1131" s="3" t="str">
        <f>VLOOKUP(B1131,Customers!A:J,8,FALSE)</f>
        <v>CA</v>
      </c>
      <c r="K1131" s="3" t="str">
        <f>VLOOKUP(B1131,Customers!A:J,7,FALSE)</f>
        <v>Rocklin</v>
      </c>
      <c r="L1131" s="3" t="str">
        <f>VLOOKUP(H1131,Staff!A:I,9,FALSE)</f>
        <v>Genna Serrano</v>
      </c>
      <c r="M1131" s="3" t="str">
        <f>VLOOKUP(G1131,Store!A:H,2,FALSE)</f>
        <v>Santa Cruz Bikes</v>
      </c>
      <c r="N1131" s="3" t="str">
        <f>VLOOKUP(G1131,Store!A:H,6,FALSE)</f>
        <v>Santa Cruz</v>
      </c>
      <c r="O1131" s="3" t="s">
        <v>15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">
        <v>1131.0</v>
      </c>
      <c r="B1132" s="1">
        <v>1178.0</v>
      </c>
      <c r="C1132" s="1">
        <v>4.0</v>
      </c>
      <c r="D1132" s="4">
        <v>42996.0</v>
      </c>
      <c r="E1132" s="4">
        <v>42998.0</v>
      </c>
      <c r="F1132" s="4">
        <v>42997.0</v>
      </c>
      <c r="G1132" s="1">
        <v>1.0</v>
      </c>
      <c r="H1132" s="1">
        <v>3.0</v>
      </c>
      <c r="I1132" s="3" t="str">
        <f>VLOOKUP(B1132,Customers!A:J, 10,FALSE)</f>
        <v>Wendie Nash</v>
      </c>
      <c r="J1132" s="3" t="str">
        <f>VLOOKUP(B1132,Customers!A:J,8,FALSE)</f>
        <v>CA</v>
      </c>
      <c r="K1132" s="3" t="str">
        <f>VLOOKUP(B1132,Customers!A:J,7,FALSE)</f>
        <v>Oxnard</v>
      </c>
      <c r="L1132" s="3" t="str">
        <f>VLOOKUP(H1132,Staff!A:I,9,FALSE)</f>
        <v>Genna Serrano</v>
      </c>
      <c r="M1132" s="3" t="str">
        <f>VLOOKUP(G1132,Store!A:H,2,FALSE)</f>
        <v>Santa Cruz Bikes</v>
      </c>
      <c r="N1132" s="3" t="str">
        <f>VLOOKUP(G1132,Store!A:H,6,FALSE)</f>
        <v>Santa Cruz</v>
      </c>
      <c r="O1132" s="3" t="s">
        <v>15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">
        <v>1132.0</v>
      </c>
      <c r="B1133" s="1">
        <v>351.0</v>
      </c>
      <c r="C1133" s="1">
        <v>4.0</v>
      </c>
      <c r="D1133" s="4">
        <v>42997.0</v>
      </c>
      <c r="E1133" s="4">
        <v>42998.0</v>
      </c>
      <c r="F1133" s="4">
        <v>42998.0</v>
      </c>
      <c r="G1133" s="1">
        <v>2.0</v>
      </c>
      <c r="H1133" s="1">
        <v>6.0</v>
      </c>
      <c r="I1133" s="3" t="str">
        <f>VLOOKUP(B1133,Customers!A:J, 10,FALSE)</f>
        <v>Margorie Wynn</v>
      </c>
      <c r="J1133" s="3" t="str">
        <f>VLOOKUP(B1133,Customers!A:J,8,FALSE)</f>
        <v>NY</v>
      </c>
      <c r="K1133" s="3" t="str">
        <f>VLOOKUP(B1133,Customers!A:J,7,FALSE)</f>
        <v>Monsey</v>
      </c>
      <c r="L1133" s="3" t="str">
        <f>VLOOKUP(H1133,Staff!A:I,9,FALSE)</f>
        <v>Marcelene Boyer</v>
      </c>
      <c r="M1133" s="3" t="str">
        <f>VLOOKUP(G1133,Store!A:H,2,FALSE)</f>
        <v>Baldwin Bikes</v>
      </c>
      <c r="N1133" s="3" t="str">
        <f>VLOOKUP(G1133,Store!A:H,6,FALSE)</f>
        <v>Baldwin</v>
      </c>
      <c r="O1133" s="3" t="s">
        <v>16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">
        <v>1133.0</v>
      </c>
      <c r="B1134" s="1">
        <v>517.0</v>
      </c>
      <c r="C1134" s="1">
        <v>4.0</v>
      </c>
      <c r="D1134" s="4">
        <v>42997.0</v>
      </c>
      <c r="E1134" s="4">
        <v>42999.0</v>
      </c>
      <c r="F1134" s="4">
        <v>42999.0</v>
      </c>
      <c r="G1134" s="1">
        <v>2.0</v>
      </c>
      <c r="H1134" s="1">
        <v>7.0</v>
      </c>
      <c r="I1134" s="3" t="str">
        <f>VLOOKUP(B1134,Customers!A:J, 10,FALSE)</f>
        <v>Buford Gilbert</v>
      </c>
      <c r="J1134" s="3" t="str">
        <f>VLOOKUP(B1134,Customers!A:J,8,FALSE)</f>
        <v>NY</v>
      </c>
      <c r="K1134" s="3" t="str">
        <f>VLOOKUP(B1134,Customers!A:J,7,FALSE)</f>
        <v>Bellmore</v>
      </c>
      <c r="L1134" s="3" t="str">
        <f>VLOOKUP(H1134,Staff!A:I,9,FALSE)</f>
        <v>Venita Daniel</v>
      </c>
      <c r="M1134" s="3" t="str">
        <f>VLOOKUP(G1134,Store!A:H,2,FALSE)</f>
        <v>Baldwin Bikes</v>
      </c>
      <c r="N1134" s="3" t="str">
        <f>VLOOKUP(G1134,Store!A:H,6,FALSE)</f>
        <v>Baldwin</v>
      </c>
      <c r="O1134" s="3" t="s">
        <v>16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">
        <v>1134.0</v>
      </c>
      <c r="B1135" s="1">
        <v>978.0</v>
      </c>
      <c r="C1135" s="1">
        <v>4.0</v>
      </c>
      <c r="D1135" s="4">
        <v>42997.0</v>
      </c>
      <c r="E1135" s="4">
        <v>43000.0</v>
      </c>
      <c r="F1135" s="4">
        <v>42998.0</v>
      </c>
      <c r="G1135" s="1">
        <v>2.0</v>
      </c>
      <c r="H1135" s="1">
        <v>6.0</v>
      </c>
      <c r="I1135" s="3" t="str">
        <f>VLOOKUP(B1135,Customers!A:J, 10,FALSE)</f>
        <v>Diana Reyes</v>
      </c>
      <c r="J1135" s="3" t="str">
        <f>VLOOKUP(B1135,Customers!A:J,8,FALSE)</f>
        <v>NY</v>
      </c>
      <c r="K1135" s="3" t="str">
        <f>VLOOKUP(B1135,Customers!A:J,7,FALSE)</f>
        <v>Bronx</v>
      </c>
      <c r="L1135" s="3" t="str">
        <f>VLOOKUP(H1135,Staff!A:I,9,FALSE)</f>
        <v>Marcelene Boyer</v>
      </c>
      <c r="M1135" s="3" t="str">
        <f>VLOOKUP(G1135,Store!A:H,2,FALSE)</f>
        <v>Baldwin Bikes</v>
      </c>
      <c r="N1135" s="3" t="str">
        <f>VLOOKUP(G1135,Store!A:H,6,FALSE)</f>
        <v>Baldwin</v>
      </c>
      <c r="O1135" s="3" t="s">
        <v>16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">
        <v>1135.0</v>
      </c>
      <c r="B1136" s="1">
        <v>1347.0</v>
      </c>
      <c r="C1136" s="1">
        <v>4.0</v>
      </c>
      <c r="D1136" s="4">
        <v>42997.0</v>
      </c>
      <c r="E1136" s="4">
        <v>42999.0</v>
      </c>
      <c r="F1136" s="4">
        <v>42998.0</v>
      </c>
      <c r="G1136" s="1">
        <v>2.0</v>
      </c>
      <c r="H1136" s="1">
        <v>6.0</v>
      </c>
      <c r="I1136" s="3" t="str">
        <f>VLOOKUP(B1136,Customers!A:J, 10,FALSE)</f>
        <v>Kate Barber</v>
      </c>
      <c r="J1136" s="3" t="str">
        <f>VLOOKUP(B1136,Customers!A:J,8,FALSE)</f>
        <v>NY</v>
      </c>
      <c r="K1136" s="3" t="str">
        <f>VLOOKUP(B1136,Customers!A:J,7,FALSE)</f>
        <v>Saratoga Springs</v>
      </c>
      <c r="L1136" s="3" t="str">
        <f>VLOOKUP(H1136,Staff!A:I,9,FALSE)</f>
        <v>Marcelene Boyer</v>
      </c>
      <c r="M1136" s="3" t="str">
        <f>VLOOKUP(G1136,Store!A:H,2,FALSE)</f>
        <v>Baldwin Bikes</v>
      </c>
      <c r="N1136" s="3" t="str">
        <f>VLOOKUP(G1136,Store!A:H,6,FALSE)</f>
        <v>Baldwin</v>
      </c>
      <c r="O1136" s="3" t="s">
        <v>16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">
        <v>1136.0</v>
      </c>
      <c r="B1137" s="1">
        <v>1050.0</v>
      </c>
      <c r="C1137" s="1">
        <v>4.0</v>
      </c>
      <c r="D1137" s="4">
        <v>42998.0</v>
      </c>
      <c r="E1137" s="4">
        <v>42999.0</v>
      </c>
      <c r="F1137" s="4">
        <v>42999.0</v>
      </c>
      <c r="G1137" s="1">
        <v>2.0</v>
      </c>
      <c r="H1137" s="1">
        <v>6.0</v>
      </c>
      <c r="I1137" s="3" t="str">
        <f>VLOOKUP(B1137,Customers!A:J, 10,FALSE)</f>
        <v>Rozella Fitzgerald</v>
      </c>
      <c r="J1137" s="3" t="str">
        <f>VLOOKUP(B1137,Customers!A:J,8,FALSE)</f>
        <v>NY</v>
      </c>
      <c r="K1137" s="3" t="str">
        <f>VLOOKUP(B1137,Customers!A:J,7,FALSE)</f>
        <v>Shirley</v>
      </c>
      <c r="L1137" s="3" t="str">
        <f>VLOOKUP(H1137,Staff!A:I,9,FALSE)</f>
        <v>Marcelene Boyer</v>
      </c>
      <c r="M1137" s="3" t="str">
        <f>VLOOKUP(G1137,Store!A:H,2,FALSE)</f>
        <v>Baldwin Bikes</v>
      </c>
      <c r="N1137" s="3" t="str">
        <f>VLOOKUP(G1137,Store!A:H,6,FALSE)</f>
        <v>Baldwin</v>
      </c>
      <c r="O1137" s="3" t="s">
        <v>16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">
        <v>1137.0</v>
      </c>
      <c r="B1138" s="1">
        <v>810.0</v>
      </c>
      <c r="C1138" s="1">
        <v>4.0</v>
      </c>
      <c r="D1138" s="4">
        <v>42998.0</v>
      </c>
      <c r="E1138" s="4">
        <v>43001.0</v>
      </c>
      <c r="F1138" s="4">
        <v>43001.0</v>
      </c>
      <c r="G1138" s="1">
        <v>3.0</v>
      </c>
      <c r="H1138" s="1">
        <v>8.0</v>
      </c>
      <c r="I1138" s="3" t="str">
        <f>VLOOKUP(B1138,Customers!A:J, 10,FALSE)</f>
        <v>Ivelisse Nixon</v>
      </c>
      <c r="J1138" s="3" t="str">
        <f>VLOOKUP(B1138,Customers!A:J,8,FALSE)</f>
        <v>TX</v>
      </c>
      <c r="K1138" s="3" t="str">
        <f>VLOOKUP(B1138,Customers!A:J,7,FALSE)</f>
        <v>Houston</v>
      </c>
      <c r="L1138" s="3" t="str">
        <f>VLOOKUP(H1138,Staff!A:I,9,FALSE)</f>
        <v>Kali Vargas</v>
      </c>
      <c r="M1138" s="3" t="str">
        <f>VLOOKUP(G1138,Store!A:H,2,FALSE)</f>
        <v>Rowlett Bikes</v>
      </c>
      <c r="N1138" s="3" t="str">
        <f>VLOOKUP(G1138,Store!A:H,6,FALSE)</f>
        <v>Rowlett</v>
      </c>
      <c r="O1138" s="3" t="s">
        <v>17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">
        <v>1138.0</v>
      </c>
      <c r="B1139" s="1">
        <v>254.0</v>
      </c>
      <c r="C1139" s="1">
        <v>4.0</v>
      </c>
      <c r="D1139" s="4">
        <v>42999.0</v>
      </c>
      <c r="E1139" s="4">
        <v>43001.0</v>
      </c>
      <c r="F1139" s="4">
        <v>43000.0</v>
      </c>
      <c r="G1139" s="1">
        <v>1.0</v>
      </c>
      <c r="H1139" s="1">
        <v>2.0</v>
      </c>
      <c r="I1139" s="3" t="str">
        <f>VLOOKUP(B1139,Customers!A:J, 10,FALSE)</f>
        <v>Cristobal Hutchinson</v>
      </c>
      <c r="J1139" s="3" t="str">
        <f>VLOOKUP(B1139,Customers!A:J,8,FALSE)</f>
        <v>CA</v>
      </c>
      <c r="K1139" s="3" t="str">
        <f>VLOOKUP(B1139,Customers!A:J,7,FALSE)</f>
        <v>Lawndale</v>
      </c>
      <c r="L1139" s="3" t="str">
        <f>VLOOKUP(H1139,Staff!A:I,9,FALSE)</f>
        <v>Mireya Copeland</v>
      </c>
      <c r="M1139" s="3" t="str">
        <f>VLOOKUP(G1139,Store!A:H,2,FALSE)</f>
        <v>Santa Cruz Bikes</v>
      </c>
      <c r="N1139" s="3" t="str">
        <f>VLOOKUP(G1139,Store!A:H,6,FALSE)</f>
        <v>Santa Cruz</v>
      </c>
      <c r="O1139" s="3" t="s">
        <v>15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">
        <v>1139.0</v>
      </c>
      <c r="B1140" s="1">
        <v>1006.0</v>
      </c>
      <c r="C1140" s="1">
        <v>4.0</v>
      </c>
      <c r="D1140" s="4">
        <v>42999.0</v>
      </c>
      <c r="E1140" s="4">
        <v>43000.0</v>
      </c>
      <c r="F1140" s="4">
        <v>43001.0</v>
      </c>
      <c r="G1140" s="1">
        <v>1.0</v>
      </c>
      <c r="H1140" s="1">
        <v>2.0</v>
      </c>
      <c r="I1140" s="3" t="str">
        <f>VLOOKUP(B1140,Customers!A:J, 10,FALSE)</f>
        <v>Marjory Leonard</v>
      </c>
      <c r="J1140" s="3" t="str">
        <f>VLOOKUP(B1140,Customers!A:J,8,FALSE)</f>
        <v>CA</v>
      </c>
      <c r="K1140" s="3" t="str">
        <f>VLOOKUP(B1140,Customers!A:J,7,FALSE)</f>
        <v>Apple Valley</v>
      </c>
      <c r="L1140" s="3" t="str">
        <f>VLOOKUP(H1140,Staff!A:I,9,FALSE)</f>
        <v>Mireya Copeland</v>
      </c>
      <c r="M1140" s="3" t="str">
        <f>VLOOKUP(G1140,Store!A:H,2,FALSE)</f>
        <v>Santa Cruz Bikes</v>
      </c>
      <c r="N1140" s="3" t="str">
        <f>VLOOKUP(G1140,Store!A:H,6,FALSE)</f>
        <v>Santa Cruz</v>
      </c>
      <c r="O1140" s="3" t="s">
        <v>15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">
        <v>1140.0</v>
      </c>
      <c r="B1141" s="1">
        <v>1063.0</v>
      </c>
      <c r="C1141" s="1">
        <v>4.0</v>
      </c>
      <c r="D1141" s="4">
        <v>42999.0</v>
      </c>
      <c r="E1141" s="4">
        <v>43000.0</v>
      </c>
      <c r="F1141" s="4">
        <v>43000.0</v>
      </c>
      <c r="G1141" s="1">
        <v>3.0</v>
      </c>
      <c r="H1141" s="1">
        <v>8.0</v>
      </c>
      <c r="I1141" s="3" t="str">
        <f>VLOOKUP(B1141,Customers!A:J, 10,FALSE)</f>
        <v>Tammy Austin</v>
      </c>
      <c r="J1141" s="3" t="str">
        <f>VLOOKUP(B1141,Customers!A:J,8,FALSE)</f>
        <v>TX</v>
      </c>
      <c r="K1141" s="3" t="str">
        <f>VLOOKUP(B1141,Customers!A:J,7,FALSE)</f>
        <v>Lake Jackson</v>
      </c>
      <c r="L1141" s="3" t="str">
        <f>VLOOKUP(H1141,Staff!A:I,9,FALSE)</f>
        <v>Kali Vargas</v>
      </c>
      <c r="M1141" s="3" t="str">
        <f>VLOOKUP(G1141,Store!A:H,2,FALSE)</f>
        <v>Rowlett Bikes</v>
      </c>
      <c r="N1141" s="3" t="str">
        <f>VLOOKUP(G1141,Store!A:H,6,FALSE)</f>
        <v>Rowlett</v>
      </c>
      <c r="O1141" s="3" t="s">
        <v>17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">
        <v>1141.0</v>
      </c>
      <c r="B1142" s="1">
        <v>1076.0</v>
      </c>
      <c r="C1142" s="1">
        <v>4.0</v>
      </c>
      <c r="D1142" s="4">
        <v>43000.0</v>
      </c>
      <c r="E1142" s="4">
        <v>43001.0</v>
      </c>
      <c r="F1142" s="4">
        <v>43002.0</v>
      </c>
      <c r="G1142" s="1">
        <v>1.0</v>
      </c>
      <c r="H1142" s="1">
        <v>2.0</v>
      </c>
      <c r="I1142" s="3" t="str">
        <f>VLOOKUP(B1142,Customers!A:J, 10,FALSE)</f>
        <v>Sherise Mercer</v>
      </c>
      <c r="J1142" s="3" t="str">
        <f>VLOOKUP(B1142,Customers!A:J,8,FALSE)</f>
        <v>CA</v>
      </c>
      <c r="K1142" s="3" t="str">
        <f>VLOOKUP(B1142,Customers!A:J,7,FALSE)</f>
        <v>Vista</v>
      </c>
      <c r="L1142" s="3" t="str">
        <f>VLOOKUP(H1142,Staff!A:I,9,FALSE)</f>
        <v>Mireya Copeland</v>
      </c>
      <c r="M1142" s="3" t="str">
        <f>VLOOKUP(G1142,Store!A:H,2,FALSE)</f>
        <v>Santa Cruz Bikes</v>
      </c>
      <c r="N1142" s="3" t="str">
        <f>VLOOKUP(G1142,Store!A:H,6,FALSE)</f>
        <v>Santa Cruz</v>
      </c>
      <c r="O1142" s="3" t="s">
        <v>15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">
        <v>1142.0</v>
      </c>
      <c r="B1143" s="1">
        <v>554.0</v>
      </c>
      <c r="C1143" s="1">
        <v>4.0</v>
      </c>
      <c r="D1143" s="4">
        <v>43001.0</v>
      </c>
      <c r="E1143" s="4">
        <v>43004.0</v>
      </c>
      <c r="F1143" s="4">
        <v>43004.0</v>
      </c>
      <c r="G1143" s="1">
        <v>1.0</v>
      </c>
      <c r="H1143" s="1">
        <v>3.0</v>
      </c>
      <c r="I1143" s="3" t="str">
        <f>VLOOKUP(B1143,Customers!A:J, 10,FALSE)</f>
        <v>Hilde Nieves</v>
      </c>
      <c r="J1143" s="3" t="str">
        <f>VLOOKUP(B1143,Customers!A:J,8,FALSE)</f>
        <v>CA</v>
      </c>
      <c r="K1143" s="3" t="str">
        <f>VLOOKUP(B1143,Customers!A:J,7,FALSE)</f>
        <v>Campbell</v>
      </c>
      <c r="L1143" s="3" t="str">
        <f>VLOOKUP(H1143,Staff!A:I,9,FALSE)</f>
        <v>Genna Serrano</v>
      </c>
      <c r="M1143" s="3" t="str">
        <f>VLOOKUP(G1143,Store!A:H,2,FALSE)</f>
        <v>Santa Cruz Bikes</v>
      </c>
      <c r="N1143" s="3" t="str">
        <f>VLOOKUP(G1143,Store!A:H,6,FALSE)</f>
        <v>Santa Cruz</v>
      </c>
      <c r="O1143" s="3" t="s">
        <v>15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">
        <v>1143.0</v>
      </c>
      <c r="B1144" s="1">
        <v>1087.0</v>
      </c>
      <c r="C1144" s="1">
        <v>4.0</v>
      </c>
      <c r="D1144" s="4">
        <v>43002.0</v>
      </c>
      <c r="E1144" s="4">
        <v>43004.0</v>
      </c>
      <c r="F1144" s="4">
        <v>43005.0</v>
      </c>
      <c r="G1144" s="1">
        <v>1.0</v>
      </c>
      <c r="H1144" s="1">
        <v>2.0</v>
      </c>
      <c r="I1144" s="3" t="str">
        <f>VLOOKUP(B1144,Customers!A:J, 10,FALSE)</f>
        <v>Willow Gardner</v>
      </c>
      <c r="J1144" s="3" t="str">
        <f>VLOOKUP(B1144,Customers!A:J,8,FALSE)</f>
        <v>CA</v>
      </c>
      <c r="K1144" s="3" t="str">
        <f>VLOOKUP(B1144,Customers!A:J,7,FALSE)</f>
        <v>Pleasanton</v>
      </c>
      <c r="L1144" s="3" t="str">
        <f>VLOOKUP(H1144,Staff!A:I,9,FALSE)</f>
        <v>Mireya Copeland</v>
      </c>
      <c r="M1144" s="3" t="str">
        <f>VLOOKUP(G1144,Store!A:H,2,FALSE)</f>
        <v>Santa Cruz Bikes</v>
      </c>
      <c r="N1144" s="3" t="str">
        <f>VLOOKUP(G1144,Store!A:H,6,FALSE)</f>
        <v>Santa Cruz</v>
      </c>
      <c r="O1144" s="3" t="s">
        <v>15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">
        <v>1144.0</v>
      </c>
      <c r="B1145" s="1">
        <v>1414.0</v>
      </c>
      <c r="C1145" s="1">
        <v>4.0</v>
      </c>
      <c r="D1145" s="4">
        <v>43002.0</v>
      </c>
      <c r="E1145" s="4">
        <v>43005.0</v>
      </c>
      <c r="F1145" s="4">
        <v>43005.0</v>
      </c>
      <c r="G1145" s="1">
        <v>2.0</v>
      </c>
      <c r="H1145" s="1">
        <v>7.0</v>
      </c>
      <c r="I1145" s="3" t="str">
        <f>VLOOKUP(B1145,Customers!A:J, 10,FALSE)</f>
        <v>Sonja Walls</v>
      </c>
      <c r="J1145" s="3" t="str">
        <f>VLOOKUP(B1145,Customers!A:J,8,FALSE)</f>
        <v>NY</v>
      </c>
      <c r="K1145" s="3" t="str">
        <f>VLOOKUP(B1145,Customers!A:J,7,FALSE)</f>
        <v>Queensbury</v>
      </c>
      <c r="L1145" s="3" t="str">
        <f>VLOOKUP(H1145,Staff!A:I,9,FALSE)</f>
        <v>Venita Daniel</v>
      </c>
      <c r="M1145" s="3" t="str">
        <f>VLOOKUP(G1145,Store!A:H,2,FALSE)</f>
        <v>Baldwin Bikes</v>
      </c>
      <c r="N1145" s="3" t="str">
        <f>VLOOKUP(G1145,Store!A:H,6,FALSE)</f>
        <v>Baldwin</v>
      </c>
      <c r="O1145" s="3" t="s">
        <v>16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">
        <v>1145.0</v>
      </c>
      <c r="B1146" s="1">
        <v>617.0</v>
      </c>
      <c r="C1146" s="1">
        <v>4.0</v>
      </c>
      <c r="D1146" s="4">
        <v>43003.0</v>
      </c>
      <c r="E1146" s="4">
        <v>43005.0</v>
      </c>
      <c r="F1146" s="4">
        <v>43004.0</v>
      </c>
      <c r="G1146" s="1">
        <v>2.0</v>
      </c>
      <c r="H1146" s="1">
        <v>6.0</v>
      </c>
      <c r="I1146" s="3" t="str">
        <f>VLOOKUP(B1146,Customers!A:J, 10,FALSE)</f>
        <v>Jenna Saunders</v>
      </c>
      <c r="J1146" s="3" t="str">
        <f>VLOOKUP(B1146,Customers!A:J,8,FALSE)</f>
        <v>NY</v>
      </c>
      <c r="K1146" s="3" t="str">
        <f>VLOOKUP(B1146,Customers!A:J,7,FALSE)</f>
        <v>Yorktown Heights</v>
      </c>
      <c r="L1146" s="3" t="str">
        <f>VLOOKUP(H1146,Staff!A:I,9,FALSE)</f>
        <v>Marcelene Boyer</v>
      </c>
      <c r="M1146" s="3" t="str">
        <f>VLOOKUP(G1146,Store!A:H,2,FALSE)</f>
        <v>Baldwin Bikes</v>
      </c>
      <c r="N1146" s="3" t="str">
        <f>VLOOKUP(G1146,Store!A:H,6,FALSE)</f>
        <v>Baldwin</v>
      </c>
      <c r="O1146" s="3" t="s">
        <v>16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">
        <v>1146.0</v>
      </c>
      <c r="B1147" s="1">
        <v>757.0</v>
      </c>
      <c r="C1147" s="1">
        <v>4.0</v>
      </c>
      <c r="D1147" s="4">
        <v>43003.0</v>
      </c>
      <c r="E1147" s="4">
        <v>43004.0</v>
      </c>
      <c r="F1147" s="4">
        <v>43006.0</v>
      </c>
      <c r="G1147" s="1">
        <v>2.0</v>
      </c>
      <c r="H1147" s="1">
        <v>7.0</v>
      </c>
      <c r="I1147" s="3" t="str">
        <f>VLOOKUP(B1147,Customers!A:J, 10,FALSE)</f>
        <v>Lamar Greer</v>
      </c>
      <c r="J1147" s="3" t="str">
        <f>VLOOKUP(B1147,Customers!A:J,8,FALSE)</f>
        <v>NY</v>
      </c>
      <c r="K1147" s="3" t="str">
        <f>VLOOKUP(B1147,Customers!A:J,7,FALSE)</f>
        <v>Levittown</v>
      </c>
      <c r="L1147" s="3" t="str">
        <f>VLOOKUP(H1147,Staff!A:I,9,FALSE)</f>
        <v>Venita Daniel</v>
      </c>
      <c r="M1147" s="3" t="str">
        <f>VLOOKUP(G1147,Store!A:H,2,FALSE)</f>
        <v>Baldwin Bikes</v>
      </c>
      <c r="N1147" s="3" t="str">
        <f>VLOOKUP(G1147,Store!A:H,6,FALSE)</f>
        <v>Baldwin</v>
      </c>
      <c r="O1147" s="3" t="s">
        <v>16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">
        <v>1147.0</v>
      </c>
      <c r="B1148" s="1">
        <v>1344.0</v>
      </c>
      <c r="C1148" s="1">
        <v>4.0</v>
      </c>
      <c r="D1148" s="4">
        <v>43003.0</v>
      </c>
      <c r="E1148" s="4">
        <v>43004.0</v>
      </c>
      <c r="F1148" s="4">
        <v>43005.0</v>
      </c>
      <c r="G1148" s="1">
        <v>2.0</v>
      </c>
      <c r="H1148" s="1">
        <v>6.0</v>
      </c>
      <c r="I1148" s="3" t="str">
        <f>VLOOKUP(B1148,Customers!A:J, 10,FALSE)</f>
        <v>Eloisa Tucker</v>
      </c>
      <c r="J1148" s="3" t="str">
        <f>VLOOKUP(B1148,Customers!A:J,8,FALSE)</f>
        <v>NY</v>
      </c>
      <c r="K1148" s="3" t="str">
        <f>VLOOKUP(B1148,Customers!A:J,7,FALSE)</f>
        <v>Howard Beach</v>
      </c>
      <c r="L1148" s="3" t="str">
        <f>VLOOKUP(H1148,Staff!A:I,9,FALSE)</f>
        <v>Marcelene Boyer</v>
      </c>
      <c r="M1148" s="3" t="str">
        <f>VLOOKUP(G1148,Store!A:H,2,FALSE)</f>
        <v>Baldwin Bikes</v>
      </c>
      <c r="N1148" s="3" t="str">
        <f>VLOOKUP(G1148,Store!A:H,6,FALSE)</f>
        <v>Baldwin</v>
      </c>
      <c r="O1148" s="3" t="s">
        <v>16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">
        <v>1148.0</v>
      </c>
      <c r="B1149" s="1">
        <v>1379.0</v>
      </c>
      <c r="C1149" s="1">
        <v>4.0</v>
      </c>
      <c r="D1149" s="4">
        <v>43003.0</v>
      </c>
      <c r="E1149" s="4">
        <v>43004.0</v>
      </c>
      <c r="F1149" s="4">
        <v>43005.0</v>
      </c>
      <c r="G1149" s="1">
        <v>2.0</v>
      </c>
      <c r="H1149" s="1">
        <v>7.0</v>
      </c>
      <c r="I1149" s="3" t="str">
        <f>VLOOKUP(B1149,Customers!A:J, 10,FALSE)</f>
        <v>Dorine Thornton</v>
      </c>
      <c r="J1149" s="3" t="str">
        <f>VLOOKUP(B1149,Customers!A:J,8,FALSE)</f>
        <v>NY</v>
      </c>
      <c r="K1149" s="3" t="str">
        <f>VLOOKUP(B1149,Customers!A:J,7,FALSE)</f>
        <v>Sunnyside</v>
      </c>
      <c r="L1149" s="3" t="str">
        <f>VLOOKUP(H1149,Staff!A:I,9,FALSE)</f>
        <v>Venita Daniel</v>
      </c>
      <c r="M1149" s="3" t="str">
        <f>VLOOKUP(G1149,Store!A:H,2,FALSE)</f>
        <v>Baldwin Bikes</v>
      </c>
      <c r="N1149" s="3" t="str">
        <f>VLOOKUP(G1149,Store!A:H,6,FALSE)</f>
        <v>Baldwin</v>
      </c>
      <c r="O1149" s="3" t="s">
        <v>16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">
        <v>1149.0</v>
      </c>
      <c r="B1150" s="1">
        <v>787.0</v>
      </c>
      <c r="C1150" s="1">
        <v>4.0</v>
      </c>
      <c r="D1150" s="4">
        <v>43005.0</v>
      </c>
      <c r="E1150" s="4">
        <v>43008.0</v>
      </c>
      <c r="F1150" s="4">
        <v>43008.0</v>
      </c>
      <c r="G1150" s="1">
        <v>2.0</v>
      </c>
      <c r="H1150" s="1">
        <v>7.0</v>
      </c>
      <c r="I1150" s="3" t="str">
        <f>VLOOKUP(B1150,Customers!A:J, 10,FALSE)</f>
        <v>Malisa Mitchell</v>
      </c>
      <c r="J1150" s="3" t="str">
        <f>VLOOKUP(B1150,Customers!A:J,8,FALSE)</f>
        <v>NY</v>
      </c>
      <c r="K1150" s="3" t="str">
        <f>VLOOKUP(B1150,Customers!A:J,7,FALSE)</f>
        <v>Mount Vernon</v>
      </c>
      <c r="L1150" s="3" t="str">
        <f>VLOOKUP(H1150,Staff!A:I,9,FALSE)</f>
        <v>Venita Daniel</v>
      </c>
      <c r="M1150" s="3" t="str">
        <f>VLOOKUP(G1150,Store!A:H,2,FALSE)</f>
        <v>Baldwin Bikes</v>
      </c>
      <c r="N1150" s="3" t="str">
        <f>VLOOKUP(G1150,Store!A:H,6,FALSE)</f>
        <v>Baldwin</v>
      </c>
      <c r="O1150" s="3" t="s">
        <v>16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">
        <v>1150.0</v>
      </c>
      <c r="B1151" s="1">
        <v>1183.0</v>
      </c>
      <c r="C1151" s="1">
        <v>4.0</v>
      </c>
      <c r="D1151" s="4">
        <v>43006.0</v>
      </c>
      <c r="E1151" s="4">
        <v>43009.0</v>
      </c>
      <c r="F1151" s="4">
        <v>43008.0</v>
      </c>
      <c r="G1151" s="1">
        <v>2.0</v>
      </c>
      <c r="H1151" s="1">
        <v>7.0</v>
      </c>
      <c r="I1151" s="3" t="str">
        <f>VLOOKUP(B1151,Customers!A:J, 10,FALSE)</f>
        <v>Kim Clark</v>
      </c>
      <c r="J1151" s="3" t="str">
        <f>VLOOKUP(B1151,Customers!A:J,8,FALSE)</f>
        <v>NY</v>
      </c>
      <c r="K1151" s="3" t="str">
        <f>VLOOKUP(B1151,Customers!A:J,7,FALSE)</f>
        <v>Merrick</v>
      </c>
      <c r="L1151" s="3" t="str">
        <f>VLOOKUP(H1151,Staff!A:I,9,FALSE)</f>
        <v>Venita Daniel</v>
      </c>
      <c r="M1151" s="3" t="str">
        <f>VLOOKUP(G1151,Store!A:H,2,FALSE)</f>
        <v>Baldwin Bikes</v>
      </c>
      <c r="N1151" s="3" t="str">
        <f>VLOOKUP(G1151,Store!A:H,6,FALSE)</f>
        <v>Baldwin</v>
      </c>
      <c r="O1151" s="3" t="s">
        <v>16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">
        <v>1151.0</v>
      </c>
      <c r="B1152" s="1">
        <v>708.0</v>
      </c>
      <c r="C1152" s="1">
        <v>4.0</v>
      </c>
      <c r="D1152" s="4">
        <v>43007.0</v>
      </c>
      <c r="E1152" s="4">
        <v>43008.0</v>
      </c>
      <c r="F1152" s="4">
        <v>43008.0</v>
      </c>
      <c r="G1152" s="1">
        <v>1.0</v>
      </c>
      <c r="H1152" s="1">
        <v>3.0</v>
      </c>
      <c r="I1152" s="3" t="str">
        <f>VLOOKUP(B1152,Customers!A:J, 10,FALSE)</f>
        <v>Majorie Glover</v>
      </c>
      <c r="J1152" s="3" t="str">
        <f>VLOOKUP(B1152,Customers!A:J,8,FALSE)</f>
        <v>CA</v>
      </c>
      <c r="K1152" s="3" t="str">
        <f>VLOOKUP(B1152,Customers!A:J,7,FALSE)</f>
        <v>Apple Valley</v>
      </c>
      <c r="L1152" s="3" t="str">
        <f>VLOOKUP(H1152,Staff!A:I,9,FALSE)</f>
        <v>Genna Serrano</v>
      </c>
      <c r="M1152" s="3" t="str">
        <f>VLOOKUP(G1152,Store!A:H,2,FALSE)</f>
        <v>Santa Cruz Bikes</v>
      </c>
      <c r="N1152" s="3" t="str">
        <f>VLOOKUP(G1152,Store!A:H,6,FALSE)</f>
        <v>Santa Cruz</v>
      </c>
      <c r="O1152" s="3" t="s">
        <v>15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">
        <v>1152.0</v>
      </c>
      <c r="B1153" s="1">
        <v>1244.0</v>
      </c>
      <c r="C1153" s="1">
        <v>4.0</v>
      </c>
      <c r="D1153" s="4">
        <v>43007.0</v>
      </c>
      <c r="E1153" s="4">
        <v>43010.0</v>
      </c>
      <c r="F1153" s="4">
        <v>43009.0</v>
      </c>
      <c r="G1153" s="1">
        <v>2.0</v>
      </c>
      <c r="H1153" s="1">
        <v>6.0</v>
      </c>
      <c r="I1153" s="3" t="str">
        <f>VLOOKUP(B1153,Customers!A:J, 10,FALSE)</f>
        <v>Trang Hardin</v>
      </c>
      <c r="J1153" s="3" t="str">
        <f>VLOOKUP(B1153,Customers!A:J,8,FALSE)</f>
        <v>NY</v>
      </c>
      <c r="K1153" s="3" t="str">
        <f>VLOOKUP(B1153,Customers!A:J,7,FALSE)</f>
        <v>Depew</v>
      </c>
      <c r="L1153" s="3" t="str">
        <f>VLOOKUP(H1153,Staff!A:I,9,FALSE)</f>
        <v>Marcelene Boyer</v>
      </c>
      <c r="M1153" s="3" t="str">
        <f>VLOOKUP(G1153,Store!A:H,2,FALSE)</f>
        <v>Baldwin Bikes</v>
      </c>
      <c r="N1153" s="3" t="str">
        <f>VLOOKUP(G1153,Store!A:H,6,FALSE)</f>
        <v>Baldwin</v>
      </c>
      <c r="O1153" s="3" t="s">
        <v>16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">
        <v>1153.0</v>
      </c>
      <c r="B1154" s="1">
        <v>720.0</v>
      </c>
      <c r="C1154" s="1">
        <v>4.0</v>
      </c>
      <c r="D1154" s="4">
        <v>43008.0</v>
      </c>
      <c r="E1154" s="4">
        <v>43011.0</v>
      </c>
      <c r="F1154" s="4">
        <v>43011.0</v>
      </c>
      <c r="G1154" s="1">
        <v>2.0</v>
      </c>
      <c r="H1154" s="1">
        <v>7.0</v>
      </c>
      <c r="I1154" s="3" t="str">
        <f>VLOOKUP(B1154,Customers!A:J, 10,FALSE)</f>
        <v>Devin Shaffer</v>
      </c>
      <c r="J1154" s="3" t="str">
        <f>VLOOKUP(B1154,Customers!A:J,8,FALSE)</f>
        <v>NY</v>
      </c>
      <c r="K1154" s="3" t="str">
        <f>VLOOKUP(B1154,Customers!A:J,7,FALSE)</f>
        <v>Rochester</v>
      </c>
      <c r="L1154" s="3" t="str">
        <f>VLOOKUP(H1154,Staff!A:I,9,FALSE)</f>
        <v>Venita Daniel</v>
      </c>
      <c r="M1154" s="3" t="str">
        <f>VLOOKUP(G1154,Store!A:H,2,FALSE)</f>
        <v>Baldwin Bikes</v>
      </c>
      <c r="N1154" s="3" t="str">
        <f>VLOOKUP(G1154,Store!A:H,6,FALSE)</f>
        <v>Baldwin</v>
      </c>
      <c r="O1154" s="3" t="s">
        <v>16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">
        <v>1154.0</v>
      </c>
      <c r="B1155" s="1">
        <v>789.0</v>
      </c>
      <c r="C1155" s="1">
        <v>4.0</v>
      </c>
      <c r="D1155" s="4">
        <v>43008.0</v>
      </c>
      <c r="E1155" s="4">
        <v>43011.0</v>
      </c>
      <c r="F1155" s="4">
        <v>43011.0</v>
      </c>
      <c r="G1155" s="1">
        <v>2.0</v>
      </c>
      <c r="H1155" s="1">
        <v>7.0</v>
      </c>
      <c r="I1155" s="3" t="str">
        <f>VLOOKUP(B1155,Customers!A:J, 10,FALSE)</f>
        <v>Tad Gardner</v>
      </c>
      <c r="J1155" s="3" t="str">
        <f>VLOOKUP(B1155,Customers!A:J,8,FALSE)</f>
        <v>NY</v>
      </c>
      <c r="K1155" s="3" t="str">
        <f>VLOOKUP(B1155,Customers!A:J,7,FALSE)</f>
        <v>Niagara Falls</v>
      </c>
      <c r="L1155" s="3" t="str">
        <f>VLOOKUP(H1155,Staff!A:I,9,FALSE)</f>
        <v>Venita Daniel</v>
      </c>
      <c r="M1155" s="3" t="str">
        <f>VLOOKUP(G1155,Store!A:H,2,FALSE)</f>
        <v>Baldwin Bikes</v>
      </c>
      <c r="N1155" s="3" t="str">
        <f>VLOOKUP(G1155,Store!A:H,6,FALSE)</f>
        <v>Baldwin</v>
      </c>
      <c r="O1155" s="3" t="s">
        <v>16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">
        <v>1155.0</v>
      </c>
      <c r="B1156" s="1">
        <v>865.0</v>
      </c>
      <c r="C1156" s="1">
        <v>4.0</v>
      </c>
      <c r="D1156" s="4">
        <v>43008.0</v>
      </c>
      <c r="E1156" s="4">
        <v>43009.0</v>
      </c>
      <c r="F1156" s="4">
        <v>43009.0</v>
      </c>
      <c r="G1156" s="1">
        <v>2.0</v>
      </c>
      <c r="H1156" s="1">
        <v>7.0</v>
      </c>
      <c r="I1156" s="3" t="str">
        <f>VLOOKUP(B1156,Customers!A:J, 10,FALSE)</f>
        <v>Julia Joyner</v>
      </c>
      <c r="J1156" s="3" t="str">
        <f>VLOOKUP(B1156,Customers!A:J,8,FALSE)</f>
        <v>NY</v>
      </c>
      <c r="K1156" s="3" t="str">
        <f>VLOOKUP(B1156,Customers!A:J,7,FALSE)</f>
        <v>Astoria</v>
      </c>
      <c r="L1156" s="3" t="str">
        <f>VLOOKUP(H1156,Staff!A:I,9,FALSE)</f>
        <v>Venita Daniel</v>
      </c>
      <c r="M1156" s="3" t="str">
        <f>VLOOKUP(G1156,Store!A:H,2,FALSE)</f>
        <v>Baldwin Bikes</v>
      </c>
      <c r="N1156" s="3" t="str">
        <f>VLOOKUP(G1156,Store!A:H,6,FALSE)</f>
        <v>Baldwin</v>
      </c>
      <c r="O1156" s="3" t="s">
        <v>16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">
        <v>1156.0</v>
      </c>
      <c r="B1157" s="1">
        <v>869.0</v>
      </c>
      <c r="C1157" s="1">
        <v>4.0</v>
      </c>
      <c r="D1157" s="4">
        <v>43008.0</v>
      </c>
      <c r="E1157" s="4">
        <v>43011.0</v>
      </c>
      <c r="F1157" s="4">
        <v>43011.0</v>
      </c>
      <c r="G1157" s="1">
        <v>2.0</v>
      </c>
      <c r="H1157" s="1">
        <v>7.0</v>
      </c>
      <c r="I1157" s="3" t="str">
        <f>VLOOKUP(B1157,Customers!A:J, 10,FALSE)</f>
        <v>Rodrigo Durham</v>
      </c>
      <c r="J1157" s="3" t="str">
        <f>VLOOKUP(B1157,Customers!A:J,8,FALSE)</f>
        <v>NY</v>
      </c>
      <c r="K1157" s="3" t="str">
        <f>VLOOKUP(B1157,Customers!A:J,7,FALSE)</f>
        <v>Richmond Hill</v>
      </c>
      <c r="L1157" s="3" t="str">
        <f>VLOOKUP(H1157,Staff!A:I,9,FALSE)</f>
        <v>Venita Daniel</v>
      </c>
      <c r="M1157" s="3" t="str">
        <f>VLOOKUP(G1157,Store!A:H,2,FALSE)</f>
        <v>Baldwin Bikes</v>
      </c>
      <c r="N1157" s="3" t="str">
        <f>VLOOKUP(G1157,Store!A:H,6,FALSE)</f>
        <v>Baldwin</v>
      </c>
      <c r="O1157" s="3" t="s">
        <v>16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">
        <v>1157.0</v>
      </c>
      <c r="B1158" s="1">
        <v>24.0</v>
      </c>
      <c r="C1158" s="1">
        <v>4.0</v>
      </c>
      <c r="D1158" s="4">
        <v>43009.0</v>
      </c>
      <c r="E1158" s="4">
        <v>43011.0</v>
      </c>
      <c r="F1158" s="4">
        <v>43012.0</v>
      </c>
      <c r="G1158" s="1">
        <v>1.0</v>
      </c>
      <c r="H1158" s="1">
        <v>3.0</v>
      </c>
      <c r="I1158" s="3" t="str">
        <f>VLOOKUP(B1158,Customers!A:J, 10,FALSE)</f>
        <v>Corene Wall</v>
      </c>
      <c r="J1158" s="3" t="str">
        <f>VLOOKUP(B1158,Customers!A:J,8,FALSE)</f>
        <v>CA</v>
      </c>
      <c r="K1158" s="3" t="str">
        <f>VLOOKUP(B1158,Customers!A:J,7,FALSE)</f>
        <v>Atwater</v>
      </c>
      <c r="L1158" s="3" t="str">
        <f>VLOOKUP(H1158,Staff!A:I,9,FALSE)</f>
        <v>Genna Serrano</v>
      </c>
      <c r="M1158" s="3" t="str">
        <f>VLOOKUP(G1158,Store!A:H,2,FALSE)</f>
        <v>Santa Cruz Bikes</v>
      </c>
      <c r="N1158" s="3" t="str">
        <f>VLOOKUP(G1158,Store!A:H,6,FALSE)</f>
        <v>Santa Cruz</v>
      </c>
      <c r="O1158" s="3" t="s">
        <v>15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">
        <v>1158.0</v>
      </c>
      <c r="B1159" s="1">
        <v>889.0</v>
      </c>
      <c r="C1159" s="1">
        <v>4.0</v>
      </c>
      <c r="D1159" s="4">
        <v>43009.0</v>
      </c>
      <c r="E1159" s="4">
        <v>43011.0</v>
      </c>
      <c r="F1159" s="4">
        <v>43010.0</v>
      </c>
      <c r="G1159" s="1">
        <v>1.0</v>
      </c>
      <c r="H1159" s="1">
        <v>2.0</v>
      </c>
      <c r="I1159" s="3" t="str">
        <f>VLOOKUP(B1159,Customers!A:J, 10,FALSE)</f>
        <v>Lucilla Williams</v>
      </c>
      <c r="J1159" s="3" t="str">
        <f>VLOOKUP(B1159,Customers!A:J,8,FALSE)</f>
        <v>CA</v>
      </c>
      <c r="K1159" s="3" t="str">
        <f>VLOOKUP(B1159,Customers!A:J,7,FALSE)</f>
        <v>San Carlos</v>
      </c>
      <c r="L1159" s="3" t="str">
        <f>VLOOKUP(H1159,Staff!A:I,9,FALSE)</f>
        <v>Mireya Copeland</v>
      </c>
      <c r="M1159" s="3" t="str">
        <f>VLOOKUP(G1159,Store!A:H,2,FALSE)</f>
        <v>Santa Cruz Bikes</v>
      </c>
      <c r="N1159" s="3" t="str">
        <f>VLOOKUP(G1159,Store!A:H,6,FALSE)</f>
        <v>Santa Cruz</v>
      </c>
      <c r="O1159" s="3" t="s">
        <v>15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">
        <v>1159.0</v>
      </c>
      <c r="B1160" s="1">
        <v>1221.0</v>
      </c>
      <c r="C1160" s="1">
        <v>4.0</v>
      </c>
      <c r="D1160" s="4">
        <v>43009.0</v>
      </c>
      <c r="E1160" s="4">
        <v>43010.0</v>
      </c>
      <c r="F1160" s="4">
        <v>43011.0</v>
      </c>
      <c r="G1160" s="1">
        <v>1.0</v>
      </c>
      <c r="H1160" s="1">
        <v>3.0</v>
      </c>
      <c r="I1160" s="3" t="str">
        <f>VLOOKUP(B1160,Customers!A:J, 10,FALSE)</f>
        <v>Joy Underwood</v>
      </c>
      <c r="J1160" s="3" t="str">
        <f>VLOOKUP(B1160,Customers!A:J,8,FALSE)</f>
        <v>CA</v>
      </c>
      <c r="K1160" s="3" t="str">
        <f>VLOOKUP(B1160,Customers!A:J,7,FALSE)</f>
        <v>Apple Valley</v>
      </c>
      <c r="L1160" s="3" t="str">
        <f>VLOOKUP(H1160,Staff!A:I,9,FALSE)</f>
        <v>Genna Serrano</v>
      </c>
      <c r="M1160" s="3" t="str">
        <f>VLOOKUP(G1160,Store!A:H,2,FALSE)</f>
        <v>Santa Cruz Bikes</v>
      </c>
      <c r="N1160" s="3" t="str">
        <f>VLOOKUP(G1160,Store!A:H,6,FALSE)</f>
        <v>Santa Cruz</v>
      </c>
      <c r="O1160" s="3" t="s">
        <v>15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">
        <v>1160.0</v>
      </c>
      <c r="B1161" s="1">
        <v>1262.0</v>
      </c>
      <c r="C1161" s="1">
        <v>4.0</v>
      </c>
      <c r="D1161" s="4">
        <v>43009.0</v>
      </c>
      <c r="E1161" s="4">
        <v>43010.0</v>
      </c>
      <c r="F1161" s="4">
        <v>43012.0</v>
      </c>
      <c r="G1161" s="1">
        <v>1.0</v>
      </c>
      <c r="H1161" s="1">
        <v>2.0</v>
      </c>
      <c r="I1161" s="3" t="str">
        <f>VLOOKUP(B1161,Customers!A:J, 10,FALSE)</f>
        <v>Brianne Hays</v>
      </c>
      <c r="J1161" s="3" t="str">
        <f>VLOOKUP(B1161,Customers!A:J,8,FALSE)</f>
        <v>CA</v>
      </c>
      <c r="K1161" s="3" t="str">
        <f>VLOOKUP(B1161,Customers!A:J,7,FALSE)</f>
        <v>San Pablo</v>
      </c>
      <c r="L1161" s="3" t="str">
        <f>VLOOKUP(H1161,Staff!A:I,9,FALSE)</f>
        <v>Mireya Copeland</v>
      </c>
      <c r="M1161" s="3" t="str">
        <f>VLOOKUP(G1161,Store!A:H,2,FALSE)</f>
        <v>Santa Cruz Bikes</v>
      </c>
      <c r="N1161" s="3" t="str">
        <f>VLOOKUP(G1161,Store!A:H,6,FALSE)</f>
        <v>Santa Cruz</v>
      </c>
      <c r="O1161" s="3" t="s">
        <v>15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">
        <v>1161.0</v>
      </c>
      <c r="B1162" s="1">
        <v>41.0</v>
      </c>
      <c r="C1162" s="1">
        <v>4.0</v>
      </c>
      <c r="D1162" s="4">
        <v>43009.0</v>
      </c>
      <c r="E1162" s="4">
        <v>43012.0</v>
      </c>
      <c r="F1162" s="4">
        <v>43010.0</v>
      </c>
      <c r="G1162" s="1">
        <v>2.0</v>
      </c>
      <c r="H1162" s="1">
        <v>7.0</v>
      </c>
      <c r="I1162" s="3" t="str">
        <f>VLOOKUP(B1162,Customers!A:J, 10,FALSE)</f>
        <v>Kathie Freeman</v>
      </c>
      <c r="J1162" s="3" t="str">
        <f>VLOOKUP(B1162,Customers!A:J,8,FALSE)</f>
        <v>NY</v>
      </c>
      <c r="K1162" s="3" t="str">
        <f>VLOOKUP(B1162,Customers!A:J,7,FALSE)</f>
        <v>Queensbury</v>
      </c>
      <c r="L1162" s="3" t="str">
        <f>VLOOKUP(H1162,Staff!A:I,9,FALSE)</f>
        <v>Venita Daniel</v>
      </c>
      <c r="M1162" s="3" t="str">
        <f>VLOOKUP(G1162,Store!A:H,2,FALSE)</f>
        <v>Baldwin Bikes</v>
      </c>
      <c r="N1162" s="3" t="str">
        <f>VLOOKUP(G1162,Store!A:H,6,FALSE)</f>
        <v>Baldwin</v>
      </c>
      <c r="O1162" s="3" t="s">
        <v>16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">
        <v>1162.0</v>
      </c>
      <c r="B1163" s="1">
        <v>888.0</v>
      </c>
      <c r="C1163" s="1">
        <v>4.0</v>
      </c>
      <c r="D1163" s="4">
        <v>43009.0</v>
      </c>
      <c r="E1163" s="4">
        <v>43011.0</v>
      </c>
      <c r="F1163" s="4">
        <v>43011.0</v>
      </c>
      <c r="G1163" s="1">
        <v>2.0</v>
      </c>
      <c r="H1163" s="1">
        <v>6.0</v>
      </c>
      <c r="I1163" s="3" t="str">
        <f>VLOOKUP(B1163,Customers!A:J, 10,FALSE)</f>
        <v>Coleen Navarro</v>
      </c>
      <c r="J1163" s="3" t="str">
        <f>VLOOKUP(B1163,Customers!A:J,8,FALSE)</f>
        <v>NY</v>
      </c>
      <c r="K1163" s="3" t="str">
        <f>VLOOKUP(B1163,Customers!A:J,7,FALSE)</f>
        <v>Webster</v>
      </c>
      <c r="L1163" s="3" t="str">
        <f>VLOOKUP(H1163,Staff!A:I,9,FALSE)</f>
        <v>Marcelene Boyer</v>
      </c>
      <c r="M1163" s="3" t="str">
        <f>VLOOKUP(G1163,Store!A:H,2,FALSE)</f>
        <v>Baldwin Bikes</v>
      </c>
      <c r="N1163" s="3" t="str">
        <f>VLOOKUP(G1163,Store!A:H,6,FALSE)</f>
        <v>Baldwin</v>
      </c>
      <c r="O1163" s="3" t="s">
        <v>16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">
        <v>1163.0</v>
      </c>
      <c r="B1164" s="1">
        <v>934.0</v>
      </c>
      <c r="C1164" s="1">
        <v>4.0</v>
      </c>
      <c r="D1164" s="4">
        <v>43009.0</v>
      </c>
      <c r="E1164" s="4">
        <v>43010.0</v>
      </c>
      <c r="F1164" s="4">
        <v>43010.0</v>
      </c>
      <c r="G1164" s="1">
        <v>2.0</v>
      </c>
      <c r="H1164" s="1">
        <v>6.0</v>
      </c>
      <c r="I1164" s="3" t="str">
        <f>VLOOKUP(B1164,Customers!A:J, 10,FALSE)</f>
        <v>Ocie Slater</v>
      </c>
      <c r="J1164" s="3" t="str">
        <f>VLOOKUP(B1164,Customers!A:J,8,FALSE)</f>
        <v>NY</v>
      </c>
      <c r="K1164" s="3" t="str">
        <f>VLOOKUP(B1164,Customers!A:J,7,FALSE)</f>
        <v>Hamburg</v>
      </c>
      <c r="L1164" s="3" t="str">
        <f>VLOOKUP(H1164,Staff!A:I,9,FALSE)</f>
        <v>Marcelene Boyer</v>
      </c>
      <c r="M1164" s="3" t="str">
        <f>VLOOKUP(G1164,Store!A:H,2,FALSE)</f>
        <v>Baldwin Bikes</v>
      </c>
      <c r="N1164" s="3" t="str">
        <f>VLOOKUP(G1164,Store!A:H,6,FALSE)</f>
        <v>Baldwin</v>
      </c>
      <c r="O1164" s="3" t="s">
        <v>16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">
        <v>1164.0</v>
      </c>
      <c r="B1165" s="1">
        <v>1067.0</v>
      </c>
      <c r="C1165" s="1">
        <v>4.0</v>
      </c>
      <c r="D1165" s="4">
        <v>43009.0</v>
      </c>
      <c r="E1165" s="4">
        <v>43010.0</v>
      </c>
      <c r="F1165" s="4">
        <v>43011.0</v>
      </c>
      <c r="G1165" s="1">
        <v>2.0</v>
      </c>
      <c r="H1165" s="1">
        <v>6.0</v>
      </c>
      <c r="I1165" s="3" t="str">
        <f>VLOOKUP(B1165,Customers!A:J, 10,FALSE)</f>
        <v>Lillia Gillespie</v>
      </c>
      <c r="J1165" s="3" t="str">
        <f>VLOOKUP(B1165,Customers!A:J,8,FALSE)</f>
        <v>NY</v>
      </c>
      <c r="K1165" s="3" t="str">
        <f>VLOOKUP(B1165,Customers!A:J,7,FALSE)</f>
        <v>Rego Park</v>
      </c>
      <c r="L1165" s="3" t="str">
        <f>VLOOKUP(H1165,Staff!A:I,9,FALSE)</f>
        <v>Marcelene Boyer</v>
      </c>
      <c r="M1165" s="3" t="str">
        <f>VLOOKUP(G1165,Store!A:H,2,FALSE)</f>
        <v>Baldwin Bikes</v>
      </c>
      <c r="N1165" s="3" t="str">
        <f>VLOOKUP(G1165,Store!A:H,6,FALSE)</f>
        <v>Baldwin</v>
      </c>
      <c r="O1165" s="3" t="s">
        <v>16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">
        <v>1165.0</v>
      </c>
      <c r="B1166" s="1">
        <v>652.0</v>
      </c>
      <c r="C1166" s="1">
        <v>4.0</v>
      </c>
      <c r="D1166" s="4">
        <v>43010.0</v>
      </c>
      <c r="E1166" s="4">
        <v>43011.0</v>
      </c>
      <c r="F1166" s="4">
        <v>43013.0</v>
      </c>
      <c r="G1166" s="1">
        <v>2.0</v>
      </c>
      <c r="H1166" s="1">
        <v>7.0</v>
      </c>
      <c r="I1166" s="3" t="str">
        <f>VLOOKUP(B1166,Customers!A:J, 10,FALSE)</f>
        <v>Tilda Melton</v>
      </c>
      <c r="J1166" s="3" t="str">
        <f>VLOOKUP(B1166,Customers!A:J,8,FALSE)</f>
        <v>NY</v>
      </c>
      <c r="K1166" s="3" t="str">
        <f>VLOOKUP(B1166,Customers!A:J,7,FALSE)</f>
        <v>Troy</v>
      </c>
      <c r="L1166" s="3" t="str">
        <f>VLOOKUP(H1166,Staff!A:I,9,FALSE)</f>
        <v>Venita Daniel</v>
      </c>
      <c r="M1166" s="3" t="str">
        <f>VLOOKUP(G1166,Store!A:H,2,FALSE)</f>
        <v>Baldwin Bikes</v>
      </c>
      <c r="N1166" s="3" t="str">
        <f>VLOOKUP(G1166,Store!A:H,6,FALSE)</f>
        <v>Baldwin</v>
      </c>
      <c r="O1166" s="3" t="s">
        <v>16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">
        <v>1166.0</v>
      </c>
      <c r="B1167" s="1">
        <v>286.0</v>
      </c>
      <c r="C1167" s="1">
        <v>4.0</v>
      </c>
      <c r="D1167" s="4">
        <v>43011.0</v>
      </c>
      <c r="E1167" s="4">
        <v>43012.0</v>
      </c>
      <c r="F1167" s="4">
        <v>43012.0</v>
      </c>
      <c r="G1167" s="1">
        <v>2.0</v>
      </c>
      <c r="H1167" s="1">
        <v>7.0</v>
      </c>
      <c r="I1167" s="3" t="str">
        <f>VLOOKUP(B1167,Customers!A:J, 10,FALSE)</f>
        <v>Virgil Frost</v>
      </c>
      <c r="J1167" s="3" t="str">
        <f>VLOOKUP(B1167,Customers!A:J,8,FALSE)</f>
        <v>NY</v>
      </c>
      <c r="K1167" s="3" t="str">
        <f>VLOOKUP(B1167,Customers!A:J,7,FALSE)</f>
        <v>Levittown</v>
      </c>
      <c r="L1167" s="3" t="str">
        <f>VLOOKUP(H1167,Staff!A:I,9,FALSE)</f>
        <v>Venita Daniel</v>
      </c>
      <c r="M1167" s="3" t="str">
        <f>VLOOKUP(G1167,Store!A:H,2,FALSE)</f>
        <v>Baldwin Bikes</v>
      </c>
      <c r="N1167" s="3" t="str">
        <f>VLOOKUP(G1167,Store!A:H,6,FALSE)</f>
        <v>Baldwin</v>
      </c>
      <c r="O1167" s="3" t="s">
        <v>16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">
        <v>1167.0</v>
      </c>
      <c r="B1168" s="1">
        <v>900.0</v>
      </c>
      <c r="C1168" s="1">
        <v>4.0</v>
      </c>
      <c r="D1168" s="4">
        <v>43012.0</v>
      </c>
      <c r="E1168" s="4">
        <v>43015.0</v>
      </c>
      <c r="F1168" s="4">
        <v>43014.0</v>
      </c>
      <c r="G1168" s="1">
        <v>1.0</v>
      </c>
      <c r="H1168" s="1">
        <v>2.0</v>
      </c>
      <c r="I1168" s="3" t="str">
        <f>VLOOKUP(B1168,Customers!A:J, 10,FALSE)</f>
        <v>Jule Davenport</v>
      </c>
      <c r="J1168" s="3" t="str">
        <f>VLOOKUP(B1168,Customers!A:J,8,FALSE)</f>
        <v>CA</v>
      </c>
      <c r="K1168" s="3" t="str">
        <f>VLOOKUP(B1168,Customers!A:J,7,FALSE)</f>
        <v>San Carlos</v>
      </c>
      <c r="L1168" s="3" t="str">
        <f>VLOOKUP(H1168,Staff!A:I,9,FALSE)</f>
        <v>Mireya Copeland</v>
      </c>
      <c r="M1168" s="3" t="str">
        <f>VLOOKUP(G1168,Store!A:H,2,FALSE)</f>
        <v>Santa Cruz Bikes</v>
      </c>
      <c r="N1168" s="3" t="str">
        <f>VLOOKUP(G1168,Store!A:H,6,FALSE)</f>
        <v>Santa Cruz</v>
      </c>
      <c r="O1168" s="3" t="s">
        <v>15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">
        <v>1168.0</v>
      </c>
      <c r="B1169" s="1">
        <v>1031.0</v>
      </c>
      <c r="C1169" s="1">
        <v>4.0</v>
      </c>
      <c r="D1169" s="4">
        <v>43012.0</v>
      </c>
      <c r="E1169" s="4">
        <v>43013.0</v>
      </c>
      <c r="F1169" s="4">
        <v>43014.0</v>
      </c>
      <c r="G1169" s="1">
        <v>2.0</v>
      </c>
      <c r="H1169" s="1">
        <v>6.0</v>
      </c>
      <c r="I1169" s="3" t="str">
        <f>VLOOKUP(B1169,Customers!A:J, 10,FALSE)</f>
        <v>Tonja Bean</v>
      </c>
      <c r="J1169" s="3" t="str">
        <f>VLOOKUP(B1169,Customers!A:J,8,FALSE)</f>
        <v>NY</v>
      </c>
      <c r="K1169" s="3" t="str">
        <f>VLOOKUP(B1169,Customers!A:J,7,FALSE)</f>
        <v>Fairport</v>
      </c>
      <c r="L1169" s="3" t="str">
        <f>VLOOKUP(H1169,Staff!A:I,9,FALSE)</f>
        <v>Marcelene Boyer</v>
      </c>
      <c r="M1169" s="3" t="str">
        <f>VLOOKUP(G1169,Store!A:H,2,FALSE)</f>
        <v>Baldwin Bikes</v>
      </c>
      <c r="N1169" s="3" t="str">
        <f>VLOOKUP(G1169,Store!A:H,6,FALSE)</f>
        <v>Baldwin</v>
      </c>
      <c r="O1169" s="3" t="s">
        <v>16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">
        <v>1169.0</v>
      </c>
      <c r="B1170" s="1">
        <v>1421.0</v>
      </c>
      <c r="C1170" s="1">
        <v>4.0</v>
      </c>
      <c r="D1170" s="4">
        <v>43012.0</v>
      </c>
      <c r="E1170" s="4">
        <v>43014.0</v>
      </c>
      <c r="F1170" s="4">
        <v>43015.0</v>
      </c>
      <c r="G1170" s="1">
        <v>2.0</v>
      </c>
      <c r="H1170" s="1">
        <v>7.0</v>
      </c>
      <c r="I1170" s="3" t="str">
        <f>VLOOKUP(B1170,Customers!A:J, 10,FALSE)</f>
        <v>Edris Barrett</v>
      </c>
      <c r="J1170" s="3" t="str">
        <f>VLOOKUP(B1170,Customers!A:J,8,FALSE)</f>
        <v>NY</v>
      </c>
      <c r="K1170" s="3" t="str">
        <f>VLOOKUP(B1170,Customers!A:J,7,FALSE)</f>
        <v>Plattsburgh</v>
      </c>
      <c r="L1170" s="3" t="str">
        <f>VLOOKUP(H1170,Staff!A:I,9,FALSE)</f>
        <v>Venita Daniel</v>
      </c>
      <c r="M1170" s="3" t="str">
        <f>VLOOKUP(G1170,Store!A:H,2,FALSE)</f>
        <v>Baldwin Bikes</v>
      </c>
      <c r="N1170" s="3" t="str">
        <f>VLOOKUP(G1170,Store!A:H,6,FALSE)</f>
        <v>Baldwin</v>
      </c>
      <c r="O1170" s="3" t="s">
        <v>16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">
        <v>1170.0</v>
      </c>
      <c r="B1171" s="1">
        <v>534.0</v>
      </c>
      <c r="C1171" s="1">
        <v>4.0</v>
      </c>
      <c r="D1171" s="4">
        <v>43013.0</v>
      </c>
      <c r="E1171" s="4">
        <v>43015.0</v>
      </c>
      <c r="F1171" s="4">
        <v>43014.0</v>
      </c>
      <c r="G1171" s="1">
        <v>2.0</v>
      </c>
      <c r="H1171" s="1">
        <v>6.0</v>
      </c>
      <c r="I1171" s="3" t="str">
        <f>VLOOKUP(B1171,Customers!A:J, 10,FALSE)</f>
        <v>Alejandro Haney</v>
      </c>
      <c r="J1171" s="3" t="str">
        <f>VLOOKUP(B1171,Customers!A:J,8,FALSE)</f>
        <v>NY</v>
      </c>
      <c r="K1171" s="3" t="str">
        <f>VLOOKUP(B1171,Customers!A:J,7,FALSE)</f>
        <v>Wantagh</v>
      </c>
      <c r="L1171" s="3" t="str">
        <f>VLOOKUP(H1171,Staff!A:I,9,FALSE)</f>
        <v>Marcelene Boyer</v>
      </c>
      <c r="M1171" s="3" t="str">
        <f>VLOOKUP(G1171,Store!A:H,2,FALSE)</f>
        <v>Baldwin Bikes</v>
      </c>
      <c r="N1171" s="3" t="str">
        <f>VLOOKUP(G1171,Store!A:H,6,FALSE)</f>
        <v>Baldwin</v>
      </c>
      <c r="O1171" s="3" t="s">
        <v>16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">
        <v>1171.0</v>
      </c>
      <c r="B1172" s="1">
        <v>826.0</v>
      </c>
      <c r="C1172" s="1">
        <v>4.0</v>
      </c>
      <c r="D1172" s="4">
        <v>43013.0</v>
      </c>
      <c r="E1172" s="4">
        <v>43014.0</v>
      </c>
      <c r="F1172" s="4">
        <v>43016.0</v>
      </c>
      <c r="G1172" s="1">
        <v>2.0</v>
      </c>
      <c r="H1172" s="1">
        <v>6.0</v>
      </c>
      <c r="I1172" s="3" t="str">
        <f>VLOOKUP(B1172,Customers!A:J, 10,FALSE)</f>
        <v>Shay Stephenson</v>
      </c>
      <c r="J1172" s="3" t="str">
        <f>VLOOKUP(B1172,Customers!A:J,8,FALSE)</f>
        <v>NY</v>
      </c>
      <c r="K1172" s="3" t="str">
        <f>VLOOKUP(B1172,Customers!A:J,7,FALSE)</f>
        <v>Smithtown</v>
      </c>
      <c r="L1172" s="3" t="str">
        <f>VLOOKUP(H1172,Staff!A:I,9,FALSE)</f>
        <v>Marcelene Boyer</v>
      </c>
      <c r="M1172" s="3" t="str">
        <f>VLOOKUP(G1172,Store!A:H,2,FALSE)</f>
        <v>Baldwin Bikes</v>
      </c>
      <c r="N1172" s="3" t="str">
        <f>VLOOKUP(G1172,Store!A:H,6,FALSE)</f>
        <v>Baldwin</v>
      </c>
      <c r="O1172" s="3" t="s">
        <v>16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">
        <v>1172.0</v>
      </c>
      <c r="B1173" s="1">
        <v>1339.0</v>
      </c>
      <c r="C1173" s="1">
        <v>4.0</v>
      </c>
      <c r="D1173" s="4">
        <v>43015.0</v>
      </c>
      <c r="E1173" s="4">
        <v>43018.0</v>
      </c>
      <c r="F1173" s="4">
        <v>43017.0</v>
      </c>
      <c r="G1173" s="1">
        <v>2.0</v>
      </c>
      <c r="H1173" s="1">
        <v>7.0</v>
      </c>
      <c r="I1173" s="3" t="str">
        <f>VLOOKUP(B1173,Customers!A:J, 10,FALSE)</f>
        <v>Neida King</v>
      </c>
      <c r="J1173" s="3" t="str">
        <f>VLOOKUP(B1173,Customers!A:J,8,FALSE)</f>
        <v>NY</v>
      </c>
      <c r="K1173" s="3" t="str">
        <f>VLOOKUP(B1173,Customers!A:J,7,FALSE)</f>
        <v>Oceanside</v>
      </c>
      <c r="L1173" s="3" t="str">
        <f>VLOOKUP(H1173,Staff!A:I,9,FALSE)</f>
        <v>Venita Daniel</v>
      </c>
      <c r="M1173" s="3" t="str">
        <f>VLOOKUP(G1173,Store!A:H,2,FALSE)</f>
        <v>Baldwin Bikes</v>
      </c>
      <c r="N1173" s="3" t="str">
        <f>VLOOKUP(G1173,Store!A:H,6,FALSE)</f>
        <v>Baldwin</v>
      </c>
      <c r="O1173" s="3" t="s">
        <v>16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">
        <v>1173.0</v>
      </c>
      <c r="B1174" s="1">
        <v>548.0</v>
      </c>
      <c r="C1174" s="1">
        <v>4.0</v>
      </c>
      <c r="D1174" s="4">
        <v>43016.0</v>
      </c>
      <c r="E1174" s="4">
        <v>43018.0</v>
      </c>
      <c r="F1174" s="4">
        <v>43017.0</v>
      </c>
      <c r="G1174" s="1">
        <v>2.0</v>
      </c>
      <c r="H1174" s="1">
        <v>7.0</v>
      </c>
      <c r="I1174" s="3" t="str">
        <f>VLOOKUP(B1174,Customers!A:J, 10,FALSE)</f>
        <v>Dori Alvarez</v>
      </c>
      <c r="J1174" s="3" t="str">
        <f>VLOOKUP(B1174,Customers!A:J,8,FALSE)</f>
        <v>NY</v>
      </c>
      <c r="K1174" s="3" t="str">
        <f>VLOOKUP(B1174,Customers!A:J,7,FALSE)</f>
        <v>Kingston</v>
      </c>
      <c r="L1174" s="3" t="str">
        <f>VLOOKUP(H1174,Staff!A:I,9,FALSE)</f>
        <v>Venita Daniel</v>
      </c>
      <c r="M1174" s="3" t="str">
        <f>VLOOKUP(G1174,Store!A:H,2,FALSE)</f>
        <v>Baldwin Bikes</v>
      </c>
      <c r="N1174" s="3" t="str">
        <f>VLOOKUP(G1174,Store!A:H,6,FALSE)</f>
        <v>Baldwin</v>
      </c>
      <c r="O1174" s="3" t="s">
        <v>16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">
        <v>1174.0</v>
      </c>
      <c r="B1175" s="1">
        <v>1109.0</v>
      </c>
      <c r="C1175" s="1">
        <v>4.0</v>
      </c>
      <c r="D1175" s="4">
        <v>43016.0</v>
      </c>
      <c r="E1175" s="4">
        <v>43018.0</v>
      </c>
      <c r="F1175" s="4">
        <v>43019.0</v>
      </c>
      <c r="G1175" s="1">
        <v>2.0</v>
      </c>
      <c r="H1175" s="1">
        <v>6.0</v>
      </c>
      <c r="I1175" s="3" t="str">
        <f>VLOOKUP(B1175,Customers!A:J, 10,FALSE)</f>
        <v>Gussie Harding</v>
      </c>
      <c r="J1175" s="3" t="str">
        <f>VLOOKUP(B1175,Customers!A:J,8,FALSE)</f>
        <v>NY</v>
      </c>
      <c r="K1175" s="3" t="str">
        <f>VLOOKUP(B1175,Customers!A:J,7,FALSE)</f>
        <v>Deer Park</v>
      </c>
      <c r="L1175" s="3" t="str">
        <f>VLOOKUP(H1175,Staff!A:I,9,FALSE)</f>
        <v>Marcelene Boyer</v>
      </c>
      <c r="M1175" s="3" t="str">
        <f>VLOOKUP(G1175,Store!A:H,2,FALSE)</f>
        <v>Baldwin Bikes</v>
      </c>
      <c r="N1175" s="3" t="str">
        <f>VLOOKUP(G1175,Store!A:H,6,FALSE)</f>
        <v>Baldwin</v>
      </c>
      <c r="O1175" s="3" t="s">
        <v>16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">
        <v>1175.0</v>
      </c>
      <c r="B1176" s="1">
        <v>292.0</v>
      </c>
      <c r="C1176" s="1">
        <v>4.0</v>
      </c>
      <c r="D1176" s="4">
        <v>43017.0</v>
      </c>
      <c r="E1176" s="4">
        <v>43019.0</v>
      </c>
      <c r="F1176" s="4">
        <v>43020.0</v>
      </c>
      <c r="G1176" s="1">
        <v>2.0</v>
      </c>
      <c r="H1176" s="1">
        <v>6.0</v>
      </c>
      <c r="I1176" s="3" t="str">
        <f>VLOOKUP(B1176,Customers!A:J, 10,FALSE)</f>
        <v>Monty Frost</v>
      </c>
      <c r="J1176" s="3" t="str">
        <f>VLOOKUP(B1176,Customers!A:J,8,FALSE)</f>
        <v>NY</v>
      </c>
      <c r="K1176" s="3" t="str">
        <f>VLOOKUP(B1176,Customers!A:J,7,FALSE)</f>
        <v>Hempstead</v>
      </c>
      <c r="L1176" s="3" t="str">
        <f>VLOOKUP(H1176,Staff!A:I,9,FALSE)</f>
        <v>Marcelene Boyer</v>
      </c>
      <c r="M1176" s="3" t="str">
        <f>VLOOKUP(G1176,Store!A:H,2,FALSE)</f>
        <v>Baldwin Bikes</v>
      </c>
      <c r="N1176" s="3" t="str">
        <f>VLOOKUP(G1176,Store!A:H,6,FALSE)</f>
        <v>Baldwin</v>
      </c>
      <c r="O1176" s="3" t="s">
        <v>16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">
        <v>1176.0</v>
      </c>
      <c r="B1177" s="1">
        <v>1111.0</v>
      </c>
      <c r="C1177" s="1">
        <v>4.0</v>
      </c>
      <c r="D1177" s="4">
        <v>43018.0</v>
      </c>
      <c r="E1177" s="4">
        <v>43021.0</v>
      </c>
      <c r="F1177" s="4">
        <v>43019.0</v>
      </c>
      <c r="G1177" s="1">
        <v>3.0</v>
      </c>
      <c r="H1177" s="1">
        <v>9.0</v>
      </c>
      <c r="I1177" s="3" t="str">
        <f>VLOOKUP(B1177,Customers!A:J, 10,FALSE)</f>
        <v>Caroline Jenkins</v>
      </c>
      <c r="J1177" s="3" t="str">
        <f>VLOOKUP(B1177,Customers!A:J,8,FALSE)</f>
        <v>TX</v>
      </c>
      <c r="K1177" s="3" t="str">
        <f>VLOOKUP(B1177,Customers!A:J,7,FALSE)</f>
        <v>Richardson</v>
      </c>
      <c r="L1177" s="3" t="str">
        <f>VLOOKUP(H1177,Staff!A:I,9,FALSE)</f>
        <v>Layla Terrell</v>
      </c>
      <c r="M1177" s="3" t="str">
        <f>VLOOKUP(G1177,Store!A:H,2,FALSE)</f>
        <v>Rowlett Bikes</v>
      </c>
      <c r="N1177" s="3" t="str">
        <f>VLOOKUP(G1177,Store!A:H,6,FALSE)</f>
        <v>Rowlett</v>
      </c>
      <c r="O1177" s="3" t="s">
        <v>17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">
        <v>1177.0</v>
      </c>
      <c r="B1178" s="1">
        <v>21.0</v>
      </c>
      <c r="C1178" s="1">
        <v>3.0</v>
      </c>
      <c r="D1178" s="4">
        <v>43020.0</v>
      </c>
      <c r="E1178" s="4">
        <v>43020.0</v>
      </c>
      <c r="F1178" s="1" t="s">
        <v>18</v>
      </c>
      <c r="G1178" s="1">
        <v>3.0</v>
      </c>
      <c r="H1178" s="1">
        <v>9.0</v>
      </c>
      <c r="I1178" s="3" t="str">
        <f>VLOOKUP(B1178,Customers!A:J, 10,FALSE)</f>
        <v>Tobie Little</v>
      </c>
      <c r="J1178" s="3" t="str">
        <f>VLOOKUP(B1178,Customers!A:J,8,FALSE)</f>
        <v>TX</v>
      </c>
      <c r="K1178" s="3" t="str">
        <f>VLOOKUP(B1178,Customers!A:J,7,FALSE)</f>
        <v>Victoria</v>
      </c>
      <c r="L1178" s="3" t="str">
        <f>VLOOKUP(H1178,Staff!A:I,9,FALSE)</f>
        <v>Layla Terrell</v>
      </c>
      <c r="M1178" s="3" t="str">
        <f>VLOOKUP(G1178,Store!A:H,2,FALSE)</f>
        <v>Rowlett Bikes</v>
      </c>
      <c r="N1178" s="3" t="str">
        <f>VLOOKUP(G1178,Store!A:H,6,FALSE)</f>
        <v>Rowlett</v>
      </c>
      <c r="O1178" s="3" t="s">
        <v>17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">
        <v>1178.0</v>
      </c>
      <c r="B1179" s="1">
        <v>771.0</v>
      </c>
      <c r="C1179" s="1">
        <v>4.0</v>
      </c>
      <c r="D1179" s="4">
        <v>43020.0</v>
      </c>
      <c r="E1179" s="4">
        <v>43023.0</v>
      </c>
      <c r="F1179" s="4">
        <v>43021.0</v>
      </c>
      <c r="G1179" s="1">
        <v>2.0</v>
      </c>
      <c r="H1179" s="1">
        <v>6.0</v>
      </c>
      <c r="I1179" s="3" t="str">
        <f>VLOOKUP(B1179,Customers!A:J, 10,FALSE)</f>
        <v>Agnes Sims</v>
      </c>
      <c r="J1179" s="3" t="str">
        <f>VLOOKUP(B1179,Customers!A:J,8,FALSE)</f>
        <v>NY</v>
      </c>
      <c r="K1179" s="3" t="str">
        <f>VLOOKUP(B1179,Customers!A:J,7,FALSE)</f>
        <v>Buffalo</v>
      </c>
      <c r="L1179" s="3" t="str">
        <f>VLOOKUP(H1179,Staff!A:I,9,FALSE)</f>
        <v>Marcelene Boyer</v>
      </c>
      <c r="M1179" s="3" t="str">
        <f>VLOOKUP(G1179,Store!A:H,2,FALSE)</f>
        <v>Baldwin Bikes</v>
      </c>
      <c r="N1179" s="3" t="str">
        <f>VLOOKUP(G1179,Store!A:H,6,FALSE)</f>
        <v>Baldwin</v>
      </c>
      <c r="O1179" s="3" t="s">
        <v>16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">
        <v>1179.0</v>
      </c>
      <c r="B1180" s="1">
        <v>1150.0</v>
      </c>
      <c r="C1180" s="1">
        <v>4.0</v>
      </c>
      <c r="D1180" s="4">
        <v>43020.0</v>
      </c>
      <c r="E1180" s="4">
        <v>43023.0</v>
      </c>
      <c r="F1180" s="4">
        <v>43023.0</v>
      </c>
      <c r="G1180" s="1">
        <v>3.0</v>
      </c>
      <c r="H1180" s="1">
        <v>9.0</v>
      </c>
      <c r="I1180" s="3" t="str">
        <f>VLOOKUP(B1180,Customers!A:J, 10,FALSE)</f>
        <v>Keturah Reid</v>
      </c>
      <c r="J1180" s="3" t="str">
        <f>VLOOKUP(B1180,Customers!A:J,8,FALSE)</f>
        <v>TX</v>
      </c>
      <c r="K1180" s="3" t="str">
        <f>VLOOKUP(B1180,Customers!A:J,7,FALSE)</f>
        <v>Corpus Christi</v>
      </c>
      <c r="L1180" s="3" t="str">
        <f>VLOOKUP(H1180,Staff!A:I,9,FALSE)</f>
        <v>Layla Terrell</v>
      </c>
      <c r="M1180" s="3" t="str">
        <f>VLOOKUP(G1180,Store!A:H,2,FALSE)</f>
        <v>Rowlett Bikes</v>
      </c>
      <c r="N1180" s="3" t="str">
        <f>VLOOKUP(G1180,Store!A:H,6,FALSE)</f>
        <v>Rowlett</v>
      </c>
      <c r="O1180" s="3" t="s">
        <v>17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">
        <v>1180.0</v>
      </c>
      <c r="B1181" s="1">
        <v>1065.0</v>
      </c>
      <c r="C1181" s="1">
        <v>4.0</v>
      </c>
      <c r="D1181" s="4">
        <v>43021.0</v>
      </c>
      <c r="E1181" s="4">
        <v>43024.0</v>
      </c>
      <c r="F1181" s="4">
        <v>43024.0</v>
      </c>
      <c r="G1181" s="1">
        <v>1.0</v>
      </c>
      <c r="H1181" s="1">
        <v>3.0</v>
      </c>
      <c r="I1181" s="3" t="str">
        <f>VLOOKUP(B1181,Customers!A:J, 10,FALSE)</f>
        <v>Desiree Branch</v>
      </c>
      <c r="J1181" s="3" t="str">
        <f>VLOOKUP(B1181,Customers!A:J,8,FALSE)</f>
        <v>CA</v>
      </c>
      <c r="K1181" s="3" t="str">
        <f>VLOOKUP(B1181,Customers!A:J,7,FALSE)</f>
        <v>San Lorenzo</v>
      </c>
      <c r="L1181" s="3" t="str">
        <f>VLOOKUP(H1181,Staff!A:I,9,FALSE)</f>
        <v>Genna Serrano</v>
      </c>
      <c r="M1181" s="3" t="str">
        <f>VLOOKUP(G1181,Store!A:H,2,FALSE)</f>
        <v>Santa Cruz Bikes</v>
      </c>
      <c r="N1181" s="3" t="str">
        <f>VLOOKUP(G1181,Store!A:H,6,FALSE)</f>
        <v>Santa Cruz</v>
      </c>
      <c r="O1181" s="3" t="s">
        <v>15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">
        <v>1181.0</v>
      </c>
      <c r="B1182" s="1">
        <v>1022.0</v>
      </c>
      <c r="C1182" s="1">
        <v>4.0</v>
      </c>
      <c r="D1182" s="4">
        <v>43021.0</v>
      </c>
      <c r="E1182" s="4">
        <v>43024.0</v>
      </c>
      <c r="F1182" s="4">
        <v>43023.0</v>
      </c>
      <c r="G1182" s="1">
        <v>2.0</v>
      </c>
      <c r="H1182" s="1">
        <v>7.0</v>
      </c>
      <c r="I1182" s="3" t="str">
        <f>VLOOKUP(B1182,Customers!A:J, 10,FALSE)</f>
        <v>Hye Mercer</v>
      </c>
      <c r="J1182" s="3" t="str">
        <f>VLOOKUP(B1182,Customers!A:J,8,FALSE)</f>
        <v>NY</v>
      </c>
      <c r="K1182" s="3" t="str">
        <f>VLOOKUP(B1182,Customers!A:J,7,FALSE)</f>
        <v>Mahopac</v>
      </c>
      <c r="L1182" s="3" t="str">
        <f>VLOOKUP(H1182,Staff!A:I,9,FALSE)</f>
        <v>Venita Daniel</v>
      </c>
      <c r="M1182" s="3" t="str">
        <f>VLOOKUP(G1182,Store!A:H,2,FALSE)</f>
        <v>Baldwin Bikes</v>
      </c>
      <c r="N1182" s="3" t="str">
        <f>VLOOKUP(G1182,Store!A:H,6,FALSE)</f>
        <v>Baldwin</v>
      </c>
      <c r="O1182" s="3" t="s">
        <v>16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">
        <v>1182.0</v>
      </c>
      <c r="B1183" s="1">
        <v>1422.0</v>
      </c>
      <c r="C1183" s="1">
        <v>4.0</v>
      </c>
      <c r="D1183" s="4">
        <v>43021.0</v>
      </c>
      <c r="E1183" s="4">
        <v>43022.0</v>
      </c>
      <c r="F1183" s="4">
        <v>43024.0</v>
      </c>
      <c r="G1183" s="1">
        <v>2.0</v>
      </c>
      <c r="H1183" s="1">
        <v>7.0</v>
      </c>
      <c r="I1183" s="3" t="str">
        <f>VLOOKUP(B1183,Customers!A:J, 10,FALSE)</f>
        <v>Tempie Jacobson</v>
      </c>
      <c r="J1183" s="3" t="str">
        <f>VLOOKUP(B1183,Customers!A:J,8,FALSE)</f>
        <v>NY</v>
      </c>
      <c r="K1183" s="3" t="str">
        <f>VLOOKUP(B1183,Customers!A:J,7,FALSE)</f>
        <v>Smithtown</v>
      </c>
      <c r="L1183" s="3" t="str">
        <f>VLOOKUP(H1183,Staff!A:I,9,FALSE)</f>
        <v>Venita Daniel</v>
      </c>
      <c r="M1183" s="3" t="str">
        <f>VLOOKUP(G1183,Store!A:H,2,FALSE)</f>
        <v>Baldwin Bikes</v>
      </c>
      <c r="N1183" s="3" t="str">
        <f>VLOOKUP(G1183,Store!A:H,6,FALSE)</f>
        <v>Baldwin</v>
      </c>
      <c r="O1183" s="3" t="s">
        <v>16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">
        <v>1183.0</v>
      </c>
      <c r="B1184" s="1">
        <v>216.0</v>
      </c>
      <c r="C1184" s="1">
        <v>4.0</v>
      </c>
      <c r="D1184" s="4">
        <v>43022.0</v>
      </c>
      <c r="E1184" s="4">
        <v>43025.0</v>
      </c>
      <c r="F1184" s="4">
        <v>43025.0</v>
      </c>
      <c r="G1184" s="1">
        <v>2.0</v>
      </c>
      <c r="H1184" s="1">
        <v>6.0</v>
      </c>
      <c r="I1184" s="3" t="str">
        <f>VLOOKUP(B1184,Customers!A:J, 10,FALSE)</f>
        <v>Wai Soto</v>
      </c>
      <c r="J1184" s="3" t="str">
        <f>VLOOKUP(B1184,Customers!A:J,8,FALSE)</f>
        <v>NY</v>
      </c>
      <c r="K1184" s="3" t="str">
        <f>VLOOKUP(B1184,Customers!A:J,7,FALSE)</f>
        <v>Bethpage</v>
      </c>
      <c r="L1184" s="3" t="str">
        <f>VLOOKUP(H1184,Staff!A:I,9,FALSE)</f>
        <v>Marcelene Boyer</v>
      </c>
      <c r="M1184" s="3" t="str">
        <f>VLOOKUP(G1184,Store!A:H,2,FALSE)</f>
        <v>Baldwin Bikes</v>
      </c>
      <c r="N1184" s="3" t="str">
        <f>VLOOKUP(G1184,Store!A:H,6,FALSE)</f>
        <v>Baldwin</v>
      </c>
      <c r="O1184" s="3" t="s">
        <v>16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">
        <v>1184.0</v>
      </c>
      <c r="B1185" s="1">
        <v>369.0</v>
      </c>
      <c r="C1185" s="1">
        <v>4.0</v>
      </c>
      <c r="D1185" s="4">
        <v>43022.0</v>
      </c>
      <c r="E1185" s="4">
        <v>43023.0</v>
      </c>
      <c r="F1185" s="4">
        <v>43024.0</v>
      </c>
      <c r="G1185" s="1">
        <v>2.0</v>
      </c>
      <c r="H1185" s="1">
        <v>6.0</v>
      </c>
      <c r="I1185" s="3" t="str">
        <f>VLOOKUP(B1185,Customers!A:J, 10,FALSE)</f>
        <v>Mary Singleton</v>
      </c>
      <c r="J1185" s="3" t="str">
        <f>VLOOKUP(B1185,Customers!A:J,8,FALSE)</f>
        <v>NY</v>
      </c>
      <c r="K1185" s="3" t="str">
        <f>VLOOKUP(B1185,Customers!A:J,7,FALSE)</f>
        <v>Woodside</v>
      </c>
      <c r="L1185" s="3" t="str">
        <f>VLOOKUP(H1185,Staff!A:I,9,FALSE)</f>
        <v>Marcelene Boyer</v>
      </c>
      <c r="M1185" s="3" t="str">
        <f>VLOOKUP(G1185,Store!A:H,2,FALSE)</f>
        <v>Baldwin Bikes</v>
      </c>
      <c r="N1185" s="3" t="str">
        <f>VLOOKUP(G1185,Store!A:H,6,FALSE)</f>
        <v>Baldwin</v>
      </c>
      <c r="O1185" s="3" t="s">
        <v>16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">
        <v>1185.0</v>
      </c>
      <c r="B1186" s="1">
        <v>960.0</v>
      </c>
      <c r="C1186" s="1">
        <v>4.0</v>
      </c>
      <c r="D1186" s="4">
        <v>43022.0</v>
      </c>
      <c r="E1186" s="4">
        <v>43024.0</v>
      </c>
      <c r="F1186" s="4">
        <v>43025.0</v>
      </c>
      <c r="G1186" s="1">
        <v>2.0</v>
      </c>
      <c r="H1186" s="1">
        <v>6.0</v>
      </c>
      <c r="I1186" s="3" t="str">
        <f>VLOOKUP(B1186,Customers!A:J, 10,FALSE)</f>
        <v>Arline Lawson</v>
      </c>
      <c r="J1186" s="3" t="str">
        <f>VLOOKUP(B1186,Customers!A:J,8,FALSE)</f>
        <v>NY</v>
      </c>
      <c r="K1186" s="3" t="str">
        <f>VLOOKUP(B1186,Customers!A:J,7,FALSE)</f>
        <v>Hempstead</v>
      </c>
      <c r="L1186" s="3" t="str">
        <f>VLOOKUP(H1186,Staff!A:I,9,FALSE)</f>
        <v>Marcelene Boyer</v>
      </c>
      <c r="M1186" s="3" t="str">
        <f>VLOOKUP(G1186,Store!A:H,2,FALSE)</f>
        <v>Baldwin Bikes</v>
      </c>
      <c r="N1186" s="3" t="str">
        <f>VLOOKUP(G1186,Store!A:H,6,FALSE)</f>
        <v>Baldwin</v>
      </c>
      <c r="O1186" s="3" t="s">
        <v>16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">
        <v>1186.0</v>
      </c>
      <c r="B1187" s="1">
        <v>1120.0</v>
      </c>
      <c r="C1187" s="1">
        <v>4.0</v>
      </c>
      <c r="D1187" s="4">
        <v>43022.0</v>
      </c>
      <c r="E1187" s="4">
        <v>43024.0</v>
      </c>
      <c r="F1187" s="4">
        <v>43023.0</v>
      </c>
      <c r="G1187" s="1">
        <v>2.0</v>
      </c>
      <c r="H1187" s="1">
        <v>6.0</v>
      </c>
      <c r="I1187" s="3" t="str">
        <f>VLOOKUP(B1187,Customers!A:J, 10,FALSE)</f>
        <v>Karole Alvarez</v>
      </c>
      <c r="J1187" s="3" t="str">
        <f>VLOOKUP(B1187,Customers!A:J,8,FALSE)</f>
        <v>NY</v>
      </c>
      <c r="K1187" s="3" t="str">
        <f>VLOOKUP(B1187,Customers!A:J,7,FALSE)</f>
        <v>East Northport</v>
      </c>
      <c r="L1187" s="3" t="str">
        <f>VLOOKUP(H1187,Staff!A:I,9,FALSE)</f>
        <v>Marcelene Boyer</v>
      </c>
      <c r="M1187" s="3" t="str">
        <f>VLOOKUP(G1187,Store!A:H,2,FALSE)</f>
        <v>Baldwin Bikes</v>
      </c>
      <c r="N1187" s="3" t="str">
        <f>VLOOKUP(G1187,Store!A:H,6,FALSE)</f>
        <v>Baldwin</v>
      </c>
      <c r="O1187" s="3" t="s">
        <v>16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">
        <v>1187.0</v>
      </c>
      <c r="B1188" s="1">
        <v>486.0</v>
      </c>
      <c r="C1188" s="1">
        <v>4.0</v>
      </c>
      <c r="D1188" s="4">
        <v>43023.0</v>
      </c>
      <c r="E1188" s="4">
        <v>43026.0</v>
      </c>
      <c r="F1188" s="4">
        <v>43024.0</v>
      </c>
      <c r="G1188" s="1">
        <v>2.0</v>
      </c>
      <c r="H1188" s="1">
        <v>6.0</v>
      </c>
      <c r="I1188" s="3" t="str">
        <f>VLOOKUP(B1188,Customers!A:J, 10,FALSE)</f>
        <v>Valeri Marshall</v>
      </c>
      <c r="J1188" s="3" t="str">
        <f>VLOOKUP(B1188,Customers!A:J,8,FALSE)</f>
        <v>NY</v>
      </c>
      <c r="K1188" s="3" t="str">
        <f>VLOOKUP(B1188,Customers!A:J,7,FALSE)</f>
        <v>East Meadow</v>
      </c>
      <c r="L1188" s="3" t="str">
        <f>VLOOKUP(H1188,Staff!A:I,9,FALSE)</f>
        <v>Marcelene Boyer</v>
      </c>
      <c r="M1188" s="3" t="str">
        <f>VLOOKUP(G1188,Store!A:H,2,FALSE)</f>
        <v>Baldwin Bikes</v>
      </c>
      <c r="N1188" s="3" t="str">
        <f>VLOOKUP(G1188,Store!A:H,6,FALSE)</f>
        <v>Baldwin</v>
      </c>
      <c r="O1188" s="3" t="s">
        <v>16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">
        <v>1188.0</v>
      </c>
      <c r="B1189" s="1">
        <v>647.0</v>
      </c>
      <c r="C1189" s="1">
        <v>4.0</v>
      </c>
      <c r="D1189" s="4">
        <v>43023.0</v>
      </c>
      <c r="E1189" s="4">
        <v>43026.0</v>
      </c>
      <c r="F1189" s="4">
        <v>43025.0</v>
      </c>
      <c r="G1189" s="1">
        <v>2.0</v>
      </c>
      <c r="H1189" s="1">
        <v>7.0</v>
      </c>
      <c r="I1189" s="3" t="str">
        <f>VLOOKUP(B1189,Customers!A:J, 10,FALSE)</f>
        <v>Janelle Maldonado</v>
      </c>
      <c r="J1189" s="3" t="str">
        <f>VLOOKUP(B1189,Customers!A:J,8,FALSE)</f>
        <v>NY</v>
      </c>
      <c r="K1189" s="3" t="str">
        <f>VLOOKUP(B1189,Customers!A:J,7,FALSE)</f>
        <v>Richmond Hill</v>
      </c>
      <c r="L1189" s="3" t="str">
        <f>VLOOKUP(H1189,Staff!A:I,9,FALSE)</f>
        <v>Venita Daniel</v>
      </c>
      <c r="M1189" s="3" t="str">
        <f>VLOOKUP(G1189,Store!A:H,2,FALSE)</f>
        <v>Baldwin Bikes</v>
      </c>
      <c r="N1189" s="3" t="str">
        <f>VLOOKUP(G1189,Store!A:H,6,FALSE)</f>
        <v>Baldwin</v>
      </c>
      <c r="O1189" s="3" t="s">
        <v>16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">
        <v>1189.0</v>
      </c>
      <c r="B1190" s="1">
        <v>1090.0</v>
      </c>
      <c r="C1190" s="1">
        <v>4.0</v>
      </c>
      <c r="D1190" s="4">
        <v>43023.0</v>
      </c>
      <c r="E1190" s="4">
        <v>43025.0</v>
      </c>
      <c r="F1190" s="4">
        <v>43026.0</v>
      </c>
      <c r="G1190" s="1">
        <v>2.0</v>
      </c>
      <c r="H1190" s="1">
        <v>6.0</v>
      </c>
      <c r="I1190" s="3" t="str">
        <f>VLOOKUP(B1190,Customers!A:J, 10,FALSE)</f>
        <v>Ira Erickson</v>
      </c>
      <c r="J1190" s="3" t="str">
        <f>VLOOKUP(B1190,Customers!A:J,8,FALSE)</f>
        <v>NY</v>
      </c>
      <c r="K1190" s="3" t="str">
        <f>VLOOKUP(B1190,Customers!A:J,7,FALSE)</f>
        <v>Port Jefferson Station</v>
      </c>
      <c r="L1190" s="3" t="str">
        <f>VLOOKUP(H1190,Staff!A:I,9,FALSE)</f>
        <v>Marcelene Boyer</v>
      </c>
      <c r="M1190" s="3" t="str">
        <f>VLOOKUP(G1190,Store!A:H,2,FALSE)</f>
        <v>Baldwin Bikes</v>
      </c>
      <c r="N1190" s="3" t="str">
        <f>VLOOKUP(G1190,Store!A:H,6,FALSE)</f>
        <v>Baldwin</v>
      </c>
      <c r="O1190" s="3" t="s">
        <v>16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">
        <v>1190.0</v>
      </c>
      <c r="B1191" s="1">
        <v>34.0</v>
      </c>
      <c r="C1191" s="1">
        <v>4.0</v>
      </c>
      <c r="D1191" s="4">
        <v>43024.0</v>
      </c>
      <c r="E1191" s="4">
        <v>43027.0</v>
      </c>
      <c r="F1191" s="4">
        <v>43025.0</v>
      </c>
      <c r="G1191" s="1">
        <v>2.0</v>
      </c>
      <c r="H1191" s="1">
        <v>6.0</v>
      </c>
      <c r="I1191" s="3" t="str">
        <f>VLOOKUP(B1191,Customers!A:J, 10,FALSE)</f>
        <v>Brittney Woodward</v>
      </c>
      <c r="J1191" s="3" t="str">
        <f>VLOOKUP(B1191,Customers!A:J,8,FALSE)</f>
        <v>NY</v>
      </c>
      <c r="K1191" s="3" t="str">
        <f>VLOOKUP(B1191,Customers!A:J,7,FALSE)</f>
        <v>East Northport</v>
      </c>
      <c r="L1191" s="3" t="str">
        <f>VLOOKUP(H1191,Staff!A:I,9,FALSE)</f>
        <v>Marcelene Boyer</v>
      </c>
      <c r="M1191" s="3" t="str">
        <f>VLOOKUP(G1191,Store!A:H,2,FALSE)</f>
        <v>Baldwin Bikes</v>
      </c>
      <c r="N1191" s="3" t="str">
        <f>VLOOKUP(G1191,Store!A:H,6,FALSE)</f>
        <v>Baldwin</v>
      </c>
      <c r="O1191" s="3" t="s">
        <v>16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">
        <v>1191.0</v>
      </c>
      <c r="B1192" s="1">
        <v>186.0</v>
      </c>
      <c r="C1192" s="1">
        <v>4.0</v>
      </c>
      <c r="D1192" s="4">
        <v>43025.0</v>
      </c>
      <c r="E1192" s="4">
        <v>43026.0</v>
      </c>
      <c r="F1192" s="4">
        <v>43026.0</v>
      </c>
      <c r="G1192" s="1">
        <v>2.0</v>
      </c>
      <c r="H1192" s="1">
        <v>6.0</v>
      </c>
      <c r="I1192" s="3" t="str">
        <f>VLOOKUP(B1192,Customers!A:J, 10,FALSE)</f>
        <v>Ken Charles</v>
      </c>
      <c r="J1192" s="3" t="str">
        <f>VLOOKUP(B1192,Customers!A:J,8,FALSE)</f>
        <v>NY</v>
      </c>
      <c r="K1192" s="3" t="str">
        <f>VLOOKUP(B1192,Customers!A:J,7,FALSE)</f>
        <v>Monsey</v>
      </c>
      <c r="L1192" s="3" t="str">
        <f>VLOOKUP(H1192,Staff!A:I,9,FALSE)</f>
        <v>Marcelene Boyer</v>
      </c>
      <c r="M1192" s="3" t="str">
        <f>VLOOKUP(G1192,Store!A:H,2,FALSE)</f>
        <v>Baldwin Bikes</v>
      </c>
      <c r="N1192" s="3" t="str">
        <f>VLOOKUP(G1192,Store!A:H,6,FALSE)</f>
        <v>Baldwin</v>
      </c>
      <c r="O1192" s="3" t="s">
        <v>16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">
        <v>1192.0</v>
      </c>
      <c r="B1193" s="1">
        <v>1114.0</v>
      </c>
      <c r="C1193" s="1">
        <v>4.0</v>
      </c>
      <c r="D1193" s="4">
        <v>43025.0</v>
      </c>
      <c r="E1193" s="4">
        <v>43027.0</v>
      </c>
      <c r="F1193" s="4">
        <v>43026.0</v>
      </c>
      <c r="G1193" s="1">
        <v>2.0</v>
      </c>
      <c r="H1193" s="1">
        <v>6.0</v>
      </c>
      <c r="I1193" s="3" t="str">
        <f>VLOOKUP(B1193,Customers!A:J, 10,FALSE)</f>
        <v>Douglass Blankenship</v>
      </c>
      <c r="J1193" s="3" t="str">
        <f>VLOOKUP(B1193,Customers!A:J,8,FALSE)</f>
        <v>NY</v>
      </c>
      <c r="K1193" s="3" t="str">
        <f>VLOOKUP(B1193,Customers!A:J,7,FALSE)</f>
        <v>Albany</v>
      </c>
      <c r="L1193" s="3" t="str">
        <f>VLOOKUP(H1193,Staff!A:I,9,FALSE)</f>
        <v>Marcelene Boyer</v>
      </c>
      <c r="M1193" s="3" t="str">
        <f>VLOOKUP(G1193,Store!A:H,2,FALSE)</f>
        <v>Baldwin Bikes</v>
      </c>
      <c r="N1193" s="3" t="str">
        <f>VLOOKUP(G1193,Store!A:H,6,FALSE)</f>
        <v>Baldwin</v>
      </c>
      <c r="O1193" s="3" t="s">
        <v>16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">
        <v>1193.0</v>
      </c>
      <c r="B1194" s="1">
        <v>1412.0</v>
      </c>
      <c r="C1194" s="1">
        <v>4.0</v>
      </c>
      <c r="D1194" s="4">
        <v>43025.0</v>
      </c>
      <c r="E1194" s="4">
        <v>43027.0</v>
      </c>
      <c r="F1194" s="4">
        <v>43027.0</v>
      </c>
      <c r="G1194" s="1">
        <v>2.0</v>
      </c>
      <c r="H1194" s="1">
        <v>7.0</v>
      </c>
      <c r="I1194" s="3" t="str">
        <f>VLOOKUP(B1194,Customers!A:J, 10,FALSE)</f>
        <v>Adrien Hunter</v>
      </c>
      <c r="J1194" s="3" t="str">
        <f>VLOOKUP(B1194,Customers!A:J,8,FALSE)</f>
        <v>NY</v>
      </c>
      <c r="K1194" s="3" t="str">
        <f>VLOOKUP(B1194,Customers!A:J,7,FALSE)</f>
        <v>Rego Park</v>
      </c>
      <c r="L1194" s="3" t="str">
        <f>VLOOKUP(H1194,Staff!A:I,9,FALSE)</f>
        <v>Venita Daniel</v>
      </c>
      <c r="M1194" s="3" t="str">
        <f>VLOOKUP(G1194,Store!A:H,2,FALSE)</f>
        <v>Baldwin Bikes</v>
      </c>
      <c r="N1194" s="3" t="str">
        <f>VLOOKUP(G1194,Store!A:H,6,FALSE)</f>
        <v>Baldwin</v>
      </c>
      <c r="O1194" s="3" t="s">
        <v>16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">
        <v>1194.0</v>
      </c>
      <c r="B1195" s="1">
        <v>192.0</v>
      </c>
      <c r="C1195" s="1">
        <v>4.0</v>
      </c>
      <c r="D1195" s="4">
        <v>43027.0</v>
      </c>
      <c r="E1195" s="4">
        <v>43030.0</v>
      </c>
      <c r="F1195" s="4">
        <v>43030.0</v>
      </c>
      <c r="G1195" s="1">
        <v>1.0</v>
      </c>
      <c r="H1195" s="1">
        <v>2.0</v>
      </c>
      <c r="I1195" s="3" t="str">
        <f>VLOOKUP(B1195,Customers!A:J, 10,FALSE)</f>
        <v>Bong Hebert</v>
      </c>
      <c r="J1195" s="3" t="str">
        <f>VLOOKUP(B1195,Customers!A:J,8,FALSE)</f>
        <v>CA</v>
      </c>
      <c r="K1195" s="3" t="str">
        <f>VLOOKUP(B1195,Customers!A:J,7,FALSE)</f>
        <v>Torrance</v>
      </c>
      <c r="L1195" s="3" t="str">
        <f>VLOOKUP(H1195,Staff!A:I,9,FALSE)</f>
        <v>Mireya Copeland</v>
      </c>
      <c r="M1195" s="3" t="str">
        <f>VLOOKUP(G1195,Store!A:H,2,FALSE)</f>
        <v>Santa Cruz Bikes</v>
      </c>
      <c r="N1195" s="3" t="str">
        <f>VLOOKUP(G1195,Store!A:H,6,FALSE)</f>
        <v>Santa Cruz</v>
      </c>
      <c r="O1195" s="3" t="s">
        <v>15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">
        <v>1195.0</v>
      </c>
      <c r="B1196" s="1">
        <v>229.0</v>
      </c>
      <c r="C1196" s="1">
        <v>4.0</v>
      </c>
      <c r="D1196" s="4">
        <v>43027.0</v>
      </c>
      <c r="E1196" s="4">
        <v>43029.0</v>
      </c>
      <c r="F1196" s="4">
        <v>43029.0</v>
      </c>
      <c r="G1196" s="1">
        <v>2.0</v>
      </c>
      <c r="H1196" s="1">
        <v>7.0</v>
      </c>
      <c r="I1196" s="3" t="str">
        <f>VLOOKUP(B1196,Customers!A:J, 10,FALSE)</f>
        <v>Molly Langley</v>
      </c>
      <c r="J1196" s="3" t="str">
        <f>VLOOKUP(B1196,Customers!A:J,8,FALSE)</f>
        <v>NY</v>
      </c>
      <c r="K1196" s="3" t="str">
        <f>VLOOKUP(B1196,Customers!A:J,7,FALSE)</f>
        <v>Holbrook</v>
      </c>
      <c r="L1196" s="3" t="str">
        <f>VLOOKUP(H1196,Staff!A:I,9,FALSE)</f>
        <v>Venita Daniel</v>
      </c>
      <c r="M1196" s="3" t="str">
        <f>VLOOKUP(G1196,Store!A:H,2,FALSE)</f>
        <v>Baldwin Bikes</v>
      </c>
      <c r="N1196" s="3" t="str">
        <f>VLOOKUP(G1196,Store!A:H,6,FALSE)</f>
        <v>Baldwin</v>
      </c>
      <c r="O1196" s="3" t="s">
        <v>16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">
        <v>1196.0</v>
      </c>
      <c r="B1197" s="1">
        <v>508.0</v>
      </c>
      <c r="C1197" s="1">
        <v>4.0</v>
      </c>
      <c r="D1197" s="4">
        <v>43027.0</v>
      </c>
      <c r="E1197" s="4">
        <v>43029.0</v>
      </c>
      <c r="F1197" s="4">
        <v>43028.0</v>
      </c>
      <c r="G1197" s="1">
        <v>2.0</v>
      </c>
      <c r="H1197" s="1">
        <v>6.0</v>
      </c>
      <c r="I1197" s="3" t="str">
        <f>VLOOKUP(B1197,Customers!A:J, 10,FALSE)</f>
        <v>Vance Taylor</v>
      </c>
      <c r="J1197" s="3" t="str">
        <f>VLOOKUP(B1197,Customers!A:J,8,FALSE)</f>
        <v>NY</v>
      </c>
      <c r="K1197" s="3" t="str">
        <f>VLOOKUP(B1197,Customers!A:J,7,FALSE)</f>
        <v>Lancaster</v>
      </c>
      <c r="L1197" s="3" t="str">
        <f>VLOOKUP(H1197,Staff!A:I,9,FALSE)</f>
        <v>Marcelene Boyer</v>
      </c>
      <c r="M1197" s="3" t="str">
        <f>VLOOKUP(G1197,Store!A:H,2,FALSE)</f>
        <v>Baldwin Bikes</v>
      </c>
      <c r="N1197" s="3" t="str">
        <f>VLOOKUP(G1197,Store!A:H,6,FALSE)</f>
        <v>Baldwin</v>
      </c>
      <c r="O1197" s="3" t="s">
        <v>16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">
        <v>1197.0</v>
      </c>
      <c r="B1198" s="1">
        <v>269.0</v>
      </c>
      <c r="C1198" s="1">
        <v>4.0</v>
      </c>
      <c r="D1198" s="4">
        <v>43029.0</v>
      </c>
      <c r="E1198" s="4">
        <v>43031.0</v>
      </c>
      <c r="F1198" s="4">
        <v>43031.0</v>
      </c>
      <c r="G1198" s="1">
        <v>2.0</v>
      </c>
      <c r="H1198" s="1">
        <v>6.0</v>
      </c>
      <c r="I1198" s="3" t="str">
        <f>VLOOKUP(B1198,Customers!A:J, 10,FALSE)</f>
        <v>Barton Crosby</v>
      </c>
      <c r="J1198" s="3" t="str">
        <f>VLOOKUP(B1198,Customers!A:J,8,FALSE)</f>
        <v>NY</v>
      </c>
      <c r="K1198" s="3" t="str">
        <f>VLOOKUP(B1198,Customers!A:J,7,FALSE)</f>
        <v>Bellmore</v>
      </c>
      <c r="L1198" s="3" t="str">
        <f>VLOOKUP(H1198,Staff!A:I,9,FALSE)</f>
        <v>Marcelene Boyer</v>
      </c>
      <c r="M1198" s="3" t="str">
        <f>VLOOKUP(G1198,Store!A:H,2,FALSE)</f>
        <v>Baldwin Bikes</v>
      </c>
      <c r="N1198" s="3" t="str">
        <f>VLOOKUP(G1198,Store!A:H,6,FALSE)</f>
        <v>Baldwin</v>
      </c>
      <c r="O1198" s="3" t="s">
        <v>16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">
        <v>1198.0</v>
      </c>
      <c r="B1199" s="1">
        <v>1289.0</v>
      </c>
      <c r="C1199" s="1">
        <v>4.0</v>
      </c>
      <c r="D1199" s="4">
        <v>43030.0</v>
      </c>
      <c r="E1199" s="4">
        <v>43032.0</v>
      </c>
      <c r="F1199" s="4">
        <v>43032.0</v>
      </c>
      <c r="G1199" s="1">
        <v>2.0</v>
      </c>
      <c r="H1199" s="1">
        <v>7.0</v>
      </c>
      <c r="I1199" s="3" t="str">
        <f>VLOOKUP(B1199,Customers!A:J, 10,FALSE)</f>
        <v>Shanelle Anderson</v>
      </c>
      <c r="J1199" s="3" t="str">
        <f>VLOOKUP(B1199,Customers!A:J,8,FALSE)</f>
        <v>NY</v>
      </c>
      <c r="K1199" s="3" t="str">
        <f>VLOOKUP(B1199,Customers!A:J,7,FALSE)</f>
        <v>Bethpage</v>
      </c>
      <c r="L1199" s="3" t="str">
        <f>VLOOKUP(H1199,Staff!A:I,9,FALSE)</f>
        <v>Venita Daniel</v>
      </c>
      <c r="M1199" s="3" t="str">
        <f>VLOOKUP(G1199,Store!A:H,2,FALSE)</f>
        <v>Baldwin Bikes</v>
      </c>
      <c r="N1199" s="3" t="str">
        <f>VLOOKUP(G1199,Store!A:H,6,FALSE)</f>
        <v>Baldwin</v>
      </c>
      <c r="O1199" s="3" t="s">
        <v>16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">
        <v>1199.0</v>
      </c>
      <c r="B1200" s="1">
        <v>318.0</v>
      </c>
      <c r="C1200" s="1">
        <v>4.0</v>
      </c>
      <c r="D1200" s="4">
        <v>43031.0</v>
      </c>
      <c r="E1200" s="4">
        <v>43032.0</v>
      </c>
      <c r="F1200" s="4">
        <v>43034.0</v>
      </c>
      <c r="G1200" s="1">
        <v>1.0</v>
      </c>
      <c r="H1200" s="1">
        <v>2.0</v>
      </c>
      <c r="I1200" s="3" t="str">
        <f>VLOOKUP(B1200,Customers!A:J, 10,FALSE)</f>
        <v>Eliz Whitney</v>
      </c>
      <c r="J1200" s="3" t="str">
        <f>VLOOKUP(B1200,Customers!A:J,8,FALSE)</f>
        <v>CA</v>
      </c>
      <c r="K1200" s="3" t="str">
        <f>VLOOKUP(B1200,Customers!A:J,7,FALSE)</f>
        <v>Fullerton</v>
      </c>
      <c r="L1200" s="3" t="str">
        <f>VLOOKUP(H1200,Staff!A:I,9,FALSE)</f>
        <v>Mireya Copeland</v>
      </c>
      <c r="M1200" s="3" t="str">
        <f>VLOOKUP(G1200,Store!A:H,2,FALSE)</f>
        <v>Santa Cruz Bikes</v>
      </c>
      <c r="N1200" s="3" t="str">
        <f>VLOOKUP(G1200,Store!A:H,6,FALSE)</f>
        <v>Santa Cruz</v>
      </c>
      <c r="O1200" s="3" t="s">
        <v>15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">
        <v>1200.0</v>
      </c>
      <c r="B1201" s="1">
        <v>48.0</v>
      </c>
      <c r="C1201" s="1">
        <v>4.0</v>
      </c>
      <c r="D1201" s="4">
        <v>43031.0</v>
      </c>
      <c r="E1201" s="4">
        <v>43033.0</v>
      </c>
      <c r="F1201" s="4">
        <v>43034.0</v>
      </c>
      <c r="G1201" s="1">
        <v>2.0</v>
      </c>
      <c r="H1201" s="1">
        <v>6.0</v>
      </c>
      <c r="I1201" s="3" t="str">
        <f>VLOOKUP(B1201,Customers!A:J, 10,FALSE)</f>
        <v>Cesar Jackson</v>
      </c>
      <c r="J1201" s="3" t="str">
        <f>VLOOKUP(B1201,Customers!A:J,8,FALSE)</f>
        <v>NY</v>
      </c>
      <c r="K1201" s="3" t="str">
        <f>VLOOKUP(B1201,Customers!A:J,7,FALSE)</f>
        <v>Liverpool</v>
      </c>
      <c r="L1201" s="3" t="str">
        <f>VLOOKUP(H1201,Staff!A:I,9,FALSE)</f>
        <v>Marcelene Boyer</v>
      </c>
      <c r="M1201" s="3" t="str">
        <f>VLOOKUP(G1201,Store!A:H,2,FALSE)</f>
        <v>Baldwin Bikes</v>
      </c>
      <c r="N1201" s="3" t="str">
        <f>VLOOKUP(G1201,Store!A:H,6,FALSE)</f>
        <v>Baldwin</v>
      </c>
      <c r="O1201" s="3" t="s">
        <v>16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">
        <v>1201.0</v>
      </c>
      <c r="B1202" s="1">
        <v>201.0</v>
      </c>
      <c r="C1202" s="1">
        <v>4.0</v>
      </c>
      <c r="D1202" s="4">
        <v>43031.0</v>
      </c>
      <c r="E1202" s="4">
        <v>43032.0</v>
      </c>
      <c r="F1202" s="4">
        <v>43032.0</v>
      </c>
      <c r="G1202" s="1">
        <v>2.0</v>
      </c>
      <c r="H1202" s="1">
        <v>6.0</v>
      </c>
      <c r="I1202" s="3" t="str">
        <f>VLOOKUP(B1202,Customers!A:J, 10,FALSE)</f>
        <v>Candis Harding</v>
      </c>
      <c r="J1202" s="3" t="str">
        <f>VLOOKUP(B1202,Customers!A:J,8,FALSE)</f>
        <v>NY</v>
      </c>
      <c r="K1202" s="3" t="str">
        <f>VLOOKUP(B1202,Customers!A:J,7,FALSE)</f>
        <v>Ballston Spa</v>
      </c>
      <c r="L1202" s="3" t="str">
        <f>VLOOKUP(H1202,Staff!A:I,9,FALSE)</f>
        <v>Marcelene Boyer</v>
      </c>
      <c r="M1202" s="3" t="str">
        <f>VLOOKUP(G1202,Store!A:H,2,FALSE)</f>
        <v>Baldwin Bikes</v>
      </c>
      <c r="N1202" s="3" t="str">
        <f>VLOOKUP(G1202,Store!A:H,6,FALSE)</f>
        <v>Baldwin</v>
      </c>
      <c r="O1202" s="3" t="s">
        <v>16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">
        <v>1202.0</v>
      </c>
      <c r="B1203" s="1">
        <v>593.0</v>
      </c>
      <c r="C1203" s="1">
        <v>4.0</v>
      </c>
      <c r="D1203" s="4">
        <v>43032.0</v>
      </c>
      <c r="E1203" s="4">
        <v>43033.0</v>
      </c>
      <c r="F1203" s="4">
        <v>43033.0</v>
      </c>
      <c r="G1203" s="1">
        <v>2.0</v>
      </c>
      <c r="H1203" s="1">
        <v>6.0</v>
      </c>
      <c r="I1203" s="3" t="str">
        <f>VLOOKUP(B1203,Customers!A:J, 10,FALSE)</f>
        <v>Antony Atkinson</v>
      </c>
      <c r="J1203" s="3" t="str">
        <f>VLOOKUP(B1203,Customers!A:J,8,FALSE)</f>
        <v>NY</v>
      </c>
      <c r="K1203" s="3" t="str">
        <f>VLOOKUP(B1203,Customers!A:J,7,FALSE)</f>
        <v>Smithtown</v>
      </c>
      <c r="L1203" s="3" t="str">
        <f>VLOOKUP(H1203,Staff!A:I,9,FALSE)</f>
        <v>Marcelene Boyer</v>
      </c>
      <c r="M1203" s="3" t="str">
        <f>VLOOKUP(G1203,Store!A:H,2,FALSE)</f>
        <v>Baldwin Bikes</v>
      </c>
      <c r="N1203" s="3" t="str">
        <f>VLOOKUP(G1203,Store!A:H,6,FALSE)</f>
        <v>Baldwin</v>
      </c>
      <c r="O1203" s="3" t="s">
        <v>16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">
        <v>1203.0</v>
      </c>
      <c r="B1204" s="1">
        <v>1191.0</v>
      </c>
      <c r="C1204" s="1">
        <v>4.0</v>
      </c>
      <c r="D1204" s="4">
        <v>43033.0</v>
      </c>
      <c r="E1204" s="4">
        <v>43035.0</v>
      </c>
      <c r="F1204" s="4">
        <v>43034.0</v>
      </c>
      <c r="G1204" s="1">
        <v>2.0</v>
      </c>
      <c r="H1204" s="1">
        <v>7.0</v>
      </c>
      <c r="I1204" s="3" t="str">
        <f>VLOOKUP(B1204,Customers!A:J, 10,FALSE)</f>
        <v>Tam Fisher</v>
      </c>
      <c r="J1204" s="3" t="str">
        <f>VLOOKUP(B1204,Customers!A:J,8,FALSE)</f>
        <v>NY</v>
      </c>
      <c r="K1204" s="3" t="str">
        <f>VLOOKUP(B1204,Customers!A:J,7,FALSE)</f>
        <v>Rochester</v>
      </c>
      <c r="L1204" s="3" t="str">
        <f>VLOOKUP(H1204,Staff!A:I,9,FALSE)</f>
        <v>Venita Daniel</v>
      </c>
      <c r="M1204" s="3" t="str">
        <f>VLOOKUP(G1204,Store!A:H,2,FALSE)</f>
        <v>Baldwin Bikes</v>
      </c>
      <c r="N1204" s="3" t="str">
        <f>VLOOKUP(G1204,Store!A:H,6,FALSE)</f>
        <v>Baldwin</v>
      </c>
      <c r="O1204" s="3" t="s">
        <v>16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">
        <v>1204.0</v>
      </c>
      <c r="B1205" s="1">
        <v>1277.0</v>
      </c>
      <c r="C1205" s="1">
        <v>4.0</v>
      </c>
      <c r="D1205" s="4">
        <v>43033.0</v>
      </c>
      <c r="E1205" s="4">
        <v>43036.0</v>
      </c>
      <c r="F1205" s="4">
        <v>43036.0</v>
      </c>
      <c r="G1205" s="1">
        <v>2.0</v>
      </c>
      <c r="H1205" s="1">
        <v>6.0</v>
      </c>
      <c r="I1205" s="3" t="str">
        <f>VLOOKUP(B1205,Customers!A:J, 10,FALSE)</f>
        <v>Piedad Irwin</v>
      </c>
      <c r="J1205" s="3" t="str">
        <f>VLOOKUP(B1205,Customers!A:J,8,FALSE)</f>
        <v>NY</v>
      </c>
      <c r="K1205" s="3" t="str">
        <f>VLOOKUP(B1205,Customers!A:J,7,FALSE)</f>
        <v>Coram</v>
      </c>
      <c r="L1205" s="3" t="str">
        <f>VLOOKUP(H1205,Staff!A:I,9,FALSE)</f>
        <v>Marcelene Boyer</v>
      </c>
      <c r="M1205" s="3" t="str">
        <f>VLOOKUP(G1205,Store!A:H,2,FALSE)</f>
        <v>Baldwin Bikes</v>
      </c>
      <c r="N1205" s="3" t="str">
        <f>VLOOKUP(G1205,Store!A:H,6,FALSE)</f>
        <v>Baldwin</v>
      </c>
      <c r="O1205" s="3" t="s">
        <v>16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">
        <v>1205.0</v>
      </c>
      <c r="B1206" s="1">
        <v>1091.0</v>
      </c>
      <c r="C1206" s="1">
        <v>4.0</v>
      </c>
      <c r="D1206" s="4">
        <v>43034.0</v>
      </c>
      <c r="E1206" s="4">
        <v>43036.0</v>
      </c>
      <c r="F1206" s="4">
        <v>43036.0</v>
      </c>
      <c r="G1206" s="1">
        <v>1.0</v>
      </c>
      <c r="H1206" s="1">
        <v>2.0</v>
      </c>
      <c r="I1206" s="3" t="str">
        <f>VLOOKUP(B1206,Customers!A:J, 10,FALSE)</f>
        <v>Risa Gallagher</v>
      </c>
      <c r="J1206" s="3" t="str">
        <f>VLOOKUP(B1206,Customers!A:J,8,FALSE)</f>
        <v>CA</v>
      </c>
      <c r="K1206" s="3" t="str">
        <f>VLOOKUP(B1206,Customers!A:J,7,FALSE)</f>
        <v>Rocklin</v>
      </c>
      <c r="L1206" s="3" t="str">
        <f>VLOOKUP(H1206,Staff!A:I,9,FALSE)</f>
        <v>Mireya Copeland</v>
      </c>
      <c r="M1206" s="3" t="str">
        <f>VLOOKUP(G1206,Store!A:H,2,FALSE)</f>
        <v>Santa Cruz Bikes</v>
      </c>
      <c r="N1206" s="3" t="str">
        <f>VLOOKUP(G1206,Store!A:H,6,FALSE)</f>
        <v>Santa Cruz</v>
      </c>
      <c r="O1206" s="3" t="s">
        <v>15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">
        <v>1206.0</v>
      </c>
      <c r="B1207" s="1">
        <v>222.0</v>
      </c>
      <c r="C1207" s="1">
        <v>4.0</v>
      </c>
      <c r="D1207" s="4">
        <v>43034.0</v>
      </c>
      <c r="E1207" s="4">
        <v>43037.0</v>
      </c>
      <c r="F1207" s="4">
        <v>43037.0</v>
      </c>
      <c r="G1207" s="1">
        <v>2.0</v>
      </c>
      <c r="H1207" s="1">
        <v>6.0</v>
      </c>
      <c r="I1207" s="3" t="str">
        <f>VLOOKUP(B1207,Customers!A:J, 10,FALSE)</f>
        <v>Anya Contreras</v>
      </c>
      <c r="J1207" s="3" t="str">
        <f>VLOOKUP(B1207,Customers!A:J,8,FALSE)</f>
        <v>NY</v>
      </c>
      <c r="K1207" s="3" t="str">
        <f>VLOOKUP(B1207,Customers!A:J,7,FALSE)</f>
        <v>East Northport</v>
      </c>
      <c r="L1207" s="3" t="str">
        <f>VLOOKUP(H1207,Staff!A:I,9,FALSE)</f>
        <v>Marcelene Boyer</v>
      </c>
      <c r="M1207" s="3" t="str">
        <f>VLOOKUP(G1207,Store!A:H,2,FALSE)</f>
        <v>Baldwin Bikes</v>
      </c>
      <c r="N1207" s="3" t="str">
        <f>VLOOKUP(G1207,Store!A:H,6,FALSE)</f>
        <v>Baldwin</v>
      </c>
      <c r="O1207" s="3" t="s">
        <v>16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">
        <v>1207.0</v>
      </c>
      <c r="B1208" s="1">
        <v>1002.0</v>
      </c>
      <c r="C1208" s="1">
        <v>4.0</v>
      </c>
      <c r="D1208" s="4">
        <v>43034.0</v>
      </c>
      <c r="E1208" s="4">
        <v>43036.0</v>
      </c>
      <c r="F1208" s="4">
        <v>43035.0</v>
      </c>
      <c r="G1208" s="1">
        <v>2.0</v>
      </c>
      <c r="H1208" s="1">
        <v>6.0</v>
      </c>
      <c r="I1208" s="3" t="str">
        <f>VLOOKUP(B1208,Customers!A:J, 10,FALSE)</f>
        <v>Cami Williamson</v>
      </c>
      <c r="J1208" s="3" t="str">
        <f>VLOOKUP(B1208,Customers!A:J,8,FALSE)</f>
        <v>NY</v>
      </c>
      <c r="K1208" s="3" t="str">
        <f>VLOOKUP(B1208,Customers!A:J,7,FALSE)</f>
        <v>Massapequa</v>
      </c>
      <c r="L1208" s="3" t="str">
        <f>VLOOKUP(H1208,Staff!A:I,9,FALSE)</f>
        <v>Marcelene Boyer</v>
      </c>
      <c r="M1208" s="3" t="str">
        <f>VLOOKUP(G1208,Store!A:H,2,FALSE)</f>
        <v>Baldwin Bikes</v>
      </c>
      <c r="N1208" s="3" t="str">
        <f>VLOOKUP(G1208,Store!A:H,6,FALSE)</f>
        <v>Baldwin</v>
      </c>
      <c r="O1208" s="3" t="s">
        <v>16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">
        <v>1208.0</v>
      </c>
      <c r="B1209" s="1">
        <v>1226.0</v>
      </c>
      <c r="C1209" s="1">
        <v>4.0</v>
      </c>
      <c r="D1209" s="4">
        <v>43034.0</v>
      </c>
      <c r="E1209" s="4">
        <v>43036.0</v>
      </c>
      <c r="F1209" s="4">
        <v>43035.0</v>
      </c>
      <c r="G1209" s="1">
        <v>2.0</v>
      </c>
      <c r="H1209" s="1">
        <v>7.0</v>
      </c>
      <c r="I1209" s="3" t="str">
        <f>VLOOKUP(B1209,Customers!A:J, 10,FALSE)</f>
        <v>Qiana Jackson</v>
      </c>
      <c r="J1209" s="3" t="str">
        <f>VLOOKUP(B1209,Customers!A:J,8,FALSE)</f>
        <v>NY</v>
      </c>
      <c r="K1209" s="3" t="str">
        <f>VLOOKUP(B1209,Customers!A:J,7,FALSE)</f>
        <v>East Northport</v>
      </c>
      <c r="L1209" s="3" t="str">
        <f>VLOOKUP(H1209,Staff!A:I,9,FALSE)</f>
        <v>Venita Daniel</v>
      </c>
      <c r="M1209" s="3" t="str">
        <f>VLOOKUP(G1209,Store!A:H,2,FALSE)</f>
        <v>Baldwin Bikes</v>
      </c>
      <c r="N1209" s="3" t="str">
        <f>VLOOKUP(G1209,Store!A:H,6,FALSE)</f>
        <v>Baldwin</v>
      </c>
      <c r="O1209" s="3" t="s">
        <v>16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">
        <v>1209.0</v>
      </c>
      <c r="B1210" s="1">
        <v>1342.0</v>
      </c>
      <c r="C1210" s="1">
        <v>4.0</v>
      </c>
      <c r="D1210" s="4">
        <v>43034.0</v>
      </c>
      <c r="E1210" s="4">
        <v>43035.0</v>
      </c>
      <c r="F1210" s="4">
        <v>43037.0</v>
      </c>
      <c r="G1210" s="1">
        <v>2.0</v>
      </c>
      <c r="H1210" s="1">
        <v>7.0</v>
      </c>
      <c r="I1210" s="3" t="str">
        <f>VLOOKUP(B1210,Customers!A:J, 10,FALSE)</f>
        <v>Lekisha Pope</v>
      </c>
      <c r="J1210" s="3" t="str">
        <f>VLOOKUP(B1210,Customers!A:J,8,FALSE)</f>
        <v>NY</v>
      </c>
      <c r="K1210" s="3" t="str">
        <f>VLOOKUP(B1210,Customers!A:J,7,FALSE)</f>
        <v>Freeport</v>
      </c>
      <c r="L1210" s="3" t="str">
        <f>VLOOKUP(H1210,Staff!A:I,9,FALSE)</f>
        <v>Venita Daniel</v>
      </c>
      <c r="M1210" s="3" t="str">
        <f>VLOOKUP(G1210,Store!A:H,2,FALSE)</f>
        <v>Baldwin Bikes</v>
      </c>
      <c r="N1210" s="3" t="str">
        <f>VLOOKUP(G1210,Store!A:H,6,FALSE)</f>
        <v>Baldwin</v>
      </c>
      <c r="O1210" s="3" t="s">
        <v>16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">
        <v>1210.0</v>
      </c>
      <c r="B1211" s="1">
        <v>730.0</v>
      </c>
      <c r="C1211" s="1">
        <v>4.0</v>
      </c>
      <c r="D1211" s="4">
        <v>43034.0</v>
      </c>
      <c r="E1211" s="4">
        <v>43035.0</v>
      </c>
      <c r="F1211" s="4">
        <v>43037.0</v>
      </c>
      <c r="G1211" s="1">
        <v>3.0</v>
      </c>
      <c r="H1211" s="1">
        <v>8.0</v>
      </c>
      <c r="I1211" s="3" t="str">
        <f>VLOOKUP(B1211,Customers!A:J, 10,FALSE)</f>
        <v>Andria Rivers</v>
      </c>
      <c r="J1211" s="3" t="str">
        <f>VLOOKUP(B1211,Customers!A:J,8,FALSE)</f>
        <v>TX</v>
      </c>
      <c r="K1211" s="3" t="str">
        <f>VLOOKUP(B1211,Customers!A:J,7,FALSE)</f>
        <v>Amarillo</v>
      </c>
      <c r="L1211" s="3" t="str">
        <f>VLOOKUP(H1211,Staff!A:I,9,FALSE)</f>
        <v>Kali Vargas</v>
      </c>
      <c r="M1211" s="3" t="str">
        <f>VLOOKUP(G1211,Store!A:H,2,FALSE)</f>
        <v>Rowlett Bikes</v>
      </c>
      <c r="N1211" s="3" t="str">
        <f>VLOOKUP(G1211,Store!A:H,6,FALSE)</f>
        <v>Rowlett</v>
      </c>
      <c r="O1211" s="3" t="s">
        <v>17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">
        <v>1211.0</v>
      </c>
      <c r="B1212" s="1">
        <v>19.0</v>
      </c>
      <c r="C1212" s="1">
        <v>4.0</v>
      </c>
      <c r="D1212" s="4">
        <v>43035.0</v>
      </c>
      <c r="E1212" s="4">
        <v>43036.0</v>
      </c>
      <c r="F1212" s="4">
        <v>43037.0</v>
      </c>
      <c r="G1212" s="1">
        <v>2.0</v>
      </c>
      <c r="H1212" s="1">
        <v>7.0</v>
      </c>
      <c r="I1212" s="3" t="str">
        <f>VLOOKUP(B1212,Customers!A:J, 10,FALSE)</f>
        <v>Lizzette Stein</v>
      </c>
      <c r="J1212" s="3" t="str">
        <f>VLOOKUP(B1212,Customers!A:J,8,FALSE)</f>
        <v>NY</v>
      </c>
      <c r="K1212" s="3" t="str">
        <f>VLOOKUP(B1212,Customers!A:J,7,FALSE)</f>
        <v>Orchard Park</v>
      </c>
      <c r="L1212" s="3" t="str">
        <f>VLOOKUP(H1212,Staff!A:I,9,FALSE)</f>
        <v>Venita Daniel</v>
      </c>
      <c r="M1212" s="3" t="str">
        <f>VLOOKUP(G1212,Store!A:H,2,FALSE)</f>
        <v>Baldwin Bikes</v>
      </c>
      <c r="N1212" s="3" t="str">
        <f>VLOOKUP(G1212,Store!A:H,6,FALSE)</f>
        <v>Baldwin</v>
      </c>
      <c r="O1212" s="3" t="s">
        <v>16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">
        <v>1212.0</v>
      </c>
      <c r="B1213" s="1">
        <v>213.0</v>
      </c>
      <c r="C1213" s="1">
        <v>4.0</v>
      </c>
      <c r="D1213" s="4">
        <v>43035.0</v>
      </c>
      <c r="E1213" s="4">
        <v>43038.0</v>
      </c>
      <c r="F1213" s="4">
        <v>43037.0</v>
      </c>
      <c r="G1213" s="1">
        <v>2.0</v>
      </c>
      <c r="H1213" s="1">
        <v>6.0</v>
      </c>
      <c r="I1213" s="3" t="str">
        <f>VLOOKUP(B1213,Customers!A:J, 10,FALSE)</f>
        <v>Elenore Hensley</v>
      </c>
      <c r="J1213" s="3" t="str">
        <f>VLOOKUP(B1213,Customers!A:J,8,FALSE)</f>
        <v>NY</v>
      </c>
      <c r="K1213" s="3" t="str">
        <f>VLOOKUP(B1213,Customers!A:J,7,FALSE)</f>
        <v>Hamburg</v>
      </c>
      <c r="L1213" s="3" t="str">
        <f>VLOOKUP(H1213,Staff!A:I,9,FALSE)</f>
        <v>Marcelene Boyer</v>
      </c>
      <c r="M1213" s="3" t="str">
        <f>VLOOKUP(G1213,Store!A:H,2,FALSE)</f>
        <v>Baldwin Bikes</v>
      </c>
      <c r="N1213" s="3" t="str">
        <f>VLOOKUP(G1213,Store!A:H,6,FALSE)</f>
        <v>Baldwin</v>
      </c>
      <c r="O1213" s="3" t="s">
        <v>16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">
        <v>1213.0</v>
      </c>
      <c r="B1214" s="1">
        <v>669.0</v>
      </c>
      <c r="C1214" s="1">
        <v>4.0</v>
      </c>
      <c r="D1214" s="4">
        <v>43035.0</v>
      </c>
      <c r="E1214" s="4">
        <v>43037.0</v>
      </c>
      <c r="F1214" s="4">
        <v>43037.0</v>
      </c>
      <c r="G1214" s="1">
        <v>3.0</v>
      </c>
      <c r="H1214" s="1">
        <v>9.0</v>
      </c>
      <c r="I1214" s="3" t="str">
        <f>VLOOKUP(B1214,Customers!A:J, 10,FALSE)</f>
        <v>Willis Randolph</v>
      </c>
      <c r="J1214" s="3" t="str">
        <f>VLOOKUP(B1214,Customers!A:J,8,FALSE)</f>
        <v>TX</v>
      </c>
      <c r="K1214" s="3" t="str">
        <f>VLOOKUP(B1214,Customers!A:J,7,FALSE)</f>
        <v>Harlingen</v>
      </c>
      <c r="L1214" s="3" t="str">
        <f>VLOOKUP(H1214,Staff!A:I,9,FALSE)</f>
        <v>Layla Terrell</v>
      </c>
      <c r="M1214" s="3" t="str">
        <f>VLOOKUP(G1214,Store!A:H,2,FALSE)</f>
        <v>Rowlett Bikes</v>
      </c>
      <c r="N1214" s="3" t="str">
        <f>VLOOKUP(G1214,Store!A:H,6,FALSE)</f>
        <v>Rowlett</v>
      </c>
      <c r="O1214" s="3" t="s">
        <v>17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">
        <v>1214.0</v>
      </c>
      <c r="B1215" s="1">
        <v>783.0</v>
      </c>
      <c r="C1215" s="1">
        <v>4.0</v>
      </c>
      <c r="D1215" s="4">
        <v>43036.0</v>
      </c>
      <c r="E1215" s="4">
        <v>43037.0</v>
      </c>
      <c r="F1215" s="4">
        <v>43037.0</v>
      </c>
      <c r="G1215" s="1">
        <v>2.0</v>
      </c>
      <c r="H1215" s="1">
        <v>6.0</v>
      </c>
      <c r="I1215" s="3" t="str">
        <f>VLOOKUP(B1215,Customers!A:J, 10,FALSE)</f>
        <v>Celestine Kent</v>
      </c>
      <c r="J1215" s="3" t="str">
        <f>VLOOKUP(B1215,Customers!A:J,8,FALSE)</f>
        <v>NY</v>
      </c>
      <c r="K1215" s="3" t="str">
        <f>VLOOKUP(B1215,Customers!A:J,7,FALSE)</f>
        <v>Lancaster</v>
      </c>
      <c r="L1215" s="3" t="str">
        <f>VLOOKUP(H1215,Staff!A:I,9,FALSE)</f>
        <v>Marcelene Boyer</v>
      </c>
      <c r="M1215" s="3" t="str">
        <f>VLOOKUP(G1215,Store!A:H,2,FALSE)</f>
        <v>Baldwin Bikes</v>
      </c>
      <c r="N1215" s="3" t="str">
        <f>VLOOKUP(G1215,Store!A:H,6,FALSE)</f>
        <v>Baldwin</v>
      </c>
      <c r="O1215" s="3" t="s">
        <v>16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">
        <v>1215.0</v>
      </c>
      <c r="B1216" s="1">
        <v>807.0</v>
      </c>
      <c r="C1216" s="1">
        <v>4.0</v>
      </c>
      <c r="D1216" s="4">
        <v>43036.0</v>
      </c>
      <c r="E1216" s="4">
        <v>43039.0</v>
      </c>
      <c r="F1216" s="4">
        <v>43038.0</v>
      </c>
      <c r="G1216" s="1">
        <v>2.0</v>
      </c>
      <c r="H1216" s="1">
        <v>7.0</v>
      </c>
      <c r="I1216" s="3" t="str">
        <f>VLOOKUP(B1216,Customers!A:J, 10,FALSE)</f>
        <v>Nathalie Knowles</v>
      </c>
      <c r="J1216" s="3" t="str">
        <f>VLOOKUP(B1216,Customers!A:J,8,FALSE)</f>
        <v>NY</v>
      </c>
      <c r="K1216" s="3" t="str">
        <f>VLOOKUP(B1216,Customers!A:J,7,FALSE)</f>
        <v>West Islip</v>
      </c>
      <c r="L1216" s="3" t="str">
        <f>VLOOKUP(H1216,Staff!A:I,9,FALSE)</f>
        <v>Venita Daniel</v>
      </c>
      <c r="M1216" s="3" t="str">
        <f>VLOOKUP(G1216,Store!A:H,2,FALSE)</f>
        <v>Baldwin Bikes</v>
      </c>
      <c r="N1216" s="3" t="str">
        <f>VLOOKUP(G1216,Store!A:H,6,FALSE)</f>
        <v>Baldwin</v>
      </c>
      <c r="O1216" s="3" t="s">
        <v>16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">
        <v>1216.0</v>
      </c>
      <c r="B1217" s="1">
        <v>886.0</v>
      </c>
      <c r="C1217" s="1">
        <v>4.0</v>
      </c>
      <c r="D1217" s="4">
        <v>43036.0</v>
      </c>
      <c r="E1217" s="4">
        <v>43038.0</v>
      </c>
      <c r="F1217" s="4">
        <v>43037.0</v>
      </c>
      <c r="G1217" s="1">
        <v>2.0</v>
      </c>
      <c r="H1217" s="1">
        <v>7.0</v>
      </c>
      <c r="I1217" s="3" t="str">
        <f>VLOOKUP(B1217,Customers!A:J, 10,FALSE)</f>
        <v>Letisha May</v>
      </c>
      <c r="J1217" s="3" t="str">
        <f>VLOOKUP(B1217,Customers!A:J,8,FALSE)</f>
        <v>NY</v>
      </c>
      <c r="K1217" s="3" t="str">
        <f>VLOOKUP(B1217,Customers!A:J,7,FALSE)</f>
        <v>North Tonawanda</v>
      </c>
      <c r="L1217" s="3" t="str">
        <f>VLOOKUP(H1217,Staff!A:I,9,FALSE)</f>
        <v>Venita Daniel</v>
      </c>
      <c r="M1217" s="3" t="str">
        <f>VLOOKUP(G1217,Store!A:H,2,FALSE)</f>
        <v>Baldwin Bikes</v>
      </c>
      <c r="N1217" s="3" t="str">
        <f>VLOOKUP(G1217,Store!A:H,6,FALSE)</f>
        <v>Baldwin</v>
      </c>
      <c r="O1217" s="3" t="s">
        <v>16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">
        <v>1217.0</v>
      </c>
      <c r="B1218" s="1">
        <v>1155.0</v>
      </c>
      <c r="C1218" s="1">
        <v>4.0</v>
      </c>
      <c r="D1218" s="4">
        <v>43036.0</v>
      </c>
      <c r="E1218" s="4">
        <v>43039.0</v>
      </c>
      <c r="F1218" s="4">
        <v>43038.0</v>
      </c>
      <c r="G1218" s="1">
        <v>2.0</v>
      </c>
      <c r="H1218" s="1">
        <v>7.0</v>
      </c>
      <c r="I1218" s="3" t="str">
        <f>VLOOKUP(B1218,Customers!A:J, 10,FALSE)</f>
        <v>Verdell Joyner</v>
      </c>
      <c r="J1218" s="3" t="str">
        <f>VLOOKUP(B1218,Customers!A:J,8,FALSE)</f>
        <v>NY</v>
      </c>
      <c r="K1218" s="3" t="str">
        <f>VLOOKUP(B1218,Customers!A:J,7,FALSE)</f>
        <v>Far Rockaway</v>
      </c>
      <c r="L1218" s="3" t="str">
        <f>VLOOKUP(H1218,Staff!A:I,9,FALSE)</f>
        <v>Venita Daniel</v>
      </c>
      <c r="M1218" s="3" t="str">
        <f>VLOOKUP(G1218,Store!A:H,2,FALSE)</f>
        <v>Baldwin Bikes</v>
      </c>
      <c r="N1218" s="3" t="str">
        <f>VLOOKUP(G1218,Store!A:H,6,FALSE)</f>
        <v>Baldwin</v>
      </c>
      <c r="O1218" s="3" t="s">
        <v>16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">
        <v>1218.0</v>
      </c>
      <c r="B1219" s="1">
        <v>1017.0</v>
      </c>
      <c r="C1219" s="1">
        <v>4.0</v>
      </c>
      <c r="D1219" s="4">
        <v>43038.0</v>
      </c>
      <c r="E1219" s="4">
        <v>43040.0</v>
      </c>
      <c r="F1219" s="4">
        <v>43039.0</v>
      </c>
      <c r="G1219" s="1">
        <v>1.0</v>
      </c>
      <c r="H1219" s="1">
        <v>2.0</v>
      </c>
      <c r="I1219" s="3" t="str">
        <f>VLOOKUP(B1219,Customers!A:J, 10,FALSE)</f>
        <v>Philip Bryan</v>
      </c>
      <c r="J1219" s="3" t="str">
        <f>VLOOKUP(B1219,Customers!A:J,8,FALSE)</f>
        <v>CA</v>
      </c>
      <c r="K1219" s="3" t="str">
        <f>VLOOKUP(B1219,Customers!A:J,7,FALSE)</f>
        <v>Oakland</v>
      </c>
      <c r="L1219" s="3" t="str">
        <f>VLOOKUP(H1219,Staff!A:I,9,FALSE)</f>
        <v>Mireya Copeland</v>
      </c>
      <c r="M1219" s="3" t="str">
        <f>VLOOKUP(G1219,Store!A:H,2,FALSE)</f>
        <v>Santa Cruz Bikes</v>
      </c>
      <c r="N1219" s="3" t="str">
        <f>VLOOKUP(G1219,Store!A:H,6,FALSE)</f>
        <v>Santa Cruz</v>
      </c>
      <c r="O1219" s="3" t="s">
        <v>15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">
        <v>1219.0</v>
      </c>
      <c r="B1220" s="1">
        <v>840.0</v>
      </c>
      <c r="C1220" s="1">
        <v>4.0</v>
      </c>
      <c r="D1220" s="4">
        <v>43038.0</v>
      </c>
      <c r="E1220" s="4">
        <v>43041.0</v>
      </c>
      <c r="F1220" s="4">
        <v>43041.0</v>
      </c>
      <c r="G1220" s="1">
        <v>2.0</v>
      </c>
      <c r="H1220" s="1">
        <v>7.0</v>
      </c>
      <c r="I1220" s="3" t="str">
        <f>VLOOKUP(B1220,Customers!A:J, 10,FALSE)</f>
        <v>Gilbert Calhoun</v>
      </c>
      <c r="J1220" s="3" t="str">
        <f>VLOOKUP(B1220,Customers!A:J,8,FALSE)</f>
        <v>NY</v>
      </c>
      <c r="K1220" s="3" t="str">
        <f>VLOOKUP(B1220,Customers!A:J,7,FALSE)</f>
        <v>East Elmhurst</v>
      </c>
      <c r="L1220" s="3" t="str">
        <f>VLOOKUP(H1220,Staff!A:I,9,FALSE)</f>
        <v>Venita Daniel</v>
      </c>
      <c r="M1220" s="3" t="str">
        <f>VLOOKUP(G1220,Store!A:H,2,FALSE)</f>
        <v>Baldwin Bikes</v>
      </c>
      <c r="N1220" s="3" t="str">
        <f>VLOOKUP(G1220,Store!A:H,6,FALSE)</f>
        <v>Baldwin</v>
      </c>
      <c r="O1220" s="3" t="s">
        <v>16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">
        <v>1220.0</v>
      </c>
      <c r="B1221" s="1">
        <v>803.0</v>
      </c>
      <c r="C1221" s="1">
        <v>4.0</v>
      </c>
      <c r="D1221" s="4">
        <v>43039.0</v>
      </c>
      <c r="E1221" s="4">
        <v>43042.0</v>
      </c>
      <c r="F1221" s="4">
        <v>43042.0</v>
      </c>
      <c r="G1221" s="1">
        <v>2.0</v>
      </c>
      <c r="H1221" s="1">
        <v>6.0</v>
      </c>
      <c r="I1221" s="3" t="str">
        <f>VLOOKUP(B1221,Customers!A:J, 10,FALSE)</f>
        <v>Bernardina Cooper</v>
      </c>
      <c r="J1221" s="3" t="str">
        <f>VLOOKUP(B1221,Customers!A:J,8,FALSE)</f>
        <v>NY</v>
      </c>
      <c r="K1221" s="3" t="str">
        <f>VLOOKUP(B1221,Customers!A:J,7,FALSE)</f>
        <v>Whitestone</v>
      </c>
      <c r="L1221" s="3" t="str">
        <f>VLOOKUP(H1221,Staff!A:I,9,FALSE)</f>
        <v>Marcelene Boyer</v>
      </c>
      <c r="M1221" s="3" t="str">
        <f>VLOOKUP(G1221,Store!A:H,2,FALSE)</f>
        <v>Baldwin Bikes</v>
      </c>
      <c r="N1221" s="3" t="str">
        <f>VLOOKUP(G1221,Store!A:H,6,FALSE)</f>
        <v>Baldwin</v>
      </c>
      <c r="O1221" s="3" t="s">
        <v>16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">
        <v>1221.0</v>
      </c>
      <c r="B1222" s="1">
        <v>1290.0</v>
      </c>
      <c r="C1222" s="1">
        <v>4.0</v>
      </c>
      <c r="D1222" s="4">
        <v>43039.0</v>
      </c>
      <c r="E1222" s="4">
        <v>43041.0</v>
      </c>
      <c r="F1222" s="4">
        <v>43040.0</v>
      </c>
      <c r="G1222" s="1">
        <v>2.0</v>
      </c>
      <c r="H1222" s="1">
        <v>7.0</v>
      </c>
      <c r="I1222" s="3" t="str">
        <f>VLOOKUP(B1222,Customers!A:J, 10,FALSE)</f>
        <v>Minnie Compton</v>
      </c>
      <c r="J1222" s="3" t="str">
        <f>VLOOKUP(B1222,Customers!A:J,8,FALSE)</f>
        <v>NY</v>
      </c>
      <c r="K1222" s="3" t="str">
        <f>VLOOKUP(B1222,Customers!A:J,7,FALSE)</f>
        <v>South Richmond Hill</v>
      </c>
      <c r="L1222" s="3" t="str">
        <f>VLOOKUP(H1222,Staff!A:I,9,FALSE)</f>
        <v>Venita Daniel</v>
      </c>
      <c r="M1222" s="3" t="str">
        <f>VLOOKUP(G1222,Store!A:H,2,FALSE)</f>
        <v>Baldwin Bikes</v>
      </c>
      <c r="N1222" s="3" t="str">
        <f>VLOOKUP(G1222,Store!A:H,6,FALSE)</f>
        <v>Baldwin</v>
      </c>
      <c r="O1222" s="3" t="s">
        <v>16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">
        <v>1222.0</v>
      </c>
      <c r="B1223" s="1">
        <v>482.0</v>
      </c>
      <c r="C1223" s="1">
        <v>4.0</v>
      </c>
      <c r="D1223" s="4">
        <v>43040.0</v>
      </c>
      <c r="E1223" s="4">
        <v>43043.0</v>
      </c>
      <c r="F1223" s="4">
        <v>43042.0</v>
      </c>
      <c r="G1223" s="1">
        <v>3.0</v>
      </c>
      <c r="H1223" s="1">
        <v>9.0</v>
      </c>
      <c r="I1223" s="3" t="str">
        <f>VLOOKUP(B1223,Customers!A:J, 10,FALSE)</f>
        <v>Narcisa Knapp</v>
      </c>
      <c r="J1223" s="3" t="str">
        <f>VLOOKUP(B1223,Customers!A:J,8,FALSE)</f>
        <v>TX</v>
      </c>
      <c r="K1223" s="3" t="str">
        <f>VLOOKUP(B1223,Customers!A:J,7,FALSE)</f>
        <v>Amarillo</v>
      </c>
      <c r="L1223" s="3" t="str">
        <f>VLOOKUP(H1223,Staff!A:I,9,FALSE)</f>
        <v>Layla Terrell</v>
      </c>
      <c r="M1223" s="3" t="str">
        <f>VLOOKUP(G1223,Store!A:H,2,FALSE)</f>
        <v>Rowlett Bikes</v>
      </c>
      <c r="N1223" s="3" t="str">
        <f>VLOOKUP(G1223,Store!A:H,6,FALSE)</f>
        <v>Rowlett</v>
      </c>
      <c r="O1223" s="3" t="s">
        <v>17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">
        <v>1223.0</v>
      </c>
      <c r="B1224" s="1">
        <v>1207.0</v>
      </c>
      <c r="C1224" s="1">
        <v>4.0</v>
      </c>
      <c r="D1224" s="4">
        <v>43041.0</v>
      </c>
      <c r="E1224" s="4">
        <v>43042.0</v>
      </c>
      <c r="F1224" s="4">
        <v>43042.0</v>
      </c>
      <c r="G1224" s="1">
        <v>2.0</v>
      </c>
      <c r="H1224" s="1">
        <v>6.0</v>
      </c>
      <c r="I1224" s="3" t="str">
        <f>VLOOKUP(B1224,Customers!A:J, 10,FALSE)</f>
        <v>Jenell Crosby</v>
      </c>
      <c r="J1224" s="3" t="str">
        <f>VLOOKUP(B1224,Customers!A:J,8,FALSE)</f>
        <v>NY</v>
      </c>
      <c r="K1224" s="3" t="str">
        <f>VLOOKUP(B1224,Customers!A:J,7,FALSE)</f>
        <v>Brentwood</v>
      </c>
      <c r="L1224" s="3" t="str">
        <f>VLOOKUP(H1224,Staff!A:I,9,FALSE)</f>
        <v>Marcelene Boyer</v>
      </c>
      <c r="M1224" s="3" t="str">
        <f>VLOOKUP(G1224,Store!A:H,2,FALSE)</f>
        <v>Baldwin Bikes</v>
      </c>
      <c r="N1224" s="3" t="str">
        <f>VLOOKUP(G1224,Store!A:H,6,FALSE)</f>
        <v>Baldwin</v>
      </c>
      <c r="O1224" s="3" t="s">
        <v>16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">
        <v>1224.0</v>
      </c>
      <c r="B1225" s="1">
        <v>544.0</v>
      </c>
      <c r="C1225" s="1">
        <v>4.0</v>
      </c>
      <c r="D1225" s="4">
        <v>43042.0</v>
      </c>
      <c r="E1225" s="4">
        <v>43043.0</v>
      </c>
      <c r="F1225" s="4">
        <v>43043.0</v>
      </c>
      <c r="G1225" s="1">
        <v>2.0</v>
      </c>
      <c r="H1225" s="1">
        <v>6.0</v>
      </c>
      <c r="I1225" s="3" t="str">
        <f>VLOOKUP(B1225,Customers!A:J, 10,FALSE)</f>
        <v>Catarina Mendez</v>
      </c>
      <c r="J1225" s="3" t="str">
        <f>VLOOKUP(B1225,Customers!A:J,8,FALSE)</f>
        <v>NY</v>
      </c>
      <c r="K1225" s="3" t="str">
        <f>VLOOKUP(B1225,Customers!A:J,7,FALSE)</f>
        <v>West Islip</v>
      </c>
      <c r="L1225" s="3" t="str">
        <f>VLOOKUP(H1225,Staff!A:I,9,FALSE)</f>
        <v>Marcelene Boyer</v>
      </c>
      <c r="M1225" s="3" t="str">
        <f>VLOOKUP(G1225,Store!A:H,2,FALSE)</f>
        <v>Baldwin Bikes</v>
      </c>
      <c r="N1225" s="3" t="str">
        <f>VLOOKUP(G1225,Store!A:H,6,FALSE)</f>
        <v>Baldwin</v>
      </c>
      <c r="O1225" s="3" t="s">
        <v>16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">
        <v>1225.0</v>
      </c>
      <c r="B1226" s="1">
        <v>768.0</v>
      </c>
      <c r="C1226" s="1">
        <v>4.0</v>
      </c>
      <c r="D1226" s="4">
        <v>43043.0</v>
      </c>
      <c r="E1226" s="4">
        <v>43044.0</v>
      </c>
      <c r="F1226" s="4">
        <v>43046.0</v>
      </c>
      <c r="G1226" s="1">
        <v>1.0</v>
      </c>
      <c r="H1226" s="1">
        <v>2.0</v>
      </c>
      <c r="I1226" s="3" t="str">
        <f>VLOOKUP(B1226,Customers!A:J, 10,FALSE)</f>
        <v>Yvone Yates</v>
      </c>
      <c r="J1226" s="3" t="str">
        <f>VLOOKUP(B1226,Customers!A:J,8,FALSE)</f>
        <v>CA</v>
      </c>
      <c r="K1226" s="3" t="str">
        <f>VLOOKUP(B1226,Customers!A:J,7,FALSE)</f>
        <v>San Pablo</v>
      </c>
      <c r="L1226" s="3" t="str">
        <f>VLOOKUP(H1226,Staff!A:I,9,FALSE)</f>
        <v>Mireya Copeland</v>
      </c>
      <c r="M1226" s="3" t="str">
        <f>VLOOKUP(G1226,Store!A:H,2,FALSE)</f>
        <v>Santa Cruz Bikes</v>
      </c>
      <c r="N1226" s="3" t="str">
        <f>VLOOKUP(G1226,Store!A:H,6,FALSE)</f>
        <v>Santa Cruz</v>
      </c>
      <c r="O1226" s="3" t="s">
        <v>15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">
        <v>1226.0</v>
      </c>
      <c r="B1227" s="1">
        <v>226.0</v>
      </c>
      <c r="C1227" s="1">
        <v>4.0</v>
      </c>
      <c r="D1227" s="4">
        <v>43043.0</v>
      </c>
      <c r="E1227" s="4">
        <v>43046.0</v>
      </c>
      <c r="F1227" s="4">
        <v>43045.0</v>
      </c>
      <c r="G1227" s="1">
        <v>2.0</v>
      </c>
      <c r="H1227" s="1">
        <v>7.0</v>
      </c>
      <c r="I1227" s="3" t="str">
        <f>VLOOKUP(B1227,Customers!A:J, 10,FALSE)</f>
        <v>Kiana Rivera</v>
      </c>
      <c r="J1227" s="3" t="str">
        <f>VLOOKUP(B1227,Customers!A:J,8,FALSE)</f>
        <v>NY</v>
      </c>
      <c r="K1227" s="3" t="str">
        <f>VLOOKUP(B1227,Customers!A:J,7,FALSE)</f>
        <v>Richmond Hill</v>
      </c>
      <c r="L1227" s="3" t="str">
        <f>VLOOKUP(H1227,Staff!A:I,9,FALSE)</f>
        <v>Venita Daniel</v>
      </c>
      <c r="M1227" s="3" t="str">
        <f>VLOOKUP(G1227,Store!A:H,2,FALSE)</f>
        <v>Baldwin Bikes</v>
      </c>
      <c r="N1227" s="3" t="str">
        <f>VLOOKUP(G1227,Store!A:H,6,FALSE)</f>
        <v>Baldwin</v>
      </c>
      <c r="O1227" s="3" t="s">
        <v>16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">
        <v>1227.0</v>
      </c>
      <c r="B1228" s="1">
        <v>702.0</v>
      </c>
      <c r="C1228" s="1">
        <v>4.0</v>
      </c>
      <c r="D1228" s="4">
        <v>43043.0</v>
      </c>
      <c r="E1228" s="4">
        <v>43046.0</v>
      </c>
      <c r="F1228" s="4">
        <v>43045.0</v>
      </c>
      <c r="G1228" s="1">
        <v>2.0</v>
      </c>
      <c r="H1228" s="1">
        <v>6.0</v>
      </c>
      <c r="I1228" s="3" t="str">
        <f>VLOOKUP(B1228,Customers!A:J, 10,FALSE)</f>
        <v>Sharie Whitaker</v>
      </c>
      <c r="J1228" s="3" t="str">
        <f>VLOOKUP(B1228,Customers!A:J,8,FALSE)</f>
        <v>NY</v>
      </c>
      <c r="K1228" s="3" t="str">
        <f>VLOOKUP(B1228,Customers!A:J,7,FALSE)</f>
        <v>Merrick</v>
      </c>
      <c r="L1228" s="3" t="str">
        <f>VLOOKUP(H1228,Staff!A:I,9,FALSE)</f>
        <v>Marcelene Boyer</v>
      </c>
      <c r="M1228" s="3" t="str">
        <f>VLOOKUP(G1228,Store!A:H,2,FALSE)</f>
        <v>Baldwin Bikes</v>
      </c>
      <c r="N1228" s="3" t="str">
        <f>VLOOKUP(G1228,Store!A:H,6,FALSE)</f>
        <v>Baldwin</v>
      </c>
      <c r="O1228" s="3" t="s">
        <v>16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">
        <v>1228.0</v>
      </c>
      <c r="B1229" s="1">
        <v>1041.0</v>
      </c>
      <c r="C1229" s="1">
        <v>4.0</v>
      </c>
      <c r="D1229" s="4">
        <v>43043.0</v>
      </c>
      <c r="E1229" s="4">
        <v>43045.0</v>
      </c>
      <c r="F1229" s="4">
        <v>43045.0</v>
      </c>
      <c r="G1229" s="1">
        <v>2.0</v>
      </c>
      <c r="H1229" s="1">
        <v>6.0</v>
      </c>
      <c r="I1229" s="3" t="str">
        <f>VLOOKUP(B1229,Customers!A:J, 10,FALSE)</f>
        <v>Bettye Espinoza</v>
      </c>
      <c r="J1229" s="3" t="str">
        <f>VLOOKUP(B1229,Customers!A:J,8,FALSE)</f>
        <v>NY</v>
      </c>
      <c r="K1229" s="3" t="str">
        <f>VLOOKUP(B1229,Customers!A:J,7,FALSE)</f>
        <v>Oswego</v>
      </c>
      <c r="L1229" s="3" t="str">
        <f>VLOOKUP(H1229,Staff!A:I,9,FALSE)</f>
        <v>Marcelene Boyer</v>
      </c>
      <c r="M1229" s="3" t="str">
        <f>VLOOKUP(G1229,Store!A:H,2,FALSE)</f>
        <v>Baldwin Bikes</v>
      </c>
      <c r="N1229" s="3" t="str">
        <f>VLOOKUP(G1229,Store!A:H,6,FALSE)</f>
        <v>Baldwin</v>
      </c>
      <c r="O1229" s="3" t="s">
        <v>16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">
        <v>1229.0</v>
      </c>
      <c r="B1230" s="1">
        <v>89.0</v>
      </c>
      <c r="C1230" s="1">
        <v>4.0</v>
      </c>
      <c r="D1230" s="4">
        <v>43044.0</v>
      </c>
      <c r="E1230" s="4">
        <v>43047.0</v>
      </c>
      <c r="F1230" s="4">
        <v>43045.0</v>
      </c>
      <c r="G1230" s="1">
        <v>1.0</v>
      </c>
      <c r="H1230" s="1">
        <v>3.0</v>
      </c>
      <c r="I1230" s="3" t="str">
        <f>VLOOKUP(B1230,Customers!A:J, 10,FALSE)</f>
        <v>Arvilla Osborn</v>
      </c>
      <c r="J1230" s="3" t="str">
        <f>VLOOKUP(B1230,Customers!A:J,8,FALSE)</f>
        <v>CA</v>
      </c>
      <c r="K1230" s="3" t="str">
        <f>VLOOKUP(B1230,Customers!A:J,7,FALSE)</f>
        <v>Upland</v>
      </c>
      <c r="L1230" s="3" t="str">
        <f>VLOOKUP(H1230,Staff!A:I,9,FALSE)</f>
        <v>Genna Serrano</v>
      </c>
      <c r="M1230" s="3" t="str">
        <f>VLOOKUP(G1230,Store!A:H,2,FALSE)</f>
        <v>Santa Cruz Bikes</v>
      </c>
      <c r="N1230" s="3" t="str">
        <f>VLOOKUP(G1230,Store!A:H,6,FALSE)</f>
        <v>Santa Cruz</v>
      </c>
      <c r="O1230" s="3" t="s">
        <v>15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">
        <v>1230.0</v>
      </c>
      <c r="B1231" s="1">
        <v>1107.0</v>
      </c>
      <c r="C1231" s="1">
        <v>4.0</v>
      </c>
      <c r="D1231" s="4">
        <v>43044.0</v>
      </c>
      <c r="E1231" s="4">
        <v>43045.0</v>
      </c>
      <c r="F1231" s="4">
        <v>43046.0</v>
      </c>
      <c r="G1231" s="1">
        <v>2.0</v>
      </c>
      <c r="H1231" s="1">
        <v>6.0</v>
      </c>
      <c r="I1231" s="3" t="str">
        <f>VLOOKUP(B1231,Customers!A:J, 10,FALSE)</f>
        <v>Lynda Newman</v>
      </c>
      <c r="J1231" s="3" t="str">
        <f>VLOOKUP(B1231,Customers!A:J,8,FALSE)</f>
        <v>NY</v>
      </c>
      <c r="K1231" s="3" t="str">
        <f>VLOOKUP(B1231,Customers!A:J,7,FALSE)</f>
        <v>Saratoga Springs</v>
      </c>
      <c r="L1231" s="3" t="str">
        <f>VLOOKUP(H1231,Staff!A:I,9,FALSE)</f>
        <v>Marcelene Boyer</v>
      </c>
      <c r="M1231" s="3" t="str">
        <f>VLOOKUP(G1231,Store!A:H,2,FALSE)</f>
        <v>Baldwin Bikes</v>
      </c>
      <c r="N1231" s="3" t="str">
        <f>VLOOKUP(G1231,Store!A:H,6,FALSE)</f>
        <v>Baldwin</v>
      </c>
      <c r="O1231" s="3" t="s">
        <v>16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">
        <v>1231.0</v>
      </c>
      <c r="B1232" s="1">
        <v>1180.0</v>
      </c>
      <c r="C1232" s="1">
        <v>4.0</v>
      </c>
      <c r="D1232" s="4">
        <v>43044.0</v>
      </c>
      <c r="E1232" s="4">
        <v>43046.0</v>
      </c>
      <c r="F1232" s="4">
        <v>43045.0</v>
      </c>
      <c r="G1232" s="1">
        <v>2.0</v>
      </c>
      <c r="H1232" s="1">
        <v>6.0</v>
      </c>
      <c r="I1232" s="3" t="str">
        <f>VLOOKUP(B1232,Customers!A:J, 10,FALSE)</f>
        <v>Myrtle Gardner</v>
      </c>
      <c r="J1232" s="3" t="str">
        <f>VLOOKUP(B1232,Customers!A:J,8,FALSE)</f>
        <v>NY</v>
      </c>
      <c r="K1232" s="3" t="str">
        <f>VLOOKUP(B1232,Customers!A:J,7,FALSE)</f>
        <v>Farmingdale</v>
      </c>
      <c r="L1232" s="3" t="str">
        <f>VLOOKUP(H1232,Staff!A:I,9,FALSE)</f>
        <v>Marcelene Boyer</v>
      </c>
      <c r="M1232" s="3" t="str">
        <f>VLOOKUP(G1232,Store!A:H,2,FALSE)</f>
        <v>Baldwin Bikes</v>
      </c>
      <c r="N1232" s="3" t="str">
        <f>VLOOKUP(G1232,Store!A:H,6,FALSE)</f>
        <v>Baldwin</v>
      </c>
      <c r="O1232" s="3" t="s">
        <v>16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">
        <v>1232.0</v>
      </c>
      <c r="B1233" s="1">
        <v>665.0</v>
      </c>
      <c r="C1233" s="1">
        <v>4.0</v>
      </c>
      <c r="D1233" s="4">
        <v>43045.0</v>
      </c>
      <c r="E1233" s="4">
        <v>43046.0</v>
      </c>
      <c r="F1233" s="4">
        <v>43048.0</v>
      </c>
      <c r="G1233" s="1">
        <v>1.0</v>
      </c>
      <c r="H1233" s="1">
        <v>3.0</v>
      </c>
      <c r="I1233" s="3" t="str">
        <f>VLOOKUP(B1233,Customers!A:J, 10,FALSE)</f>
        <v>Stacie Sims</v>
      </c>
      <c r="J1233" s="3" t="str">
        <f>VLOOKUP(B1233,Customers!A:J,8,FALSE)</f>
        <v>CA</v>
      </c>
      <c r="K1233" s="3" t="str">
        <f>VLOOKUP(B1233,Customers!A:J,7,FALSE)</f>
        <v>Oakland</v>
      </c>
      <c r="L1233" s="3" t="str">
        <f>VLOOKUP(H1233,Staff!A:I,9,FALSE)</f>
        <v>Genna Serrano</v>
      </c>
      <c r="M1233" s="3" t="str">
        <f>VLOOKUP(G1233,Store!A:H,2,FALSE)</f>
        <v>Santa Cruz Bikes</v>
      </c>
      <c r="N1233" s="3" t="str">
        <f>VLOOKUP(G1233,Store!A:H,6,FALSE)</f>
        <v>Santa Cruz</v>
      </c>
      <c r="O1233" s="3" t="s">
        <v>15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">
        <v>1233.0</v>
      </c>
      <c r="B1234" s="1">
        <v>462.0</v>
      </c>
      <c r="C1234" s="1">
        <v>4.0</v>
      </c>
      <c r="D1234" s="4">
        <v>43045.0</v>
      </c>
      <c r="E1234" s="4">
        <v>43046.0</v>
      </c>
      <c r="F1234" s="4">
        <v>43047.0</v>
      </c>
      <c r="G1234" s="1">
        <v>2.0</v>
      </c>
      <c r="H1234" s="1">
        <v>6.0</v>
      </c>
      <c r="I1234" s="3" t="str">
        <f>VLOOKUP(B1234,Customers!A:J, 10,FALSE)</f>
        <v>Efren Oliver</v>
      </c>
      <c r="J1234" s="3" t="str">
        <f>VLOOKUP(B1234,Customers!A:J,8,FALSE)</f>
        <v>NY</v>
      </c>
      <c r="K1234" s="3" t="str">
        <f>VLOOKUP(B1234,Customers!A:J,7,FALSE)</f>
        <v>Nanuet</v>
      </c>
      <c r="L1234" s="3" t="str">
        <f>VLOOKUP(H1234,Staff!A:I,9,FALSE)</f>
        <v>Marcelene Boyer</v>
      </c>
      <c r="M1234" s="3" t="str">
        <f>VLOOKUP(G1234,Store!A:H,2,FALSE)</f>
        <v>Baldwin Bikes</v>
      </c>
      <c r="N1234" s="3" t="str">
        <f>VLOOKUP(G1234,Store!A:H,6,FALSE)</f>
        <v>Baldwin</v>
      </c>
      <c r="O1234" s="3" t="s">
        <v>16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">
        <v>1234.0</v>
      </c>
      <c r="B1235" s="1">
        <v>19.0</v>
      </c>
      <c r="C1235" s="1">
        <v>3.0</v>
      </c>
      <c r="D1235" s="4">
        <v>43046.0</v>
      </c>
      <c r="E1235" s="4">
        <v>43046.0</v>
      </c>
      <c r="F1235" s="1" t="s">
        <v>18</v>
      </c>
      <c r="G1235" s="1">
        <v>2.0</v>
      </c>
      <c r="H1235" s="1">
        <v>6.0</v>
      </c>
      <c r="I1235" s="3" t="str">
        <f>VLOOKUP(B1235,Customers!A:J, 10,FALSE)</f>
        <v>Lizzette Stein</v>
      </c>
      <c r="J1235" s="3" t="str">
        <f>VLOOKUP(B1235,Customers!A:J,8,FALSE)</f>
        <v>NY</v>
      </c>
      <c r="K1235" s="3" t="str">
        <f>VLOOKUP(B1235,Customers!A:J,7,FALSE)</f>
        <v>Orchard Park</v>
      </c>
      <c r="L1235" s="3" t="str">
        <f>VLOOKUP(H1235,Staff!A:I,9,FALSE)</f>
        <v>Marcelene Boyer</v>
      </c>
      <c r="M1235" s="3" t="str">
        <f>VLOOKUP(G1235,Store!A:H,2,FALSE)</f>
        <v>Baldwin Bikes</v>
      </c>
      <c r="N1235" s="3" t="str">
        <f>VLOOKUP(G1235,Store!A:H,6,FALSE)</f>
        <v>Baldwin</v>
      </c>
      <c r="O1235" s="3" t="s">
        <v>16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">
        <v>1235.0</v>
      </c>
      <c r="B1236" s="1">
        <v>210.0</v>
      </c>
      <c r="C1236" s="1">
        <v>4.0</v>
      </c>
      <c r="D1236" s="4">
        <v>43046.0</v>
      </c>
      <c r="E1236" s="4">
        <v>43047.0</v>
      </c>
      <c r="F1236" s="4">
        <v>43048.0</v>
      </c>
      <c r="G1236" s="1">
        <v>2.0</v>
      </c>
      <c r="H1236" s="1">
        <v>6.0</v>
      </c>
      <c r="I1236" s="3" t="str">
        <f>VLOOKUP(B1236,Customers!A:J, 10,FALSE)</f>
        <v>Priscilla Wilkins</v>
      </c>
      <c r="J1236" s="3" t="str">
        <f>VLOOKUP(B1236,Customers!A:J,8,FALSE)</f>
        <v>NY</v>
      </c>
      <c r="K1236" s="3" t="str">
        <f>VLOOKUP(B1236,Customers!A:J,7,FALSE)</f>
        <v>Albany</v>
      </c>
      <c r="L1236" s="3" t="str">
        <f>VLOOKUP(H1236,Staff!A:I,9,FALSE)</f>
        <v>Marcelene Boyer</v>
      </c>
      <c r="M1236" s="3" t="str">
        <f>VLOOKUP(G1236,Store!A:H,2,FALSE)</f>
        <v>Baldwin Bikes</v>
      </c>
      <c r="N1236" s="3" t="str">
        <f>VLOOKUP(G1236,Store!A:H,6,FALSE)</f>
        <v>Baldwin</v>
      </c>
      <c r="O1236" s="3" t="s">
        <v>16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">
        <v>1236.0</v>
      </c>
      <c r="B1237" s="1">
        <v>243.0</v>
      </c>
      <c r="C1237" s="1">
        <v>4.0</v>
      </c>
      <c r="D1237" s="4">
        <v>43047.0</v>
      </c>
      <c r="E1237" s="4">
        <v>43050.0</v>
      </c>
      <c r="F1237" s="4">
        <v>43048.0</v>
      </c>
      <c r="G1237" s="1">
        <v>2.0</v>
      </c>
      <c r="H1237" s="1">
        <v>7.0</v>
      </c>
      <c r="I1237" s="3" t="str">
        <f>VLOOKUP(B1237,Customers!A:J, 10,FALSE)</f>
        <v>Natosha Rowland</v>
      </c>
      <c r="J1237" s="3" t="str">
        <f>VLOOKUP(B1237,Customers!A:J,8,FALSE)</f>
        <v>NY</v>
      </c>
      <c r="K1237" s="3" t="str">
        <f>VLOOKUP(B1237,Customers!A:J,7,FALSE)</f>
        <v>Ballston Spa</v>
      </c>
      <c r="L1237" s="3" t="str">
        <f>VLOOKUP(H1237,Staff!A:I,9,FALSE)</f>
        <v>Venita Daniel</v>
      </c>
      <c r="M1237" s="3" t="str">
        <f>VLOOKUP(G1237,Store!A:H,2,FALSE)</f>
        <v>Baldwin Bikes</v>
      </c>
      <c r="N1237" s="3" t="str">
        <f>VLOOKUP(G1237,Store!A:H,6,FALSE)</f>
        <v>Baldwin</v>
      </c>
      <c r="O1237" s="3" t="s">
        <v>16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">
        <v>1237.0</v>
      </c>
      <c r="B1238" s="1">
        <v>571.0</v>
      </c>
      <c r="C1238" s="1">
        <v>4.0</v>
      </c>
      <c r="D1238" s="4">
        <v>43048.0</v>
      </c>
      <c r="E1238" s="4">
        <v>43051.0</v>
      </c>
      <c r="F1238" s="4">
        <v>43050.0</v>
      </c>
      <c r="G1238" s="1">
        <v>1.0</v>
      </c>
      <c r="H1238" s="1">
        <v>2.0</v>
      </c>
      <c r="I1238" s="3" t="str">
        <f>VLOOKUP(B1238,Customers!A:J, 10,FALSE)</f>
        <v>Kaley Blanchard</v>
      </c>
      <c r="J1238" s="3" t="str">
        <f>VLOOKUP(B1238,Customers!A:J,8,FALSE)</f>
        <v>CA</v>
      </c>
      <c r="K1238" s="3" t="str">
        <f>VLOOKUP(B1238,Customers!A:J,7,FALSE)</f>
        <v>Palos Verdes Peninsula</v>
      </c>
      <c r="L1238" s="3" t="str">
        <f>VLOOKUP(H1238,Staff!A:I,9,FALSE)</f>
        <v>Mireya Copeland</v>
      </c>
      <c r="M1238" s="3" t="str">
        <f>VLOOKUP(G1238,Store!A:H,2,FALSE)</f>
        <v>Santa Cruz Bikes</v>
      </c>
      <c r="N1238" s="3" t="str">
        <f>VLOOKUP(G1238,Store!A:H,6,FALSE)</f>
        <v>Santa Cruz</v>
      </c>
      <c r="O1238" s="3" t="s">
        <v>15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">
        <v>1238.0</v>
      </c>
      <c r="B1239" s="1">
        <v>998.0</v>
      </c>
      <c r="C1239" s="1">
        <v>4.0</v>
      </c>
      <c r="D1239" s="4">
        <v>43048.0</v>
      </c>
      <c r="E1239" s="4">
        <v>43049.0</v>
      </c>
      <c r="F1239" s="4">
        <v>43050.0</v>
      </c>
      <c r="G1239" s="1">
        <v>2.0</v>
      </c>
      <c r="H1239" s="1">
        <v>6.0</v>
      </c>
      <c r="I1239" s="3" t="str">
        <f>VLOOKUP(B1239,Customers!A:J, 10,FALSE)</f>
        <v>Heather Chaney</v>
      </c>
      <c r="J1239" s="3" t="str">
        <f>VLOOKUP(B1239,Customers!A:J,8,FALSE)</f>
        <v>NY</v>
      </c>
      <c r="K1239" s="3" t="str">
        <f>VLOOKUP(B1239,Customers!A:J,7,FALSE)</f>
        <v>Jamestown</v>
      </c>
      <c r="L1239" s="3" t="str">
        <f>VLOOKUP(H1239,Staff!A:I,9,FALSE)</f>
        <v>Marcelene Boyer</v>
      </c>
      <c r="M1239" s="3" t="str">
        <f>VLOOKUP(G1239,Store!A:H,2,FALSE)</f>
        <v>Baldwin Bikes</v>
      </c>
      <c r="N1239" s="3" t="str">
        <f>VLOOKUP(G1239,Store!A:H,6,FALSE)</f>
        <v>Baldwin</v>
      </c>
      <c r="O1239" s="3" t="s">
        <v>16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">
        <v>1239.0</v>
      </c>
      <c r="B1240" s="1">
        <v>1197.0</v>
      </c>
      <c r="C1240" s="1">
        <v>4.0</v>
      </c>
      <c r="D1240" s="4">
        <v>43048.0</v>
      </c>
      <c r="E1240" s="4">
        <v>43049.0</v>
      </c>
      <c r="F1240" s="4">
        <v>43050.0</v>
      </c>
      <c r="G1240" s="1">
        <v>2.0</v>
      </c>
      <c r="H1240" s="1">
        <v>7.0</v>
      </c>
      <c r="I1240" s="3" t="str">
        <f>VLOOKUP(B1240,Customers!A:J, 10,FALSE)</f>
        <v>Nakisha Clay</v>
      </c>
      <c r="J1240" s="3" t="str">
        <f>VLOOKUP(B1240,Customers!A:J,8,FALSE)</f>
        <v>NY</v>
      </c>
      <c r="K1240" s="3" t="str">
        <f>VLOOKUP(B1240,Customers!A:J,7,FALSE)</f>
        <v>Port Washington</v>
      </c>
      <c r="L1240" s="3" t="str">
        <f>VLOOKUP(H1240,Staff!A:I,9,FALSE)</f>
        <v>Venita Daniel</v>
      </c>
      <c r="M1240" s="3" t="str">
        <f>VLOOKUP(G1240,Store!A:H,2,FALSE)</f>
        <v>Baldwin Bikes</v>
      </c>
      <c r="N1240" s="3" t="str">
        <f>VLOOKUP(G1240,Store!A:H,6,FALSE)</f>
        <v>Baldwin</v>
      </c>
      <c r="O1240" s="3" t="s">
        <v>16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">
        <v>1240.0</v>
      </c>
      <c r="B1241" s="1">
        <v>903.0</v>
      </c>
      <c r="C1241" s="1">
        <v>4.0</v>
      </c>
      <c r="D1241" s="4">
        <v>43049.0</v>
      </c>
      <c r="E1241" s="4">
        <v>43050.0</v>
      </c>
      <c r="F1241" s="4">
        <v>43050.0</v>
      </c>
      <c r="G1241" s="1">
        <v>2.0</v>
      </c>
      <c r="H1241" s="1">
        <v>7.0</v>
      </c>
      <c r="I1241" s="3" t="str">
        <f>VLOOKUP(B1241,Customers!A:J, 10,FALSE)</f>
        <v>Maira Long</v>
      </c>
      <c r="J1241" s="3" t="str">
        <f>VLOOKUP(B1241,Customers!A:J,8,FALSE)</f>
        <v>NY</v>
      </c>
      <c r="K1241" s="3" t="str">
        <f>VLOOKUP(B1241,Customers!A:J,7,FALSE)</f>
        <v>Hicksville</v>
      </c>
      <c r="L1241" s="3" t="str">
        <f>VLOOKUP(H1241,Staff!A:I,9,FALSE)</f>
        <v>Venita Daniel</v>
      </c>
      <c r="M1241" s="3" t="str">
        <f>VLOOKUP(G1241,Store!A:H,2,FALSE)</f>
        <v>Baldwin Bikes</v>
      </c>
      <c r="N1241" s="3" t="str">
        <f>VLOOKUP(G1241,Store!A:H,6,FALSE)</f>
        <v>Baldwin</v>
      </c>
      <c r="O1241" s="3" t="s">
        <v>16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">
        <v>1241.0</v>
      </c>
      <c r="B1242" s="1">
        <v>1170.0</v>
      </c>
      <c r="C1242" s="1">
        <v>4.0</v>
      </c>
      <c r="D1242" s="4">
        <v>43049.0</v>
      </c>
      <c r="E1242" s="4">
        <v>43051.0</v>
      </c>
      <c r="F1242" s="4">
        <v>43050.0</v>
      </c>
      <c r="G1242" s="1">
        <v>2.0</v>
      </c>
      <c r="H1242" s="1">
        <v>7.0</v>
      </c>
      <c r="I1242" s="3" t="str">
        <f>VLOOKUP(B1242,Customers!A:J, 10,FALSE)</f>
        <v>Mechelle Chan</v>
      </c>
      <c r="J1242" s="3" t="str">
        <f>VLOOKUP(B1242,Customers!A:J,8,FALSE)</f>
        <v>NY</v>
      </c>
      <c r="K1242" s="3" t="str">
        <f>VLOOKUP(B1242,Customers!A:J,7,FALSE)</f>
        <v>Richmond Hill</v>
      </c>
      <c r="L1242" s="3" t="str">
        <f>VLOOKUP(H1242,Staff!A:I,9,FALSE)</f>
        <v>Venita Daniel</v>
      </c>
      <c r="M1242" s="3" t="str">
        <f>VLOOKUP(G1242,Store!A:H,2,FALSE)</f>
        <v>Baldwin Bikes</v>
      </c>
      <c r="N1242" s="3" t="str">
        <f>VLOOKUP(G1242,Store!A:H,6,FALSE)</f>
        <v>Baldwin</v>
      </c>
      <c r="O1242" s="3" t="s">
        <v>16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">
        <v>1242.0</v>
      </c>
      <c r="B1243" s="1">
        <v>303.0</v>
      </c>
      <c r="C1243" s="1">
        <v>4.0</v>
      </c>
      <c r="D1243" s="4">
        <v>43050.0</v>
      </c>
      <c r="E1243" s="4">
        <v>43051.0</v>
      </c>
      <c r="F1243" s="4">
        <v>43051.0</v>
      </c>
      <c r="G1243" s="1">
        <v>2.0</v>
      </c>
      <c r="H1243" s="1">
        <v>6.0</v>
      </c>
      <c r="I1243" s="3" t="str">
        <f>VLOOKUP(B1243,Customers!A:J, 10,FALSE)</f>
        <v>Rolanda Larsen</v>
      </c>
      <c r="J1243" s="3" t="str">
        <f>VLOOKUP(B1243,Customers!A:J,8,FALSE)</f>
        <v>NY</v>
      </c>
      <c r="K1243" s="3" t="str">
        <f>VLOOKUP(B1243,Customers!A:J,7,FALSE)</f>
        <v>Woodhaven</v>
      </c>
      <c r="L1243" s="3" t="str">
        <f>VLOOKUP(H1243,Staff!A:I,9,FALSE)</f>
        <v>Marcelene Boyer</v>
      </c>
      <c r="M1243" s="3" t="str">
        <f>VLOOKUP(G1243,Store!A:H,2,FALSE)</f>
        <v>Baldwin Bikes</v>
      </c>
      <c r="N1243" s="3" t="str">
        <f>VLOOKUP(G1243,Store!A:H,6,FALSE)</f>
        <v>Baldwin</v>
      </c>
      <c r="O1243" s="3" t="s">
        <v>16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">
        <v>1243.0</v>
      </c>
      <c r="B1244" s="1">
        <v>346.0</v>
      </c>
      <c r="C1244" s="1">
        <v>4.0</v>
      </c>
      <c r="D1244" s="4">
        <v>43050.0</v>
      </c>
      <c r="E1244" s="4">
        <v>43052.0</v>
      </c>
      <c r="F1244" s="4">
        <v>43053.0</v>
      </c>
      <c r="G1244" s="1">
        <v>2.0</v>
      </c>
      <c r="H1244" s="1">
        <v>6.0</v>
      </c>
      <c r="I1244" s="3" t="str">
        <f>VLOOKUP(B1244,Customers!A:J, 10,FALSE)</f>
        <v>Jacalyn Barnett</v>
      </c>
      <c r="J1244" s="3" t="str">
        <f>VLOOKUP(B1244,Customers!A:J,8,FALSE)</f>
        <v>NY</v>
      </c>
      <c r="K1244" s="3" t="str">
        <f>VLOOKUP(B1244,Customers!A:J,7,FALSE)</f>
        <v>Maspeth</v>
      </c>
      <c r="L1244" s="3" t="str">
        <f>VLOOKUP(H1244,Staff!A:I,9,FALSE)</f>
        <v>Marcelene Boyer</v>
      </c>
      <c r="M1244" s="3" t="str">
        <f>VLOOKUP(G1244,Store!A:H,2,FALSE)</f>
        <v>Baldwin Bikes</v>
      </c>
      <c r="N1244" s="3" t="str">
        <f>VLOOKUP(G1244,Store!A:H,6,FALSE)</f>
        <v>Baldwin</v>
      </c>
      <c r="O1244" s="3" t="s">
        <v>16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">
        <v>1244.0</v>
      </c>
      <c r="B1245" s="1">
        <v>333.0</v>
      </c>
      <c r="C1245" s="1">
        <v>4.0</v>
      </c>
      <c r="D1245" s="4">
        <v>43051.0</v>
      </c>
      <c r="E1245" s="4">
        <v>43053.0</v>
      </c>
      <c r="F1245" s="4">
        <v>43052.0</v>
      </c>
      <c r="G1245" s="1">
        <v>2.0</v>
      </c>
      <c r="H1245" s="1">
        <v>6.0</v>
      </c>
      <c r="I1245" s="3" t="str">
        <f>VLOOKUP(B1245,Customers!A:J, 10,FALSE)</f>
        <v>Ami Mcmahon</v>
      </c>
      <c r="J1245" s="3" t="str">
        <f>VLOOKUP(B1245,Customers!A:J,8,FALSE)</f>
        <v>NY</v>
      </c>
      <c r="K1245" s="3" t="str">
        <f>VLOOKUP(B1245,Customers!A:J,7,FALSE)</f>
        <v>Sunnyside</v>
      </c>
      <c r="L1245" s="3" t="str">
        <f>VLOOKUP(H1245,Staff!A:I,9,FALSE)</f>
        <v>Marcelene Boyer</v>
      </c>
      <c r="M1245" s="3" t="str">
        <f>VLOOKUP(G1245,Store!A:H,2,FALSE)</f>
        <v>Baldwin Bikes</v>
      </c>
      <c r="N1245" s="3" t="str">
        <f>VLOOKUP(G1245,Store!A:H,6,FALSE)</f>
        <v>Baldwin</v>
      </c>
      <c r="O1245" s="3" t="s">
        <v>16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">
        <v>1245.0</v>
      </c>
      <c r="B1246" s="1">
        <v>1166.0</v>
      </c>
      <c r="C1246" s="1">
        <v>4.0</v>
      </c>
      <c r="D1246" s="4">
        <v>43052.0</v>
      </c>
      <c r="E1246" s="4">
        <v>43055.0</v>
      </c>
      <c r="F1246" s="4">
        <v>43053.0</v>
      </c>
      <c r="G1246" s="1">
        <v>2.0</v>
      </c>
      <c r="H1246" s="1">
        <v>7.0</v>
      </c>
      <c r="I1246" s="3" t="str">
        <f>VLOOKUP(B1246,Customers!A:J, 10,FALSE)</f>
        <v>Junita Reese</v>
      </c>
      <c r="J1246" s="3" t="str">
        <f>VLOOKUP(B1246,Customers!A:J,8,FALSE)</f>
        <v>NY</v>
      </c>
      <c r="K1246" s="3" t="str">
        <f>VLOOKUP(B1246,Customers!A:J,7,FALSE)</f>
        <v>Bay Shore</v>
      </c>
      <c r="L1246" s="3" t="str">
        <f>VLOOKUP(H1246,Staff!A:I,9,FALSE)</f>
        <v>Venita Daniel</v>
      </c>
      <c r="M1246" s="3" t="str">
        <f>VLOOKUP(G1246,Store!A:H,2,FALSE)</f>
        <v>Baldwin Bikes</v>
      </c>
      <c r="N1246" s="3" t="str">
        <f>VLOOKUP(G1246,Store!A:H,6,FALSE)</f>
        <v>Baldwin</v>
      </c>
      <c r="O1246" s="3" t="s">
        <v>16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">
        <v>1246.0</v>
      </c>
      <c r="B1247" s="1">
        <v>1329.0</v>
      </c>
      <c r="C1247" s="1">
        <v>4.0</v>
      </c>
      <c r="D1247" s="4">
        <v>43052.0</v>
      </c>
      <c r="E1247" s="4">
        <v>43055.0</v>
      </c>
      <c r="F1247" s="4">
        <v>43055.0</v>
      </c>
      <c r="G1247" s="1">
        <v>2.0</v>
      </c>
      <c r="H1247" s="1">
        <v>7.0</v>
      </c>
      <c r="I1247" s="3" t="str">
        <f>VLOOKUP(B1247,Customers!A:J, 10,FALSE)</f>
        <v>Sharyn Brewer</v>
      </c>
      <c r="J1247" s="3" t="str">
        <f>VLOOKUP(B1247,Customers!A:J,8,FALSE)</f>
        <v>NY</v>
      </c>
      <c r="K1247" s="3" t="str">
        <f>VLOOKUP(B1247,Customers!A:J,7,FALSE)</f>
        <v>Hollis</v>
      </c>
      <c r="L1247" s="3" t="str">
        <f>VLOOKUP(H1247,Staff!A:I,9,FALSE)</f>
        <v>Venita Daniel</v>
      </c>
      <c r="M1247" s="3" t="str">
        <f>VLOOKUP(G1247,Store!A:H,2,FALSE)</f>
        <v>Baldwin Bikes</v>
      </c>
      <c r="N1247" s="3" t="str">
        <f>VLOOKUP(G1247,Store!A:H,6,FALSE)</f>
        <v>Baldwin</v>
      </c>
      <c r="O1247" s="3" t="s">
        <v>16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">
        <v>1247.0</v>
      </c>
      <c r="B1248" s="1">
        <v>426.0</v>
      </c>
      <c r="C1248" s="1">
        <v>4.0</v>
      </c>
      <c r="D1248" s="4">
        <v>43055.0</v>
      </c>
      <c r="E1248" s="4">
        <v>43057.0</v>
      </c>
      <c r="F1248" s="4">
        <v>43056.0</v>
      </c>
      <c r="G1248" s="1">
        <v>1.0</v>
      </c>
      <c r="H1248" s="1">
        <v>2.0</v>
      </c>
      <c r="I1248" s="3" t="str">
        <f>VLOOKUP(B1248,Customers!A:J, 10,FALSE)</f>
        <v>Daisy Ward</v>
      </c>
      <c r="J1248" s="3" t="str">
        <f>VLOOKUP(B1248,Customers!A:J,8,FALSE)</f>
        <v>CA</v>
      </c>
      <c r="K1248" s="3" t="str">
        <f>VLOOKUP(B1248,Customers!A:J,7,FALSE)</f>
        <v>Pomona</v>
      </c>
      <c r="L1248" s="3" t="str">
        <f>VLOOKUP(H1248,Staff!A:I,9,FALSE)</f>
        <v>Mireya Copeland</v>
      </c>
      <c r="M1248" s="3" t="str">
        <f>VLOOKUP(G1248,Store!A:H,2,FALSE)</f>
        <v>Santa Cruz Bikes</v>
      </c>
      <c r="N1248" s="3" t="str">
        <f>VLOOKUP(G1248,Store!A:H,6,FALSE)</f>
        <v>Santa Cruz</v>
      </c>
      <c r="O1248" s="3" t="s">
        <v>15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">
        <v>1248.0</v>
      </c>
      <c r="B1249" s="1">
        <v>1367.0</v>
      </c>
      <c r="C1249" s="1">
        <v>4.0</v>
      </c>
      <c r="D1249" s="4">
        <v>43055.0</v>
      </c>
      <c r="E1249" s="4">
        <v>43056.0</v>
      </c>
      <c r="F1249" s="4">
        <v>43057.0</v>
      </c>
      <c r="G1249" s="1">
        <v>1.0</v>
      </c>
      <c r="H1249" s="1">
        <v>3.0</v>
      </c>
      <c r="I1249" s="3" t="str">
        <f>VLOOKUP(B1249,Customers!A:J, 10,FALSE)</f>
        <v>Lucile Manning</v>
      </c>
      <c r="J1249" s="3" t="str">
        <f>VLOOKUP(B1249,Customers!A:J,8,FALSE)</f>
        <v>CA</v>
      </c>
      <c r="K1249" s="3" t="str">
        <f>VLOOKUP(B1249,Customers!A:J,7,FALSE)</f>
        <v>Campbell</v>
      </c>
      <c r="L1249" s="3" t="str">
        <f>VLOOKUP(H1249,Staff!A:I,9,FALSE)</f>
        <v>Genna Serrano</v>
      </c>
      <c r="M1249" s="3" t="str">
        <f>VLOOKUP(G1249,Store!A:H,2,FALSE)</f>
        <v>Santa Cruz Bikes</v>
      </c>
      <c r="N1249" s="3" t="str">
        <f>VLOOKUP(G1249,Store!A:H,6,FALSE)</f>
        <v>Santa Cruz</v>
      </c>
      <c r="O1249" s="3" t="s">
        <v>15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">
        <v>1249.0</v>
      </c>
      <c r="B1250" s="1">
        <v>545.0</v>
      </c>
      <c r="C1250" s="1">
        <v>4.0</v>
      </c>
      <c r="D1250" s="4">
        <v>43056.0</v>
      </c>
      <c r="E1250" s="4">
        <v>43057.0</v>
      </c>
      <c r="F1250" s="4">
        <v>43059.0</v>
      </c>
      <c r="G1250" s="1">
        <v>2.0</v>
      </c>
      <c r="H1250" s="1">
        <v>6.0</v>
      </c>
      <c r="I1250" s="3" t="str">
        <f>VLOOKUP(B1250,Customers!A:J, 10,FALSE)</f>
        <v>Tajuana Rollins</v>
      </c>
      <c r="J1250" s="3" t="str">
        <f>VLOOKUP(B1250,Customers!A:J,8,FALSE)</f>
        <v>NY</v>
      </c>
      <c r="K1250" s="3" t="str">
        <f>VLOOKUP(B1250,Customers!A:J,7,FALSE)</f>
        <v>Oswego</v>
      </c>
      <c r="L1250" s="3" t="str">
        <f>VLOOKUP(H1250,Staff!A:I,9,FALSE)</f>
        <v>Marcelene Boyer</v>
      </c>
      <c r="M1250" s="3" t="str">
        <f>VLOOKUP(G1250,Store!A:H,2,FALSE)</f>
        <v>Baldwin Bikes</v>
      </c>
      <c r="N1250" s="3" t="str">
        <f>VLOOKUP(G1250,Store!A:H,6,FALSE)</f>
        <v>Baldwin</v>
      </c>
      <c r="O1250" s="3" t="s">
        <v>16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">
        <v>1250.0</v>
      </c>
      <c r="B1251" s="1">
        <v>1188.0</v>
      </c>
      <c r="C1251" s="1">
        <v>4.0</v>
      </c>
      <c r="D1251" s="4">
        <v>43056.0</v>
      </c>
      <c r="E1251" s="4">
        <v>43058.0</v>
      </c>
      <c r="F1251" s="4">
        <v>43057.0</v>
      </c>
      <c r="G1251" s="1">
        <v>2.0</v>
      </c>
      <c r="H1251" s="1">
        <v>6.0</v>
      </c>
      <c r="I1251" s="3" t="str">
        <f>VLOOKUP(B1251,Customers!A:J, 10,FALSE)</f>
        <v>Marcene Curtis</v>
      </c>
      <c r="J1251" s="3" t="str">
        <f>VLOOKUP(B1251,Customers!A:J,8,FALSE)</f>
        <v>NY</v>
      </c>
      <c r="K1251" s="3" t="str">
        <f>VLOOKUP(B1251,Customers!A:J,7,FALSE)</f>
        <v>Yonkers</v>
      </c>
      <c r="L1251" s="3" t="str">
        <f>VLOOKUP(H1251,Staff!A:I,9,FALSE)</f>
        <v>Marcelene Boyer</v>
      </c>
      <c r="M1251" s="3" t="str">
        <f>VLOOKUP(G1251,Store!A:H,2,FALSE)</f>
        <v>Baldwin Bikes</v>
      </c>
      <c r="N1251" s="3" t="str">
        <f>VLOOKUP(G1251,Store!A:H,6,FALSE)</f>
        <v>Baldwin</v>
      </c>
      <c r="O1251" s="3" t="s">
        <v>16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">
        <v>1251.0</v>
      </c>
      <c r="B1252" s="1">
        <v>289.0</v>
      </c>
      <c r="C1252" s="1">
        <v>4.0</v>
      </c>
      <c r="D1252" s="4">
        <v>43056.0</v>
      </c>
      <c r="E1252" s="4">
        <v>43058.0</v>
      </c>
      <c r="F1252" s="4">
        <v>43058.0</v>
      </c>
      <c r="G1252" s="1">
        <v>3.0</v>
      </c>
      <c r="H1252" s="1">
        <v>9.0</v>
      </c>
      <c r="I1252" s="3" t="str">
        <f>VLOOKUP(B1252,Customers!A:J, 10,FALSE)</f>
        <v>Charmain Webster</v>
      </c>
      <c r="J1252" s="3" t="str">
        <f>VLOOKUP(B1252,Customers!A:J,8,FALSE)</f>
        <v>TX</v>
      </c>
      <c r="K1252" s="3" t="str">
        <f>VLOOKUP(B1252,Customers!A:J,7,FALSE)</f>
        <v>Richardson</v>
      </c>
      <c r="L1252" s="3" t="str">
        <f>VLOOKUP(H1252,Staff!A:I,9,FALSE)</f>
        <v>Layla Terrell</v>
      </c>
      <c r="M1252" s="3" t="str">
        <f>VLOOKUP(G1252,Store!A:H,2,FALSE)</f>
        <v>Rowlett Bikes</v>
      </c>
      <c r="N1252" s="3" t="str">
        <f>VLOOKUP(G1252,Store!A:H,6,FALSE)</f>
        <v>Rowlett</v>
      </c>
      <c r="O1252" s="3" t="s">
        <v>17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">
        <v>1252.0</v>
      </c>
      <c r="B1253" s="1">
        <v>110.0</v>
      </c>
      <c r="C1253" s="1">
        <v>4.0</v>
      </c>
      <c r="D1253" s="4">
        <v>43057.0</v>
      </c>
      <c r="E1253" s="4">
        <v>43059.0</v>
      </c>
      <c r="F1253" s="4">
        <v>43060.0</v>
      </c>
      <c r="G1253" s="1">
        <v>1.0</v>
      </c>
      <c r="H1253" s="1">
        <v>3.0</v>
      </c>
      <c r="I1253" s="3" t="str">
        <f>VLOOKUP(B1253,Customers!A:J, 10,FALSE)</f>
        <v>Ollie Zimmerman</v>
      </c>
      <c r="J1253" s="3" t="str">
        <f>VLOOKUP(B1253,Customers!A:J,8,FALSE)</f>
        <v>CA</v>
      </c>
      <c r="K1253" s="3" t="str">
        <f>VLOOKUP(B1253,Customers!A:J,7,FALSE)</f>
        <v>Anaheim</v>
      </c>
      <c r="L1253" s="3" t="str">
        <f>VLOOKUP(H1253,Staff!A:I,9,FALSE)</f>
        <v>Genna Serrano</v>
      </c>
      <c r="M1253" s="3" t="str">
        <f>VLOOKUP(G1253,Store!A:H,2,FALSE)</f>
        <v>Santa Cruz Bikes</v>
      </c>
      <c r="N1253" s="3" t="str">
        <f>VLOOKUP(G1253,Store!A:H,6,FALSE)</f>
        <v>Santa Cruz</v>
      </c>
      <c r="O1253" s="3" t="s">
        <v>15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">
        <v>1253.0</v>
      </c>
      <c r="B1254" s="1">
        <v>44.0</v>
      </c>
      <c r="C1254" s="1">
        <v>4.0</v>
      </c>
      <c r="D1254" s="4">
        <v>43057.0</v>
      </c>
      <c r="E1254" s="4">
        <v>43060.0</v>
      </c>
      <c r="F1254" s="4">
        <v>43060.0</v>
      </c>
      <c r="G1254" s="1">
        <v>2.0</v>
      </c>
      <c r="H1254" s="1">
        <v>6.0</v>
      </c>
      <c r="I1254" s="3" t="str">
        <f>VLOOKUP(B1254,Customers!A:J, 10,FALSE)</f>
        <v>Onita Johns</v>
      </c>
      <c r="J1254" s="3" t="str">
        <f>VLOOKUP(B1254,Customers!A:J,8,FALSE)</f>
        <v>NY</v>
      </c>
      <c r="K1254" s="3" t="str">
        <f>VLOOKUP(B1254,Customers!A:J,7,FALSE)</f>
        <v>Elmont</v>
      </c>
      <c r="L1254" s="3" t="str">
        <f>VLOOKUP(H1254,Staff!A:I,9,FALSE)</f>
        <v>Marcelene Boyer</v>
      </c>
      <c r="M1254" s="3" t="str">
        <f>VLOOKUP(G1254,Store!A:H,2,FALSE)</f>
        <v>Baldwin Bikes</v>
      </c>
      <c r="N1254" s="3" t="str">
        <f>VLOOKUP(G1254,Store!A:H,6,FALSE)</f>
        <v>Baldwin</v>
      </c>
      <c r="O1254" s="3" t="s">
        <v>16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">
        <v>1254.0</v>
      </c>
      <c r="B1255" s="1">
        <v>1098.0</v>
      </c>
      <c r="C1255" s="1">
        <v>4.0</v>
      </c>
      <c r="D1255" s="4">
        <v>43057.0</v>
      </c>
      <c r="E1255" s="4">
        <v>43058.0</v>
      </c>
      <c r="F1255" s="4">
        <v>43058.0</v>
      </c>
      <c r="G1255" s="1">
        <v>2.0</v>
      </c>
      <c r="H1255" s="1">
        <v>7.0</v>
      </c>
      <c r="I1255" s="3" t="str">
        <f>VLOOKUP(B1255,Customers!A:J, 10,FALSE)</f>
        <v>Treasa Dickerson</v>
      </c>
      <c r="J1255" s="3" t="str">
        <f>VLOOKUP(B1255,Customers!A:J,8,FALSE)</f>
        <v>NY</v>
      </c>
      <c r="K1255" s="3" t="str">
        <f>VLOOKUP(B1255,Customers!A:J,7,FALSE)</f>
        <v>Rockville Centre</v>
      </c>
      <c r="L1255" s="3" t="str">
        <f>VLOOKUP(H1255,Staff!A:I,9,FALSE)</f>
        <v>Venita Daniel</v>
      </c>
      <c r="M1255" s="3" t="str">
        <f>VLOOKUP(G1255,Store!A:H,2,FALSE)</f>
        <v>Baldwin Bikes</v>
      </c>
      <c r="N1255" s="3" t="str">
        <f>VLOOKUP(G1255,Store!A:H,6,FALSE)</f>
        <v>Baldwin</v>
      </c>
      <c r="O1255" s="3" t="s">
        <v>16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">
        <v>1255.0</v>
      </c>
      <c r="B1256" s="1">
        <v>375.0</v>
      </c>
      <c r="C1256" s="1">
        <v>4.0</v>
      </c>
      <c r="D1256" s="4">
        <v>43058.0</v>
      </c>
      <c r="E1256" s="4">
        <v>43059.0</v>
      </c>
      <c r="F1256" s="4">
        <v>43060.0</v>
      </c>
      <c r="G1256" s="1">
        <v>2.0</v>
      </c>
      <c r="H1256" s="1">
        <v>6.0</v>
      </c>
      <c r="I1256" s="3" t="str">
        <f>VLOOKUP(B1256,Customers!A:J, 10,FALSE)</f>
        <v>Yan Trevino</v>
      </c>
      <c r="J1256" s="3" t="str">
        <f>VLOOKUP(B1256,Customers!A:J,8,FALSE)</f>
        <v>NY</v>
      </c>
      <c r="K1256" s="3" t="str">
        <f>VLOOKUP(B1256,Customers!A:J,7,FALSE)</f>
        <v>Uniondale</v>
      </c>
      <c r="L1256" s="3" t="str">
        <f>VLOOKUP(H1256,Staff!A:I,9,FALSE)</f>
        <v>Marcelene Boyer</v>
      </c>
      <c r="M1256" s="3" t="str">
        <f>VLOOKUP(G1256,Store!A:H,2,FALSE)</f>
        <v>Baldwin Bikes</v>
      </c>
      <c r="N1256" s="3" t="str">
        <f>VLOOKUP(G1256,Store!A:H,6,FALSE)</f>
        <v>Baldwin</v>
      </c>
      <c r="O1256" s="3" t="s">
        <v>16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">
        <v>1256.0</v>
      </c>
      <c r="B1257" s="1">
        <v>458.0</v>
      </c>
      <c r="C1257" s="1">
        <v>4.0</v>
      </c>
      <c r="D1257" s="4">
        <v>43058.0</v>
      </c>
      <c r="E1257" s="4">
        <v>43059.0</v>
      </c>
      <c r="F1257" s="4">
        <v>43061.0</v>
      </c>
      <c r="G1257" s="1">
        <v>2.0</v>
      </c>
      <c r="H1257" s="1">
        <v>6.0</v>
      </c>
      <c r="I1257" s="3" t="str">
        <f>VLOOKUP(B1257,Customers!A:J, 10,FALSE)</f>
        <v>Everett Vega</v>
      </c>
      <c r="J1257" s="3" t="str">
        <f>VLOOKUP(B1257,Customers!A:J,8,FALSE)</f>
        <v>NY</v>
      </c>
      <c r="K1257" s="3" t="str">
        <f>VLOOKUP(B1257,Customers!A:J,7,FALSE)</f>
        <v>Holbrook</v>
      </c>
      <c r="L1257" s="3" t="str">
        <f>VLOOKUP(H1257,Staff!A:I,9,FALSE)</f>
        <v>Marcelene Boyer</v>
      </c>
      <c r="M1257" s="3" t="str">
        <f>VLOOKUP(G1257,Store!A:H,2,FALSE)</f>
        <v>Baldwin Bikes</v>
      </c>
      <c r="N1257" s="3" t="str">
        <f>VLOOKUP(G1257,Store!A:H,6,FALSE)</f>
        <v>Baldwin</v>
      </c>
      <c r="O1257" s="3" t="s">
        <v>16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">
        <v>1257.0</v>
      </c>
      <c r="B1258" s="1">
        <v>1136.0</v>
      </c>
      <c r="C1258" s="1">
        <v>4.0</v>
      </c>
      <c r="D1258" s="4">
        <v>43058.0</v>
      </c>
      <c r="E1258" s="4">
        <v>43061.0</v>
      </c>
      <c r="F1258" s="4">
        <v>43059.0</v>
      </c>
      <c r="G1258" s="1">
        <v>2.0</v>
      </c>
      <c r="H1258" s="1">
        <v>7.0</v>
      </c>
      <c r="I1258" s="3" t="str">
        <f>VLOOKUP(B1258,Customers!A:J, 10,FALSE)</f>
        <v>Kallie Best</v>
      </c>
      <c r="J1258" s="3" t="str">
        <f>VLOOKUP(B1258,Customers!A:J,8,FALSE)</f>
        <v>NY</v>
      </c>
      <c r="K1258" s="3" t="str">
        <f>VLOOKUP(B1258,Customers!A:J,7,FALSE)</f>
        <v>Rochester</v>
      </c>
      <c r="L1258" s="3" t="str">
        <f>VLOOKUP(H1258,Staff!A:I,9,FALSE)</f>
        <v>Venita Daniel</v>
      </c>
      <c r="M1258" s="3" t="str">
        <f>VLOOKUP(G1258,Store!A:H,2,FALSE)</f>
        <v>Baldwin Bikes</v>
      </c>
      <c r="N1258" s="3" t="str">
        <f>VLOOKUP(G1258,Store!A:H,6,FALSE)</f>
        <v>Baldwin</v>
      </c>
      <c r="O1258" s="3" t="s">
        <v>16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">
        <v>1258.0</v>
      </c>
      <c r="B1259" s="1">
        <v>1099.0</v>
      </c>
      <c r="C1259" s="1">
        <v>4.0</v>
      </c>
      <c r="D1259" s="4">
        <v>43059.0</v>
      </c>
      <c r="E1259" s="4">
        <v>43060.0</v>
      </c>
      <c r="F1259" s="4">
        <v>43061.0</v>
      </c>
      <c r="G1259" s="1">
        <v>2.0</v>
      </c>
      <c r="H1259" s="1">
        <v>7.0</v>
      </c>
      <c r="I1259" s="3" t="str">
        <f>VLOOKUP(B1259,Customers!A:J, 10,FALSE)</f>
        <v>Jewell Reyes</v>
      </c>
      <c r="J1259" s="3" t="str">
        <f>VLOOKUP(B1259,Customers!A:J,8,FALSE)</f>
        <v>NY</v>
      </c>
      <c r="K1259" s="3" t="str">
        <f>VLOOKUP(B1259,Customers!A:J,7,FALSE)</f>
        <v>Jackson Heights</v>
      </c>
      <c r="L1259" s="3" t="str">
        <f>VLOOKUP(H1259,Staff!A:I,9,FALSE)</f>
        <v>Venita Daniel</v>
      </c>
      <c r="M1259" s="3" t="str">
        <f>VLOOKUP(G1259,Store!A:H,2,FALSE)</f>
        <v>Baldwin Bikes</v>
      </c>
      <c r="N1259" s="3" t="str">
        <f>VLOOKUP(G1259,Store!A:H,6,FALSE)</f>
        <v>Baldwin</v>
      </c>
      <c r="O1259" s="3" t="s">
        <v>16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">
        <v>1259.0</v>
      </c>
      <c r="B1260" s="1">
        <v>4.0</v>
      </c>
      <c r="C1260" s="1">
        <v>3.0</v>
      </c>
      <c r="D1260" s="4">
        <v>43060.0</v>
      </c>
      <c r="E1260" s="4">
        <v>43060.0</v>
      </c>
      <c r="F1260" s="1" t="s">
        <v>18</v>
      </c>
      <c r="G1260" s="1">
        <v>2.0</v>
      </c>
      <c r="H1260" s="1">
        <v>7.0</v>
      </c>
      <c r="I1260" s="3" t="str">
        <f>VLOOKUP(B1260,Customers!A:J, 10,FALSE)</f>
        <v>Daryl Spence</v>
      </c>
      <c r="J1260" s="3" t="str">
        <f>VLOOKUP(B1260,Customers!A:J,8,FALSE)</f>
        <v>NY</v>
      </c>
      <c r="K1260" s="3" t="str">
        <f>VLOOKUP(B1260,Customers!A:J,7,FALSE)</f>
        <v>Uniondale</v>
      </c>
      <c r="L1260" s="3" t="str">
        <f>VLOOKUP(H1260,Staff!A:I,9,FALSE)</f>
        <v>Venita Daniel</v>
      </c>
      <c r="M1260" s="3" t="str">
        <f>VLOOKUP(G1260,Store!A:H,2,FALSE)</f>
        <v>Baldwin Bikes</v>
      </c>
      <c r="N1260" s="3" t="str">
        <f>VLOOKUP(G1260,Store!A:H,6,FALSE)</f>
        <v>Baldwin</v>
      </c>
      <c r="O1260" s="3" t="s">
        <v>16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">
        <v>1260.0</v>
      </c>
      <c r="B1261" s="1">
        <v>1117.0</v>
      </c>
      <c r="C1261" s="1">
        <v>4.0</v>
      </c>
      <c r="D1261" s="4">
        <v>43061.0</v>
      </c>
      <c r="E1261" s="4">
        <v>43062.0</v>
      </c>
      <c r="F1261" s="4">
        <v>43063.0</v>
      </c>
      <c r="G1261" s="1">
        <v>2.0</v>
      </c>
      <c r="H1261" s="1">
        <v>6.0</v>
      </c>
      <c r="I1261" s="3" t="str">
        <f>VLOOKUP(B1261,Customers!A:J, 10,FALSE)</f>
        <v>Jeffrey Hill</v>
      </c>
      <c r="J1261" s="3" t="str">
        <f>VLOOKUP(B1261,Customers!A:J,8,FALSE)</f>
        <v>NY</v>
      </c>
      <c r="K1261" s="3" t="str">
        <f>VLOOKUP(B1261,Customers!A:J,7,FALSE)</f>
        <v>Rosedale</v>
      </c>
      <c r="L1261" s="3" t="str">
        <f>VLOOKUP(H1261,Staff!A:I,9,FALSE)</f>
        <v>Marcelene Boyer</v>
      </c>
      <c r="M1261" s="3" t="str">
        <f>VLOOKUP(G1261,Store!A:H,2,FALSE)</f>
        <v>Baldwin Bikes</v>
      </c>
      <c r="N1261" s="3" t="str">
        <f>VLOOKUP(G1261,Store!A:H,6,FALSE)</f>
        <v>Baldwin</v>
      </c>
      <c r="O1261" s="3" t="s">
        <v>16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">
        <v>1261.0</v>
      </c>
      <c r="B1262" s="1">
        <v>435.0</v>
      </c>
      <c r="C1262" s="1">
        <v>4.0</v>
      </c>
      <c r="D1262" s="4">
        <v>43062.0</v>
      </c>
      <c r="E1262" s="4">
        <v>43064.0</v>
      </c>
      <c r="F1262" s="4">
        <v>43063.0</v>
      </c>
      <c r="G1262" s="1">
        <v>2.0</v>
      </c>
      <c r="H1262" s="1">
        <v>7.0</v>
      </c>
      <c r="I1262" s="3" t="str">
        <f>VLOOKUP(B1262,Customers!A:J, 10,FALSE)</f>
        <v>Izola Hobbs</v>
      </c>
      <c r="J1262" s="3" t="str">
        <f>VLOOKUP(B1262,Customers!A:J,8,FALSE)</f>
        <v>NY</v>
      </c>
      <c r="K1262" s="3" t="str">
        <f>VLOOKUP(B1262,Customers!A:J,7,FALSE)</f>
        <v>Woodhaven</v>
      </c>
      <c r="L1262" s="3" t="str">
        <f>VLOOKUP(H1262,Staff!A:I,9,FALSE)</f>
        <v>Venita Daniel</v>
      </c>
      <c r="M1262" s="3" t="str">
        <f>VLOOKUP(G1262,Store!A:H,2,FALSE)</f>
        <v>Baldwin Bikes</v>
      </c>
      <c r="N1262" s="3" t="str">
        <f>VLOOKUP(G1262,Store!A:H,6,FALSE)</f>
        <v>Baldwin</v>
      </c>
      <c r="O1262" s="3" t="s">
        <v>16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">
        <v>1262.0</v>
      </c>
      <c r="B1263" s="1">
        <v>509.0</v>
      </c>
      <c r="C1263" s="1">
        <v>4.0</v>
      </c>
      <c r="D1263" s="4">
        <v>43062.0</v>
      </c>
      <c r="E1263" s="4">
        <v>43065.0</v>
      </c>
      <c r="F1263" s="4">
        <v>43065.0</v>
      </c>
      <c r="G1263" s="1">
        <v>2.0</v>
      </c>
      <c r="H1263" s="1">
        <v>6.0</v>
      </c>
      <c r="I1263" s="3" t="str">
        <f>VLOOKUP(B1263,Customers!A:J, 10,FALSE)</f>
        <v>Terra Pickett</v>
      </c>
      <c r="J1263" s="3" t="str">
        <f>VLOOKUP(B1263,Customers!A:J,8,FALSE)</f>
        <v>NY</v>
      </c>
      <c r="K1263" s="3" t="str">
        <f>VLOOKUP(B1263,Customers!A:J,7,FALSE)</f>
        <v>Amsterdam</v>
      </c>
      <c r="L1263" s="3" t="str">
        <f>VLOOKUP(H1263,Staff!A:I,9,FALSE)</f>
        <v>Marcelene Boyer</v>
      </c>
      <c r="M1263" s="3" t="str">
        <f>VLOOKUP(G1263,Store!A:H,2,FALSE)</f>
        <v>Baldwin Bikes</v>
      </c>
      <c r="N1263" s="3" t="str">
        <f>VLOOKUP(G1263,Store!A:H,6,FALSE)</f>
        <v>Baldwin</v>
      </c>
      <c r="O1263" s="3" t="s">
        <v>16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">
        <v>1263.0</v>
      </c>
      <c r="B1264" s="1">
        <v>1408.0</v>
      </c>
      <c r="C1264" s="1">
        <v>4.0</v>
      </c>
      <c r="D1264" s="4">
        <v>43062.0</v>
      </c>
      <c r="E1264" s="4">
        <v>43065.0</v>
      </c>
      <c r="F1264" s="4">
        <v>43065.0</v>
      </c>
      <c r="G1264" s="1">
        <v>2.0</v>
      </c>
      <c r="H1264" s="1">
        <v>6.0</v>
      </c>
      <c r="I1264" s="3" t="str">
        <f>VLOOKUP(B1264,Customers!A:J, 10,FALSE)</f>
        <v>Eleanor Mendez</v>
      </c>
      <c r="J1264" s="3" t="str">
        <f>VLOOKUP(B1264,Customers!A:J,8,FALSE)</f>
        <v>NY</v>
      </c>
      <c r="K1264" s="3" t="str">
        <f>VLOOKUP(B1264,Customers!A:J,7,FALSE)</f>
        <v>Port Chester</v>
      </c>
      <c r="L1264" s="3" t="str">
        <f>VLOOKUP(H1264,Staff!A:I,9,FALSE)</f>
        <v>Marcelene Boyer</v>
      </c>
      <c r="M1264" s="3" t="str">
        <f>VLOOKUP(G1264,Store!A:H,2,FALSE)</f>
        <v>Baldwin Bikes</v>
      </c>
      <c r="N1264" s="3" t="str">
        <f>VLOOKUP(G1264,Store!A:H,6,FALSE)</f>
        <v>Baldwin</v>
      </c>
      <c r="O1264" s="3" t="s">
        <v>16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">
        <v>1264.0</v>
      </c>
      <c r="B1265" s="1">
        <v>113.0</v>
      </c>
      <c r="C1265" s="1">
        <v>4.0</v>
      </c>
      <c r="D1265" s="4">
        <v>43063.0</v>
      </c>
      <c r="E1265" s="4">
        <v>43066.0</v>
      </c>
      <c r="F1265" s="4">
        <v>43064.0</v>
      </c>
      <c r="G1265" s="1">
        <v>2.0</v>
      </c>
      <c r="H1265" s="1">
        <v>6.0</v>
      </c>
      <c r="I1265" s="3" t="str">
        <f>VLOOKUP(B1265,Customers!A:J, 10,FALSE)</f>
        <v>Eliana Silva</v>
      </c>
      <c r="J1265" s="3" t="str">
        <f>VLOOKUP(B1265,Customers!A:J,8,FALSE)</f>
        <v>NY</v>
      </c>
      <c r="K1265" s="3" t="str">
        <f>VLOOKUP(B1265,Customers!A:J,7,FALSE)</f>
        <v>Farmingdale</v>
      </c>
      <c r="L1265" s="3" t="str">
        <f>VLOOKUP(H1265,Staff!A:I,9,FALSE)</f>
        <v>Marcelene Boyer</v>
      </c>
      <c r="M1265" s="3" t="str">
        <f>VLOOKUP(G1265,Store!A:H,2,FALSE)</f>
        <v>Baldwin Bikes</v>
      </c>
      <c r="N1265" s="3" t="str">
        <f>VLOOKUP(G1265,Store!A:H,6,FALSE)</f>
        <v>Baldwin</v>
      </c>
      <c r="O1265" s="3" t="s">
        <v>16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">
        <v>1265.0</v>
      </c>
      <c r="B1266" s="1">
        <v>950.0</v>
      </c>
      <c r="C1266" s="1">
        <v>4.0</v>
      </c>
      <c r="D1266" s="4">
        <v>43063.0</v>
      </c>
      <c r="E1266" s="4">
        <v>43066.0</v>
      </c>
      <c r="F1266" s="4">
        <v>43066.0</v>
      </c>
      <c r="G1266" s="1">
        <v>2.0</v>
      </c>
      <c r="H1266" s="1">
        <v>7.0</v>
      </c>
      <c r="I1266" s="3" t="str">
        <f>VLOOKUP(B1266,Customers!A:J, 10,FALSE)</f>
        <v>Verna Solis</v>
      </c>
      <c r="J1266" s="3" t="str">
        <f>VLOOKUP(B1266,Customers!A:J,8,FALSE)</f>
        <v>NY</v>
      </c>
      <c r="K1266" s="3" t="str">
        <f>VLOOKUP(B1266,Customers!A:J,7,FALSE)</f>
        <v>Rochester</v>
      </c>
      <c r="L1266" s="3" t="str">
        <f>VLOOKUP(H1266,Staff!A:I,9,FALSE)</f>
        <v>Venita Daniel</v>
      </c>
      <c r="M1266" s="3" t="str">
        <f>VLOOKUP(G1266,Store!A:H,2,FALSE)</f>
        <v>Baldwin Bikes</v>
      </c>
      <c r="N1266" s="3" t="str">
        <f>VLOOKUP(G1266,Store!A:H,6,FALSE)</f>
        <v>Baldwin</v>
      </c>
      <c r="O1266" s="3" t="s">
        <v>16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">
        <v>1266.0</v>
      </c>
      <c r="B1267" s="1">
        <v>387.0</v>
      </c>
      <c r="C1267" s="1">
        <v>4.0</v>
      </c>
      <c r="D1267" s="4">
        <v>43064.0</v>
      </c>
      <c r="E1267" s="4">
        <v>43067.0</v>
      </c>
      <c r="F1267" s="4">
        <v>43066.0</v>
      </c>
      <c r="G1267" s="1">
        <v>2.0</v>
      </c>
      <c r="H1267" s="1">
        <v>6.0</v>
      </c>
      <c r="I1267" s="3" t="str">
        <f>VLOOKUP(B1267,Customers!A:J, 10,FALSE)</f>
        <v>Kaila Walters</v>
      </c>
      <c r="J1267" s="3" t="str">
        <f>VLOOKUP(B1267,Customers!A:J,8,FALSE)</f>
        <v>NY</v>
      </c>
      <c r="K1267" s="3" t="str">
        <f>VLOOKUP(B1267,Customers!A:J,7,FALSE)</f>
        <v>Elmhurst</v>
      </c>
      <c r="L1267" s="3" t="str">
        <f>VLOOKUP(H1267,Staff!A:I,9,FALSE)</f>
        <v>Marcelene Boyer</v>
      </c>
      <c r="M1267" s="3" t="str">
        <f>VLOOKUP(G1267,Store!A:H,2,FALSE)</f>
        <v>Baldwin Bikes</v>
      </c>
      <c r="N1267" s="3" t="str">
        <f>VLOOKUP(G1267,Store!A:H,6,FALSE)</f>
        <v>Baldwin</v>
      </c>
      <c r="O1267" s="3" t="s">
        <v>16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">
        <v>1267.0</v>
      </c>
      <c r="B1268" s="1">
        <v>467.0</v>
      </c>
      <c r="C1268" s="1">
        <v>4.0</v>
      </c>
      <c r="D1268" s="4">
        <v>43064.0</v>
      </c>
      <c r="E1268" s="4">
        <v>43065.0</v>
      </c>
      <c r="F1268" s="4">
        <v>43065.0</v>
      </c>
      <c r="G1268" s="1">
        <v>2.0</v>
      </c>
      <c r="H1268" s="1">
        <v>6.0</v>
      </c>
      <c r="I1268" s="3" t="str">
        <f>VLOOKUP(B1268,Customers!A:J, 10,FALSE)</f>
        <v>Clare Neal</v>
      </c>
      <c r="J1268" s="3" t="str">
        <f>VLOOKUP(B1268,Customers!A:J,8,FALSE)</f>
        <v>NY</v>
      </c>
      <c r="K1268" s="3" t="str">
        <f>VLOOKUP(B1268,Customers!A:J,7,FALSE)</f>
        <v>Mahopac</v>
      </c>
      <c r="L1268" s="3" t="str">
        <f>VLOOKUP(H1268,Staff!A:I,9,FALSE)</f>
        <v>Marcelene Boyer</v>
      </c>
      <c r="M1268" s="3" t="str">
        <f>VLOOKUP(G1268,Store!A:H,2,FALSE)</f>
        <v>Baldwin Bikes</v>
      </c>
      <c r="N1268" s="3" t="str">
        <f>VLOOKUP(G1268,Store!A:H,6,FALSE)</f>
        <v>Baldwin</v>
      </c>
      <c r="O1268" s="3" t="s">
        <v>16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">
        <v>1268.0</v>
      </c>
      <c r="B1269" s="1">
        <v>774.0</v>
      </c>
      <c r="C1269" s="1">
        <v>4.0</v>
      </c>
      <c r="D1269" s="4">
        <v>43065.0</v>
      </c>
      <c r="E1269" s="4">
        <v>43067.0</v>
      </c>
      <c r="F1269" s="4">
        <v>43068.0</v>
      </c>
      <c r="G1269" s="1">
        <v>1.0</v>
      </c>
      <c r="H1269" s="1">
        <v>3.0</v>
      </c>
      <c r="I1269" s="3" t="str">
        <f>VLOOKUP(B1269,Customers!A:J, 10,FALSE)</f>
        <v>Nenita Mooney</v>
      </c>
      <c r="J1269" s="3" t="str">
        <f>VLOOKUP(B1269,Customers!A:J,8,FALSE)</f>
        <v>CA</v>
      </c>
      <c r="K1269" s="3" t="str">
        <f>VLOOKUP(B1269,Customers!A:J,7,FALSE)</f>
        <v>Lawndale</v>
      </c>
      <c r="L1269" s="3" t="str">
        <f>VLOOKUP(H1269,Staff!A:I,9,FALSE)</f>
        <v>Genna Serrano</v>
      </c>
      <c r="M1269" s="3" t="str">
        <f>VLOOKUP(G1269,Store!A:H,2,FALSE)</f>
        <v>Santa Cruz Bikes</v>
      </c>
      <c r="N1269" s="3" t="str">
        <f>VLOOKUP(G1269,Store!A:H,6,FALSE)</f>
        <v>Santa Cruz</v>
      </c>
      <c r="O1269" s="3" t="s">
        <v>15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">
        <v>1269.0</v>
      </c>
      <c r="B1270" s="1">
        <v>1236.0</v>
      </c>
      <c r="C1270" s="1">
        <v>4.0</v>
      </c>
      <c r="D1270" s="4">
        <v>43065.0</v>
      </c>
      <c r="E1270" s="4">
        <v>43068.0</v>
      </c>
      <c r="F1270" s="4">
        <v>43068.0</v>
      </c>
      <c r="G1270" s="1">
        <v>2.0</v>
      </c>
      <c r="H1270" s="1">
        <v>6.0</v>
      </c>
      <c r="I1270" s="3" t="str">
        <f>VLOOKUP(B1270,Customers!A:J, 10,FALSE)</f>
        <v>Rudolph Velez</v>
      </c>
      <c r="J1270" s="3" t="str">
        <f>VLOOKUP(B1270,Customers!A:J,8,FALSE)</f>
        <v>NY</v>
      </c>
      <c r="K1270" s="3" t="str">
        <f>VLOOKUP(B1270,Customers!A:J,7,FALSE)</f>
        <v>Mount Vernon</v>
      </c>
      <c r="L1270" s="3" t="str">
        <f>VLOOKUP(H1270,Staff!A:I,9,FALSE)</f>
        <v>Marcelene Boyer</v>
      </c>
      <c r="M1270" s="3" t="str">
        <f>VLOOKUP(G1270,Store!A:H,2,FALSE)</f>
        <v>Baldwin Bikes</v>
      </c>
      <c r="N1270" s="3" t="str">
        <f>VLOOKUP(G1270,Store!A:H,6,FALSE)</f>
        <v>Baldwin</v>
      </c>
      <c r="O1270" s="3" t="s">
        <v>16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">
        <v>1270.0</v>
      </c>
      <c r="B1271" s="1">
        <v>1388.0</v>
      </c>
      <c r="C1271" s="1">
        <v>4.0</v>
      </c>
      <c r="D1271" s="4">
        <v>43065.0</v>
      </c>
      <c r="E1271" s="4">
        <v>43068.0</v>
      </c>
      <c r="F1271" s="4">
        <v>43068.0</v>
      </c>
      <c r="G1271" s="1">
        <v>2.0</v>
      </c>
      <c r="H1271" s="1">
        <v>6.0</v>
      </c>
      <c r="I1271" s="3" t="str">
        <f>VLOOKUP(B1271,Customers!A:J, 10,FALSE)</f>
        <v>Nanette Harris</v>
      </c>
      <c r="J1271" s="3" t="str">
        <f>VLOOKUP(B1271,Customers!A:J,8,FALSE)</f>
        <v>NY</v>
      </c>
      <c r="K1271" s="3" t="str">
        <f>VLOOKUP(B1271,Customers!A:J,7,FALSE)</f>
        <v>East Meadow</v>
      </c>
      <c r="L1271" s="3" t="str">
        <f>VLOOKUP(H1271,Staff!A:I,9,FALSE)</f>
        <v>Marcelene Boyer</v>
      </c>
      <c r="M1271" s="3" t="str">
        <f>VLOOKUP(G1271,Store!A:H,2,FALSE)</f>
        <v>Baldwin Bikes</v>
      </c>
      <c r="N1271" s="3" t="str">
        <f>VLOOKUP(G1271,Store!A:H,6,FALSE)</f>
        <v>Baldwin</v>
      </c>
      <c r="O1271" s="3" t="s">
        <v>16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">
        <v>1271.0</v>
      </c>
      <c r="B1272" s="1">
        <v>734.0</v>
      </c>
      <c r="C1272" s="1">
        <v>4.0</v>
      </c>
      <c r="D1272" s="4">
        <v>43066.0</v>
      </c>
      <c r="E1272" s="4">
        <v>43069.0</v>
      </c>
      <c r="F1272" s="4">
        <v>43069.0</v>
      </c>
      <c r="G1272" s="1">
        <v>2.0</v>
      </c>
      <c r="H1272" s="1">
        <v>6.0</v>
      </c>
      <c r="I1272" s="3" t="str">
        <f>VLOOKUP(B1272,Customers!A:J, 10,FALSE)</f>
        <v>Alina Mcleod</v>
      </c>
      <c r="J1272" s="3" t="str">
        <f>VLOOKUP(B1272,Customers!A:J,8,FALSE)</f>
        <v>NY</v>
      </c>
      <c r="K1272" s="3" t="str">
        <f>VLOOKUP(B1272,Customers!A:J,7,FALSE)</f>
        <v>Patchogue</v>
      </c>
      <c r="L1272" s="3" t="str">
        <f>VLOOKUP(H1272,Staff!A:I,9,FALSE)</f>
        <v>Marcelene Boyer</v>
      </c>
      <c r="M1272" s="3" t="str">
        <f>VLOOKUP(G1272,Store!A:H,2,FALSE)</f>
        <v>Baldwin Bikes</v>
      </c>
      <c r="N1272" s="3" t="str">
        <f>VLOOKUP(G1272,Store!A:H,6,FALSE)</f>
        <v>Baldwin</v>
      </c>
      <c r="O1272" s="3" t="s">
        <v>16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">
        <v>1272.0</v>
      </c>
      <c r="B1273" s="1">
        <v>935.0</v>
      </c>
      <c r="C1273" s="1">
        <v>4.0</v>
      </c>
      <c r="D1273" s="4">
        <v>43066.0</v>
      </c>
      <c r="E1273" s="4">
        <v>43068.0</v>
      </c>
      <c r="F1273" s="4">
        <v>43069.0</v>
      </c>
      <c r="G1273" s="1">
        <v>2.0</v>
      </c>
      <c r="H1273" s="1">
        <v>6.0</v>
      </c>
      <c r="I1273" s="3" t="str">
        <f>VLOOKUP(B1273,Customers!A:J, 10,FALSE)</f>
        <v>Genevie Miles</v>
      </c>
      <c r="J1273" s="3" t="str">
        <f>VLOOKUP(B1273,Customers!A:J,8,FALSE)</f>
        <v>NY</v>
      </c>
      <c r="K1273" s="3" t="str">
        <f>VLOOKUP(B1273,Customers!A:J,7,FALSE)</f>
        <v>Monroe</v>
      </c>
      <c r="L1273" s="3" t="str">
        <f>VLOOKUP(H1273,Staff!A:I,9,FALSE)</f>
        <v>Marcelene Boyer</v>
      </c>
      <c r="M1273" s="3" t="str">
        <f>VLOOKUP(G1273,Store!A:H,2,FALSE)</f>
        <v>Baldwin Bikes</v>
      </c>
      <c r="N1273" s="3" t="str">
        <f>VLOOKUP(G1273,Store!A:H,6,FALSE)</f>
        <v>Baldwin</v>
      </c>
      <c r="O1273" s="3" t="s">
        <v>16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">
        <v>1273.0</v>
      </c>
      <c r="B1274" s="1">
        <v>1268.0</v>
      </c>
      <c r="C1274" s="1">
        <v>4.0</v>
      </c>
      <c r="D1274" s="4">
        <v>43066.0</v>
      </c>
      <c r="E1274" s="4">
        <v>43068.0</v>
      </c>
      <c r="F1274" s="4">
        <v>43068.0</v>
      </c>
      <c r="G1274" s="1">
        <v>2.0</v>
      </c>
      <c r="H1274" s="1">
        <v>6.0</v>
      </c>
      <c r="I1274" s="3" t="str">
        <f>VLOOKUP(B1274,Customers!A:J, 10,FALSE)</f>
        <v>Sung Chambers</v>
      </c>
      <c r="J1274" s="3" t="str">
        <f>VLOOKUP(B1274,Customers!A:J,8,FALSE)</f>
        <v>NY</v>
      </c>
      <c r="K1274" s="3" t="str">
        <f>VLOOKUP(B1274,Customers!A:J,7,FALSE)</f>
        <v>Kingston</v>
      </c>
      <c r="L1274" s="3" t="str">
        <f>VLOOKUP(H1274,Staff!A:I,9,FALSE)</f>
        <v>Marcelene Boyer</v>
      </c>
      <c r="M1274" s="3" t="str">
        <f>VLOOKUP(G1274,Store!A:H,2,FALSE)</f>
        <v>Baldwin Bikes</v>
      </c>
      <c r="N1274" s="3" t="str">
        <f>VLOOKUP(G1274,Store!A:H,6,FALSE)</f>
        <v>Baldwin</v>
      </c>
      <c r="O1274" s="3" t="s">
        <v>16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">
        <v>1274.0</v>
      </c>
      <c r="B1275" s="1">
        <v>1364.0</v>
      </c>
      <c r="C1275" s="1">
        <v>4.0</v>
      </c>
      <c r="D1275" s="4">
        <v>43067.0</v>
      </c>
      <c r="E1275" s="4">
        <v>43068.0</v>
      </c>
      <c r="F1275" s="4">
        <v>43070.0</v>
      </c>
      <c r="G1275" s="1">
        <v>2.0</v>
      </c>
      <c r="H1275" s="1">
        <v>7.0</v>
      </c>
      <c r="I1275" s="3" t="str">
        <f>VLOOKUP(B1275,Customers!A:J, 10,FALSE)</f>
        <v>Grisel Maynard</v>
      </c>
      <c r="J1275" s="3" t="str">
        <f>VLOOKUP(B1275,Customers!A:J,8,FALSE)</f>
        <v>NY</v>
      </c>
      <c r="K1275" s="3" t="str">
        <f>VLOOKUP(B1275,Customers!A:J,7,FALSE)</f>
        <v>Ballston Spa</v>
      </c>
      <c r="L1275" s="3" t="str">
        <f>VLOOKUP(H1275,Staff!A:I,9,FALSE)</f>
        <v>Venita Daniel</v>
      </c>
      <c r="M1275" s="3" t="str">
        <f>VLOOKUP(G1275,Store!A:H,2,FALSE)</f>
        <v>Baldwin Bikes</v>
      </c>
      <c r="N1275" s="3" t="str">
        <f>VLOOKUP(G1275,Store!A:H,6,FALSE)</f>
        <v>Baldwin</v>
      </c>
      <c r="O1275" s="3" t="s">
        <v>16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">
        <v>1275.0</v>
      </c>
      <c r="B1276" s="1">
        <v>165.0</v>
      </c>
      <c r="C1276" s="1">
        <v>4.0</v>
      </c>
      <c r="D1276" s="4">
        <v>43068.0</v>
      </c>
      <c r="E1276" s="4">
        <v>43070.0</v>
      </c>
      <c r="F1276" s="4">
        <v>43069.0</v>
      </c>
      <c r="G1276" s="1">
        <v>1.0</v>
      </c>
      <c r="H1276" s="1">
        <v>2.0</v>
      </c>
      <c r="I1276" s="3" t="str">
        <f>VLOOKUP(B1276,Customers!A:J, 10,FALSE)</f>
        <v>Jeromy Burch</v>
      </c>
      <c r="J1276" s="3" t="str">
        <f>VLOOKUP(B1276,Customers!A:J,8,FALSE)</f>
        <v>CA</v>
      </c>
      <c r="K1276" s="3" t="str">
        <f>VLOOKUP(B1276,Customers!A:J,7,FALSE)</f>
        <v>San Jose</v>
      </c>
      <c r="L1276" s="3" t="str">
        <f>VLOOKUP(H1276,Staff!A:I,9,FALSE)</f>
        <v>Mireya Copeland</v>
      </c>
      <c r="M1276" s="3" t="str">
        <f>VLOOKUP(G1276,Store!A:H,2,FALSE)</f>
        <v>Santa Cruz Bikes</v>
      </c>
      <c r="N1276" s="3" t="str">
        <f>VLOOKUP(G1276,Store!A:H,6,FALSE)</f>
        <v>Santa Cruz</v>
      </c>
      <c r="O1276" s="3" t="s">
        <v>15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">
        <v>1276.0</v>
      </c>
      <c r="B1277" s="1">
        <v>893.0</v>
      </c>
      <c r="C1277" s="1">
        <v>4.0</v>
      </c>
      <c r="D1277" s="4">
        <v>43069.0</v>
      </c>
      <c r="E1277" s="4">
        <v>43072.0</v>
      </c>
      <c r="F1277" s="4">
        <v>43071.0</v>
      </c>
      <c r="G1277" s="1">
        <v>2.0</v>
      </c>
      <c r="H1277" s="1">
        <v>6.0</v>
      </c>
      <c r="I1277" s="3" t="str">
        <f>VLOOKUP(B1277,Customers!A:J, 10,FALSE)</f>
        <v>Letty Cobb</v>
      </c>
      <c r="J1277" s="3" t="str">
        <f>VLOOKUP(B1277,Customers!A:J,8,FALSE)</f>
        <v>NY</v>
      </c>
      <c r="K1277" s="3" t="str">
        <f>VLOOKUP(B1277,Customers!A:J,7,FALSE)</f>
        <v>Depew</v>
      </c>
      <c r="L1277" s="3" t="str">
        <f>VLOOKUP(H1277,Staff!A:I,9,FALSE)</f>
        <v>Marcelene Boyer</v>
      </c>
      <c r="M1277" s="3" t="str">
        <f>VLOOKUP(G1277,Store!A:H,2,FALSE)</f>
        <v>Baldwin Bikes</v>
      </c>
      <c r="N1277" s="3" t="str">
        <f>VLOOKUP(G1277,Store!A:H,6,FALSE)</f>
        <v>Baldwin</v>
      </c>
      <c r="O1277" s="3" t="s">
        <v>16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">
        <v>1277.0</v>
      </c>
      <c r="B1278" s="1">
        <v>227.0</v>
      </c>
      <c r="C1278" s="1">
        <v>4.0</v>
      </c>
      <c r="D1278" s="4">
        <v>43070.0</v>
      </c>
      <c r="E1278" s="4">
        <v>43073.0</v>
      </c>
      <c r="F1278" s="4">
        <v>43071.0</v>
      </c>
      <c r="G1278" s="1">
        <v>2.0</v>
      </c>
      <c r="H1278" s="1">
        <v>6.0</v>
      </c>
      <c r="I1278" s="3" t="str">
        <f>VLOOKUP(B1278,Customers!A:J, 10,FALSE)</f>
        <v>Danielle Bond</v>
      </c>
      <c r="J1278" s="3" t="str">
        <f>VLOOKUP(B1278,Customers!A:J,8,FALSE)</f>
        <v>NY</v>
      </c>
      <c r="K1278" s="3" t="str">
        <f>VLOOKUP(B1278,Customers!A:J,7,FALSE)</f>
        <v>Patchogue</v>
      </c>
      <c r="L1278" s="3" t="str">
        <f>VLOOKUP(H1278,Staff!A:I,9,FALSE)</f>
        <v>Marcelene Boyer</v>
      </c>
      <c r="M1278" s="3" t="str">
        <f>VLOOKUP(G1278,Store!A:H,2,FALSE)</f>
        <v>Baldwin Bikes</v>
      </c>
      <c r="N1278" s="3" t="str">
        <f>VLOOKUP(G1278,Store!A:H,6,FALSE)</f>
        <v>Baldwin</v>
      </c>
      <c r="O1278" s="3" t="s">
        <v>16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">
        <v>1278.0</v>
      </c>
      <c r="B1279" s="1">
        <v>980.0</v>
      </c>
      <c r="C1279" s="1">
        <v>4.0</v>
      </c>
      <c r="D1279" s="4">
        <v>43070.0</v>
      </c>
      <c r="E1279" s="4">
        <v>43071.0</v>
      </c>
      <c r="F1279" s="4">
        <v>43073.0</v>
      </c>
      <c r="G1279" s="1">
        <v>2.0</v>
      </c>
      <c r="H1279" s="1">
        <v>7.0</v>
      </c>
      <c r="I1279" s="3" t="str">
        <f>VLOOKUP(B1279,Customers!A:J, 10,FALSE)</f>
        <v>Carter Booth</v>
      </c>
      <c r="J1279" s="3" t="str">
        <f>VLOOKUP(B1279,Customers!A:J,8,FALSE)</f>
        <v>NY</v>
      </c>
      <c r="K1279" s="3" t="str">
        <f>VLOOKUP(B1279,Customers!A:J,7,FALSE)</f>
        <v>Port Chester</v>
      </c>
      <c r="L1279" s="3" t="str">
        <f>VLOOKUP(H1279,Staff!A:I,9,FALSE)</f>
        <v>Venita Daniel</v>
      </c>
      <c r="M1279" s="3" t="str">
        <f>VLOOKUP(G1279,Store!A:H,2,FALSE)</f>
        <v>Baldwin Bikes</v>
      </c>
      <c r="N1279" s="3" t="str">
        <f>VLOOKUP(G1279,Store!A:H,6,FALSE)</f>
        <v>Baldwin</v>
      </c>
      <c r="O1279" s="3" t="s">
        <v>16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">
        <v>1279.0</v>
      </c>
      <c r="B1280" s="1">
        <v>1014.0</v>
      </c>
      <c r="C1280" s="1">
        <v>4.0</v>
      </c>
      <c r="D1280" s="4">
        <v>43070.0</v>
      </c>
      <c r="E1280" s="4">
        <v>43073.0</v>
      </c>
      <c r="F1280" s="4">
        <v>43072.0</v>
      </c>
      <c r="G1280" s="1">
        <v>2.0</v>
      </c>
      <c r="H1280" s="1">
        <v>6.0</v>
      </c>
      <c r="I1280" s="3" t="str">
        <f>VLOOKUP(B1280,Customers!A:J, 10,FALSE)</f>
        <v>Ling Newman</v>
      </c>
      <c r="J1280" s="3" t="str">
        <f>VLOOKUP(B1280,Customers!A:J,8,FALSE)</f>
        <v>NY</v>
      </c>
      <c r="K1280" s="3" t="str">
        <f>VLOOKUP(B1280,Customers!A:J,7,FALSE)</f>
        <v>South Richmond Hill</v>
      </c>
      <c r="L1280" s="3" t="str">
        <f>VLOOKUP(H1280,Staff!A:I,9,FALSE)</f>
        <v>Marcelene Boyer</v>
      </c>
      <c r="M1280" s="3" t="str">
        <f>VLOOKUP(G1280,Store!A:H,2,FALSE)</f>
        <v>Baldwin Bikes</v>
      </c>
      <c r="N1280" s="3" t="str">
        <f>VLOOKUP(G1280,Store!A:H,6,FALSE)</f>
        <v>Baldwin</v>
      </c>
      <c r="O1280" s="3" t="s">
        <v>16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">
        <v>1280.0</v>
      </c>
      <c r="B1281" s="1">
        <v>123.0</v>
      </c>
      <c r="C1281" s="1">
        <v>4.0</v>
      </c>
      <c r="D1281" s="4">
        <v>43070.0</v>
      </c>
      <c r="E1281" s="4">
        <v>43072.0</v>
      </c>
      <c r="F1281" s="4">
        <v>43072.0</v>
      </c>
      <c r="G1281" s="1">
        <v>3.0</v>
      </c>
      <c r="H1281" s="1">
        <v>9.0</v>
      </c>
      <c r="I1281" s="3" t="str">
        <f>VLOOKUP(B1281,Customers!A:J, 10,FALSE)</f>
        <v>Robena Hill</v>
      </c>
      <c r="J1281" s="3" t="str">
        <f>VLOOKUP(B1281,Customers!A:J,8,FALSE)</f>
        <v>TX</v>
      </c>
      <c r="K1281" s="3" t="str">
        <f>VLOOKUP(B1281,Customers!A:J,7,FALSE)</f>
        <v>Corpus Christi</v>
      </c>
      <c r="L1281" s="3" t="str">
        <f>VLOOKUP(H1281,Staff!A:I,9,FALSE)</f>
        <v>Layla Terrell</v>
      </c>
      <c r="M1281" s="3" t="str">
        <f>VLOOKUP(G1281,Store!A:H,2,FALSE)</f>
        <v>Rowlett Bikes</v>
      </c>
      <c r="N1281" s="3" t="str">
        <f>VLOOKUP(G1281,Store!A:H,6,FALSE)</f>
        <v>Rowlett</v>
      </c>
      <c r="O1281" s="3" t="s">
        <v>17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">
        <v>1281.0</v>
      </c>
      <c r="B1282" s="1">
        <v>1060.0</v>
      </c>
      <c r="C1282" s="1">
        <v>4.0</v>
      </c>
      <c r="D1282" s="4">
        <v>43071.0</v>
      </c>
      <c r="E1282" s="4">
        <v>43074.0</v>
      </c>
      <c r="F1282" s="4">
        <v>43074.0</v>
      </c>
      <c r="G1282" s="1">
        <v>2.0</v>
      </c>
      <c r="H1282" s="1">
        <v>6.0</v>
      </c>
      <c r="I1282" s="3" t="str">
        <f>VLOOKUP(B1282,Customers!A:J, 10,FALSE)</f>
        <v>Tommie Cooley</v>
      </c>
      <c r="J1282" s="3" t="str">
        <f>VLOOKUP(B1282,Customers!A:J,8,FALSE)</f>
        <v>NY</v>
      </c>
      <c r="K1282" s="3" t="str">
        <f>VLOOKUP(B1282,Customers!A:J,7,FALSE)</f>
        <v>Lancaster</v>
      </c>
      <c r="L1282" s="3" t="str">
        <f>VLOOKUP(H1282,Staff!A:I,9,FALSE)</f>
        <v>Marcelene Boyer</v>
      </c>
      <c r="M1282" s="3" t="str">
        <f>VLOOKUP(G1282,Store!A:H,2,FALSE)</f>
        <v>Baldwin Bikes</v>
      </c>
      <c r="N1282" s="3" t="str">
        <f>VLOOKUP(G1282,Store!A:H,6,FALSE)</f>
        <v>Baldwin</v>
      </c>
      <c r="O1282" s="3" t="s">
        <v>16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">
        <v>1282.0</v>
      </c>
      <c r="B1283" s="1">
        <v>320.0</v>
      </c>
      <c r="C1283" s="1">
        <v>4.0</v>
      </c>
      <c r="D1283" s="4">
        <v>43072.0</v>
      </c>
      <c r="E1283" s="4">
        <v>43074.0</v>
      </c>
      <c r="F1283" s="4">
        <v>43074.0</v>
      </c>
      <c r="G1283" s="1">
        <v>2.0</v>
      </c>
      <c r="H1283" s="1">
        <v>6.0</v>
      </c>
      <c r="I1283" s="3" t="str">
        <f>VLOOKUP(B1283,Customers!A:J, 10,FALSE)</f>
        <v>Aron Wiggins</v>
      </c>
      <c r="J1283" s="3" t="str">
        <f>VLOOKUP(B1283,Customers!A:J,8,FALSE)</f>
        <v>NY</v>
      </c>
      <c r="K1283" s="3" t="str">
        <f>VLOOKUP(B1283,Customers!A:J,7,FALSE)</f>
        <v>Oceanside</v>
      </c>
      <c r="L1283" s="3" t="str">
        <f>VLOOKUP(H1283,Staff!A:I,9,FALSE)</f>
        <v>Marcelene Boyer</v>
      </c>
      <c r="M1283" s="3" t="str">
        <f>VLOOKUP(G1283,Store!A:H,2,FALSE)</f>
        <v>Baldwin Bikes</v>
      </c>
      <c r="N1283" s="3" t="str">
        <f>VLOOKUP(G1283,Store!A:H,6,FALSE)</f>
        <v>Baldwin</v>
      </c>
      <c r="O1283" s="3" t="s">
        <v>16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">
        <v>1283.0</v>
      </c>
      <c r="B1284" s="1">
        <v>85.0</v>
      </c>
      <c r="C1284" s="1">
        <v>4.0</v>
      </c>
      <c r="D1284" s="4">
        <v>43073.0</v>
      </c>
      <c r="E1284" s="4">
        <v>43076.0</v>
      </c>
      <c r="F1284" s="4">
        <v>43076.0</v>
      </c>
      <c r="G1284" s="1">
        <v>2.0</v>
      </c>
      <c r="H1284" s="1">
        <v>7.0</v>
      </c>
      <c r="I1284" s="3" t="str">
        <f>VLOOKUP(B1284,Customers!A:J, 10,FALSE)</f>
        <v>Teofila Fischer</v>
      </c>
      <c r="J1284" s="3" t="str">
        <f>VLOOKUP(B1284,Customers!A:J,8,FALSE)</f>
        <v>NY</v>
      </c>
      <c r="K1284" s="3" t="str">
        <f>VLOOKUP(B1284,Customers!A:J,7,FALSE)</f>
        <v>Huntington Station</v>
      </c>
      <c r="L1284" s="3" t="str">
        <f>VLOOKUP(H1284,Staff!A:I,9,FALSE)</f>
        <v>Venita Daniel</v>
      </c>
      <c r="M1284" s="3" t="str">
        <f>VLOOKUP(G1284,Store!A:H,2,FALSE)</f>
        <v>Baldwin Bikes</v>
      </c>
      <c r="N1284" s="3" t="str">
        <f>VLOOKUP(G1284,Store!A:H,6,FALSE)</f>
        <v>Baldwin</v>
      </c>
      <c r="O1284" s="3" t="s">
        <v>16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">
        <v>1284.0</v>
      </c>
      <c r="B1285" s="1">
        <v>128.0</v>
      </c>
      <c r="C1285" s="1">
        <v>4.0</v>
      </c>
      <c r="D1285" s="4">
        <v>43073.0</v>
      </c>
      <c r="E1285" s="4">
        <v>43075.0</v>
      </c>
      <c r="F1285" s="4">
        <v>43076.0</v>
      </c>
      <c r="G1285" s="1">
        <v>2.0</v>
      </c>
      <c r="H1285" s="1">
        <v>7.0</v>
      </c>
      <c r="I1285" s="3" t="str">
        <f>VLOOKUP(B1285,Customers!A:J, 10,FALSE)</f>
        <v>Terrance Lynn</v>
      </c>
      <c r="J1285" s="3" t="str">
        <f>VLOOKUP(B1285,Customers!A:J,8,FALSE)</f>
        <v>NY</v>
      </c>
      <c r="K1285" s="3" t="str">
        <f>VLOOKUP(B1285,Customers!A:J,7,FALSE)</f>
        <v>Plattsburgh</v>
      </c>
      <c r="L1285" s="3" t="str">
        <f>VLOOKUP(H1285,Staff!A:I,9,FALSE)</f>
        <v>Venita Daniel</v>
      </c>
      <c r="M1285" s="3" t="str">
        <f>VLOOKUP(G1285,Store!A:H,2,FALSE)</f>
        <v>Baldwin Bikes</v>
      </c>
      <c r="N1285" s="3" t="str">
        <f>VLOOKUP(G1285,Store!A:H,6,FALSE)</f>
        <v>Baldwin</v>
      </c>
      <c r="O1285" s="3" t="s">
        <v>16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">
        <v>1285.0</v>
      </c>
      <c r="B1286" s="1">
        <v>262.0</v>
      </c>
      <c r="C1286" s="1">
        <v>4.0</v>
      </c>
      <c r="D1286" s="4">
        <v>43073.0</v>
      </c>
      <c r="E1286" s="4">
        <v>43076.0</v>
      </c>
      <c r="F1286" s="4">
        <v>43076.0</v>
      </c>
      <c r="G1286" s="1">
        <v>2.0</v>
      </c>
      <c r="H1286" s="1">
        <v>7.0</v>
      </c>
      <c r="I1286" s="3" t="str">
        <f>VLOOKUP(B1286,Customers!A:J, 10,FALSE)</f>
        <v>Rubin Decker</v>
      </c>
      <c r="J1286" s="3" t="str">
        <f>VLOOKUP(B1286,Customers!A:J,8,FALSE)</f>
        <v>NY</v>
      </c>
      <c r="K1286" s="3" t="str">
        <f>VLOOKUP(B1286,Customers!A:J,7,FALSE)</f>
        <v>Buffalo</v>
      </c>
      <c r="L1286" s="3" t="str">
        <f>VLOOKUP(H1286,Staff!A:I,9,FALSE)</f>
        <v>Venita Daniel</v>
      </c>
      <c r="M1286" s="3" t="str">
        <f>VLOOKUP(G1286,Store!A:H,2,FALSE)</f>
        <v>Baldwin Bikes</v>
      </c>
      <c r="N1286" s="3" t="str">
        <f>VLOOKUP(G1286,Store!A:H,6,FALSE)</f>
        <v>Baldwin</v>
      </c>
      <c r="O1286" s="3" t="s">
        <v>16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">
        <v>1286.0</v>
      </c>
      <c r="B1287" s="1">
        <v>1033.0</v>
      </c>
      <c r="C1287" s="1">
        <v>4.0</v>
      </c>
      <c r="D1287" s="4">
        <v>43073.0</v>
      </c>
      <c r="E1287" s="4">
        <v>43076.0</v>
      </c>
      <c r="F1287" s="4">
        <v>43075.0</v>
      </c>
      <c r="G1287" s="1">
        <v>2.0</v>
      </c>
      <c r="H1287" s="1">
        <v>7.0</v>
      </c>
      <c r="I1287" s="3" t="str">
        <f>VLOOKUP(B1287,Customers!A:J, 10,FALSE)</f>
        <v>Jeannette Skinner</v>
      </c>
      <c r="J1287" s="3" t="str">
        <f>VLOOKUP(B1287,Customers!A:J,8,FALSE)</f>
        <v>NY</v>
      </c>
      <c r="K1287" s="3" t="str">
        <f>VLOOKUP(B1287,Customers!A:J,7,FALSE)</f>
        <v>Forest Hills</v>
      </c>
      <c r="L1287" s="3" t="str">
        <f>VLOOKUP(H1287,Staff!A:I,9,FALSE)</f>
        <v>Venita Daniel</v>
      </c>
      <c r="M1287" s="3" t="str">
        <f>VLOOKUP(G1287,Store!A:H,2,FALSE)</f>
        <v>Baldwin Bikes</v>
      </c>
      <c r="N1287" s="3" t="str">
        <f>VLOOKUP(G1287,Store!A:H,6,FALSE)</f>
        <v>Baldwin</v>
      </c>
      <c r="O1287" s="3" t="s">
        <v>16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">
        <v>1287.0</v>
      </c>
      <c r="B1288" s="1">
        <v>279.0</v>
      </c>
      <c r="C1288" s="1">
        <v>4.0</v>
      </c>
      <c r="D1288" s="4">
        <v>43076.0</v>
      </c>
      <c r="E1288" s="4">
        <v>43079.0</v>
      </c>
      <c r="F1288" s="4">
        <v>43078.0</v>
      </c>
      <c r="G1288" s="1">
        <v>1.0</v>
      </c>
      <c r="H1288" s="1">
        <v>3.0</v>
      </c>
      <c r="I1288" s="3" t="str">
        <f>VLOOKUP(B1288,Customers!A:J, 10,FALSE)</f>
        <v>Justina Long</v>
      </c>
      <c r="J1288" s="3" t="str">
        <f>VLOOKUP(B1288,Customers!A:J,8,FALSE)</f>
        <v>CA</v>
      </c>
      <c r="K1288" s="3" t="str">
        <f>VLOOKUP(B1288,Customers!A:J,7,FALSE)</f>
        <v>South El Monte</v>
      </c>
      <c r="L1288" s="3" t="str">
        <f>VLOOKUP(H1288,Staff!A:I,9,FALSE)</f>
        <v>Genna Serrano</v>
      </c>
      <c r="M1288" s="3" t="str">
        <f>VLOOKUP(G1288,Store!A:H,2,FALSE)</f>
        <v>Santa Cruz Bikes</v>
      </c>
      <c r="N1288" s="3" t="str">
        <f>VLOOKUP(G1288,Store!A:H,6,FALSE)</f>
        <v>Santa Cruz</v>
      </c>
      <c r="O1288" s="3" t="s">
        <v>15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">
        <v>1288.0</v>
      </c>
      <c r="B1289" s="1">
        <v>778.0</v>
      </c>
      <c r="C1289" s="1">
        <v>4.0</v>
      </c>
      <c r="D1289" s="4">
        <v>43076.0</v>
      </c>
      <c r="E1289" s="4">
        <v>43079.0</v>
      </c>
      <c r="F1289" s="4">
        <v>43078.0</v>
      </c>
      <c r="G1289" s="1">
        <v>3.0</v>
      </c>
      <c r="H1289" s="1">
        <v>9.0</v>
      </c>
      <c r="I1289" s="3" t="str">
        <f>VLOOKUP(B1289,Customers!A:J, 10,FALSE)</f>
        <v>Corrinne Garrison</v>
      </c>
      <c r="J1289" s="3" t="str">
        <f>VLOOKUP(B1289,Customers!A:J,8,FALSE)</f>
        <v>TX</v>
      </c>
      <c r="K1289" s="3" t="str">
        <f>VLOOKUP(B1289,Customers!A:J,7,FALSE)</f>
        <v>Victoria</v>
      </c>
      <c r="L1289" s="3" t="str">
        <f>VLOOKUP(H1289,Staff!A:I,9,FALSE)</f>
        <v>Layla Terrell</v>
      </c>
      <c r="M1289" s="3" t="str">
        <f>VLOOKUP(G1289,Store!A:H,2,FALSE)</f>
        <v>Rowlett Bikes</v>
      </c>
      <c r="N1289" s="3" t="str">
        <f>VLOOKUP(G1289,Store!A:H,6,FALSE)</f>
        <v>Rowlett</v>
      </c>
      <c r="O1289" s="3" t="s">
        <v>17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">
        <v>1289.0</v>
      </c>
      <c r="B1290" s="1">
        <v>1292.0</v>
      </c>
      <c r="C1290" s="1">
        <v>4.0</v>
      </c>
      <c r="D1290" s="4">
        <v>43077.0</v>
      </c>
      <c r="E1290" s="4">
        <v>43080.0</v>
      </c>
      <c r="F1290" s="4">
        <v>43079.0</v>
      </c>
      <c r="G1290" s="1">
        <v>1.0</v>
      </c>
      <c r="H1290" s="1">
        <v>3.0</v>
      </c>
      <c r="I1290" s="3" t="str">
        <f>VLOOKUP(B1290,Customers!A:J, 10,FALSE)</f>
        <v>Lakenya Oliver</v>
      </c>
      <c r="J1290" s="3" t="str">
        <f>VLOOKUP(B1290,Customers!A:J,8,FALSE)</f>
        <v>CA</v>
      </c>
      <c r="K1290" s="3" t="str">
        <f>VLOOKUP(B1290,Customers!A:J,7,FALSE)</f>
        <v>San Lorenzo</v>
      </c>
      <c r="L1290" s="3" t="str">
        <f>VLOOKUP(H1290,Staff!A:I,9,FALSE)</f>
        <v>Genna Serrano</v>
      </c>
      <c r="M1290" s="3" t="str">
        <f>VLOOKUP(G1290,Store!A:H,2,FALSE)</f>
        <v>Santa Cruz Bikes</v>
      </c>
      <c r="N1290" s="3" t="str">
        <f>VLOOKUP(G1290,Store!A:H,6,FALSE)</f>
        <v>Santa Cruz</v>
      </c>
      <c r="O1290" s="3" t="s">
        <v>15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">
        <v>1290.0</v>
      </c>
      <c r="B1291" s="1">
        <v>967.0</v>
      </c>
      <c r="C1291" s="1">
        <v>4.0</v>
      </c>
      <c r="D1291" s="4">
        <v>43077.0</v>
      </c>
      <c r="E1291" s="4">
        <v>43079.0</v>
      </c>
      <c r="F1291" s="4">
        <v>43079.0</v>
      </c>
      <c r="G1291" s="1">
        <v>2.0</v>
      </c>
      <c r="H1291" s="1">
        <v>6.0</v>
      </c>
      <c r="I1291" s="3" t="str">
        <f>VLOOKUP(B1291,Customers!A:J, 10,FALSE)</f>
        <v>Laurette Hebert</v>
      </c>
      <c r="J1291" s="3" t="str">
        <f>VLOOKUP(B1291,Customers!A:J,8,FALSE)</f>
        <v>NY</v>
      </c>
      <c r="K1291" s="3" t="str">
        <f>VLOOKUP(B1291,Customers!A:J,7,FALSE)</f>
        <v>Canandaigua</v>
      </c>
      <c r="L1291" s="3" t="str">
        <f>VLOOKUP(H1291,Staff!A:I,9,FALSE)</f>
        <v>Marcelene Boyer</v>
      </c>
      <c r="M1291" s="3" t="str">
        <f>VLOOKUP(G1291,Store!A:H,2,FALSE)</f>
        <v>Baldwin Bikes</v>
      </c>
      <c r="N1291" s="3" t="str">
        <f>VLOOKUP(G1291,Store!A:H,6,FALSE)</f>
        <v>Baldwin</v>
      </c>
      <c r="O1291" s="3" t="s">
        <v>16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">
        <v>1291.0</v>
      </c>
      <c r="B1292" s="1">
        <v>1284.0</v>
      </c>
      <c r="C1292" s="1">
        <v>4.0</v>
      </c>
      <c r="D1292" s="4">
        <v>43078.0</v>
      </c>
      <c r="E1292" s="4">
        <v>43080.0</v>
      </c>
      <c r="F1292" s="4">
        <v>43081.0</v>
      </c>
      <c r="G1292" s="1">
        <v>2.0</v>
      </c>
      <c r="H1292" s="1">
        <v>6.0</v>
      </c>
      <c r="I1292" s="3" t="str">
        <f>VLOOKUP(B1292,Customers!A:J, 10,FALSE)</f>
        <v>Shanice Spears</v>
      </c>
      <c r="J1292" s="3" t="str">
        <f>VLOOKUP(B1292,Customers!A:J,8,FALSE)</f>
        <v>NY</v>
      </c>
      <c r="K1292" s="3" t="str">
        <f>VLOOKUP(B1292,Customers!A:J,7,FALSE)</f>
        <v>Brooklyn</v>
      </c>
      <c r="L1292" s="3" t="str">
        <f>VLOOKUP(H1292,Staff!A:I,9,FALSE)</f>
        <v>Marcelene Boyer</v>
      </c>
      <c r="M1292" s="3" t="str">
        <f>VLOOKUP(G1292,Store!A:H,2,FALSE)</f>
        <v>Baldwin Bikes</v>
      </c>
      <c r="N1292" s="3" t="str">
        <f>VLOOKUP(G1292,Store!A:H,6,FALSE)</f>
        <v>Baldwin</v>
      </c>
      <c r="O1292" s="3" t="s">
        <v>16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">
        <v>1292.0</v>
      </c>
      <c r="B1293" s="1">
        <v>285.0</v>
      </c>
      <c r="C1293" s="1">
        <v>4.0</v>
      </c>
      <c r="D1293" s="4">
        <v>43079.0</v>
      </c>
      <c r="E1293" s="4">
        <v>43082.0</v>
      </c>
      <c r="F1293" s="4">
        <v>43080.0</v>
      </c>
      <c r="G1293" s="1">
        <v>2.0</v>
      </c>
      <c r="H1293" s="1">
        <v>6.0</v>
      </c>
      <c r="I1293" s="3" t="str">
        <f>VLOOKUP(B1293,Customers!A:J, 10,FALSE)</f>
        <v>Leola Gould</v>
      </c>
      <c r="J1293" s="3" t="str">
        <f>VLOOKUP(B1293,Customers!A:J,8,FALSE)</f>
        <v>NY</v>
      </c>
      <c r="K1293" s="3" t="str">
        <f>VLOOKUP(B1293,Customers!A:J,7,FALSE)</f>
        <v>Astoria</v>
      </c>
      <c r="L1293" s="3" t="str">
        <f>VLOOKUP(H1293,Staff!A:I,9,FALSE)</f>
        <v>Marcelene Boyer</v>
      </c>
      <c r="M1293" s="3" t="str">
        <f>VLOOKUP(G1293,Store!A:H,2,FALSE)</f>
        <v>Baldwin Bikes</v>
      </c>
      <c r="N1293" s="3" t="str">
        <f>VLOOKUP(G1293,Store!A:H,6,FALSE)</f>
        <v>Baldwin</v>
      </c>
      <c r="O1293" s="3" t="s">
        <v>16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">
        <v>1293.0</v>
      </c>
      <c r="B1294" s="1">
        <v>1401.0</v>
      </c>
      <c r="C1294" s="1">
        <v>4.0</v>
      </c>
      <c r="D1294" s="4">
        <v>43079.0</v>
      </c>
      <c r="E1294" s="4">
        <v>43081.0</v>
      </c>
      <c r="F1294" s="4">
        <v>43080.0</v>
      </c>
      <c r="G1294" s="1">
        <v>2.0</v>
      </c>
      <c r="H1294" s="1">
        <v>7.0</v>
      </c>
      <c r="I1294" s="3" t="str">
        <f>VLOOKUP(B1294,Customers!A:J, 10,FALSE)</f>
        <v>Willetta Murphy</v>
      </c>
      <c r="J1294" s="3" t="str">
        <f>VLOOKUP(B1294,Customers!A:J,8,FALSE)</f>
        <v>NY</v>
      </c>
      <c r="K1294" s="3" t="str">
        <f>VLOOKUP(B1294,Customers!A:J,7,FALSE)</f>
        <v>East Elmhurst</v>
      </c>
      <c r="L1294" s="3" t="str">
        <f>VLOOKUP(H1294,Staff!A:I,9,FALSE)</f>
        <v>Venita Daniel</v>
      </c>
      <c r="M1294" s="3" t="str">
        <f>VLOOKUP(G1294,Store!A:H,2,FALSE)</f>
        <v>Baldwin Bikes</v>
      </c>
      <c r="N1294" s="3" t="str">
        <f>VLOOKUP(G1294,Store!A:H,6,FALSE)</f>
        <v>Baldwin</v>
      </c>
      <c r="O1294" s="3" t="s">
        <v>16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">
        <v>1294.0</v>
      </c>
      <c r="B1295" s="1">
        <v>947.0</v>
      </c>
      <c r="C1295" s="1">
        <v>4.0</v>
      </c>
      <c r="D1295" s="4">
        <v>43080.0</v>
      </c>
      <c r="E1295" s="4">
        <v>43082.0</v>
      </c>
      <c r="F1295" s="4">
        <v>43083.0</v>
      </c>
      <c r="G1295" s="1">
        <v>1.0</v>
      </c>
      <c r="H1295" s="1">
        <v>2.0</v>
      </c>
      <c r="I1295" s="3" t="str">
        <f>VLOOKUP(B1295,Customers!A:J, 10,FALSE)</f>
        <v>Angele Castro</v>
      </c>
      <c r="J1295" s="3" t="str">
        <f>VLOOKUP(B1295,Customers!A:J,8,FALSE)</f>
        <v>CA</v>
      </c>
      <c r="K1295" s="3" t="str">
        <f>VLOOKUP(B1295,Customers!A:J,7,FALSE)</f>
        <v>Palos Verdes Peninsula</v>
      </c>
      <c r="L1295" s="3" t="str">
        <f>VLOOKUP(H1295,Staff!A:I,9,FALSE)</f>
        <v>Mireya Copeland</v>
      </c>
      <c r="M1295" s="3" t="str">
        <f>VLOOKUP(G1295,Store!A:H,2,FALSE)</f>
        <v>Santa Cruz Bikes</v>
      </c>
      <c r="N1295" s="3" t="str">
        <f>VLOOKUP(G1295,Store!A:H,6,FALSE)</f>
        <v>Santa Cruz</v>
      </c>
      <c r="O1295" s="3" t="s">
        <v>15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">
        <v>1295.0</v>
      </c>
      <c r="B1296" s="1">
        <v>37.0</v>
      </c>
      <c r="C1296" s="1">
        <v>4.0</v>
      </c>
      <c r="D1296" s="4">
        <v>43080.0</v>
      </c>
      <c r="E1296" s="4">
        <v>43081.0</v>
      </c>
      <c r="F1296" s="4">
        <v>43083.0</v>
      </c>
      <c r="G1296" s="1">
        <v>2.0</v>
      </c>
      <c r="H1296" s="1">
        <v>7.0</v>
      </c>
      <c r="I1296" s="3" t="str">
        <f>VLOOKUP(B1296,Customers!A:J, 10,FALSE)</f>
        <v>Melia Brady</v>
      </c>
      <c r="J1296" s="3" t="str">
        <f>VLOOKUP(B1296,Customers!A:J,8,FALSE)</f>
        <v>NY</v>
      </c>
      <c r="K1296" s="3" t="str">
        <f>VLOOKUP(B1296,Customers!A:J,7,FALSE)</f>
        <v>Maspeth</v>
      </c>
      <c r="L1296" s="3" t="str">
        <f>VLOOKUP(H1296,Staff!A:I,9,FALSE)</f>
        <v>Venita Daniel</v>
      </c>
      <c r="M1296" s="3" t="str">
        <f>VLOOKUP(G1296,Store!A:H,2,FALSE)</f>
        <v>Baldwin Bikes</v>
      </c>
      <c r="N1296" s="3" t="str">
        <f>VLOOKUP(G1296,Store!A:H,6,FALSE)</f>
        <v>Baldwin</v>
      </c>
      <c r="O1296" s="3" t="s">
        <v>16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">
        <v>1296.0</v>
      </c>
      <c r="B1297" s="1">
        <v>231.0</v>
      </c>
      <c r="C1297" s="1">
        <v>4.0</v>
      </c>
      <c r="D1297" s="4">
        <v>43083.0</v>
      </c>
      <c r="E1297" s="4">
        <v>43086.0</v>
      </c>
      <c r="F1297" s="4">
        <v>43084.0</v>
      </c>
      <c r="G1297" s="1">
        <v>1.0</v>
      </c>
      <c r="H1297" s="1">
        <v>3.0</v>
      </c>
      <c r="I1297" s="3" t="str">
        <f>VLOOKUP(B1297,Customers!A:J, 10,FALSE)</f>
        <v>Jenee Rasmussen</v>
      </c>
      <c r="J1297" s="3" t="str">
        <f>VLOOKUP(B1297,Customers!A:J,8,FALSE)</f>
        <v>CA</v>
      </c>
      <c r="K1297" s="3" t="str">
        <f>VLOOKUP(B1297,Customers!A:J,7,FALSE)</f>
        <v>Sacramento</v>
      </c>
      <c r="L1297" s="3" t="str">
        <f>VLOOKUP(H1297,Staff!A:I,9,FALSE)</f>
        <v>Genna Serrano</v>
      </c>
      <c r="M1297" s="3" t="str">
        <f>VLOOKUP(G1297,Store!A:H,2,FALSE)</f>
        <v>Santa Cruz Bikes</v>
      </c>
      <c r="N1297" s="3" t="str">
        <f>VLOOKUP(G1297,Store!A:H,6,FALSE)</f>
        <v>Santa Cruz</v>
      </c>
      <c r="O1297" s="3" t="s">
        <v>15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">
        <v>1297.0</v>
      </c>
      <c r="B1298" s="1">
        <v>108.0</v>
      </c>
      <c r="C1298" s="1">
        <v>4.0</v>
      </c>
      <c r="D1298" s="4">
        <v>43083.0</v>
      </c>
      <c r="E1298" s="4">
        <v>43086.0</v>
      </c>
      <c r="F1298" s="4">
        <v>43085.0</v>
      </c>
      <c r="G1298" s="1">
        <v>2.0</v>
      </c>
      <c r="H1298" s="1">
        <v>6.0</v>
      </c>
      <c r="I1298" s="3" t="str">
        <f>VLOOKUP(B1298,Customers!A:J, 10,FALSE)</f>
        <v>Shae Hickman</v>
      </c>
      <c r="J1298" s="3" t="str">
        <f>VLOOKUP(B1298,Customers!A:J,8,FALSE)</f>
        <v>NY</v>
      </c>
      <c r="K1298" s="3" t="str">
        <f>VLOOKUP(B1298,Customers!A:J,7,FALSE)</f>
        <v>Floral Park</v>
      </c>
      <c r="L1298" s="3" t="str">
        <f>VLOOKUP(H1298,Staff!A:I,9,FALSE)</f>
        <v>Marcelene Boyer</v>
      </c>
      <c r="M1298" s="3" t="str">
        <f>VLOOKUP(G1298,Store!A:H,2,FALSE)</f>
        <v>Baldwin Bikes</v>
      </c>
      <c r="N1298" s="3" t="str">
        <f>VLOOKUP(G1298,Store!A:H,6,FALSE)</f>
        <v>Baldwin</v>
      </c>
      <c r="O1298" s="3" t="s">
        <v>16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">
        <v>1298.0</v>
      </c>
      <c r="B1299" s="1">
        <v>533.0</v>
      </c>
      <c r="C1299" s="1">
        <v>4.0</v>
      </c>
      <c r="D1299" s="4">
        <v>43083.0</v>
      </c>
      <c r="E1299" s="4">
        <v>43086.0</v>
      </c>
      <c r="F1299" s="4">
        <v>43085.0</v>
      </c>
      <c r="G1299" s="1">
        <v>3.0</v>
      </c>
      <c r="H1299" s="1">
        <v>9.0</v>
      </c>
      <c r="I1299" s="3" t="str">
        <f>VLOOKUP(B1299,Customers!A:J, 10,FALSE)</f>
        <v>Garret Clay</v>
      </c>
      <c r="J1299" s="3" t="str">
        <f>VLOOKUP(B1299,Customers!A:J,8,FALSE)</f>
        <v>TX</v>
      </c>
      <c r="K1299" s="3" t="str">
        <f>VLOOKUP(B1299,Customers!A:J,7,FALSE)</f>
        <v>Corpus Christi</v>
      </c>
      <c r="L1299" s="3" t="str">
        <f>VLOOKUP(H1299,Staff!A:I,9,FALSE)</f>
        <v>Layla Terrell</v>
      </c>
      <c r="M1299" s="3" t="str">
        <f>VLOOKUP(G1299,Store!A:H,2,FALSE)</f>
        <v>Rowlett Bikes</v>
      </c>
      <c r="N1299" s="3" t="str">
        <f>VLOOKUP(G1299,Store!A:H,6,FALSE)</f>
        <v>Rowlett</v>
      </c>
      <c r="O1299" s="3" t="s">
        <v>17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">
        <v>1299.0</v>
      </c>
      <c r="B1300" s="1">
        <v>1216.0</v>
      </c>
      <c r="C1300" s="1">
        <v>4.0</v>
      </c>
      <c r="D1300" s="4">
        <v>43084.0</v>
      </c>
      <c r="E1300" s="4">
        <v>43087.0</v>
      </c>
      <c r="F1300" s="4">
        <v>43085.0</v>
      </c>
      <c r="G1300" s="1">
        <v>1.0</v>
      </c>
      <c r="H1300" s="1">
        <v>2.0</v>
      </c>
      <c r="I1300" s="3" t="str">
        <f>VLOOKUP(B1300,Customers!A:J, 10,FALSE)</f>
        <v>Elvina Gates</v>
      </c>
      <c r="J1300" s="3" t="str">
        <f>VLOOKUP(B1300,Customers!A:J,8,FALSE)</f>
        <v>CA</v>
      </c>
      <c r="K1300" s="3" t="str">
        <f>VLOOKUP(B1300,Customers!A:J,7,FALSE)</f>
        <v>Pleasanton</v>
      </c>
      <c r="L1300" s="3" t="str">
        <f>VLOOKUP(H1300,Staff!A:I,9,FALSE)</f>
        <v>Mireya Copeland</v>
      </c>
      <c r="M1300" s="3" t="str">
        <f>VLOOKUP(G1300,Store!A:H,2,FALSE)</f>
        <v>Santa Cruz Bikes</v>
      </c>
      <c r="N1300" s="3" t="str">
        <f>VLOOKUP(G1300,Store!A:H,6,FALSE)</f>
        <v>Santa Cruz</v>
      </c>
      <c r="O1300" s="3" t="s">
        <v>15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">
        <v>1300.0</v>
      </c>
      <c r="B1301" s="1">
        <v>824.0</v>
      </c>
      <c r="C1301" s="1">
        <v>4.0</v>
      </c>
      <c r="D1301" s="4">
        <v>43084.0</v>
      </c>
      <c r="E1301" s="4">
        <v>43086.0</v>
      </c>
      <c r="F1301" s="4">
        <v>43086.0</v>
      </c>
      <c r="G1301" s="1">
        <v>2.0</v>
      </c>
      <c r="H1301" s="1">
        <v>6.0</v>
      </c>
      <c r="I1301" s="3" t="str">
        <f>VLOOKUP(B1301,Customers!A:J, 10,FALSE)</f>
        <v>Veronika Rollins</v>
      </c>
      <c r="J1301" s="3" t="str">
        <f>VLOOKUP(B1301,Customers!A:J,8,FALSE)</f>
        <v>NY</v>
      </c>
      <c r="K1301" s="3" t="str">
        <f>VLOOKUP(B1301,Customers!A:J,7,FALSE)</f>
        <v>Webster</v>
      </c>
      <c r="L1301" s="3" t="str">
        <f>VLOOKUP(H1301,Staff!A:I,9,FALSE)</f>
        <v>Marcelene Boyer</v>
      </c>
      <c r="M1301" s="3" t="str">
        <f>VLOOKUP(G1301,Store!A:H,2,FALSE)</f>
        <v>Baldwin Bikes</v>
      </c>
      <c r="N1301" s="3" t="str">
        <f>VLOOKUP(G1301,Store!A:H,6,FALSE)</f>
        <v>Baldwin</v>
      </c>
      <c r="O1301" s="3" t="s">
        <v>16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">
        <v>1301.0</v>
      </c>
      <c r="B1302" s="1">
        <v>1088.0</v>
      </c>
      <c r="C1302" s="1">
        <v>4.0</v>
      </c>
      <c r="D1302" s="4">
        <v>43085.0</v>
      </c>
      <c r="E1302" s="4">
        <v>43088.0</v>
      </c>
      <c r="F1302" s="4">
        <v>43088.0</v>
      </c>
      <c r="G1302" s="1">
        <v>1.0</v>
      </c>
      <c r="H1302" s="1">
        <v>3.0</v>
      </c>
      <c r="I1302" s="3" t="str">
        <f>VLOOKUP(B1302,Customers!A:J, 10,FALSE)</f>
        <v>Jane Henderson</v>
      </c>
      <c r="J1302" s="3" t="str">
        <f>VLOOKUP(B1302,Customers!A:J,8,FALSE)</f>
        <v>CA</v>
      </c>
      <c r="K1302" s="3" t="str">
        <f>VLOOKUP(B1302,Customers!A:J,7,FALSE)</f>
        <v>Apple Valley</v>
      </c>
      <c r="L1302" s="3" t="str">
        <f>VLOOKUP(H1302,Staff!A:I,9,FALSE)</f>
        <v>Genna Serrano</v>
      </c>
      <c r="M1302" s="3" t="str">
        <f>VLOOKUP(G1302,Store!A:H,2,FALSE)</f>
        <v>Santa Cruz Bikes</v>
      </c>
      <c r="N1302" s="3" t="str">
        <f>VLOOKUP(G1302,Store!A:H,6,FALSE)</f>
        <v>Santa Cruz</v>
      </c>
      <c r="O1302" s="3" t="s">
        <v>15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">
        <v>1302.0</v>
      </c>
      <c r="B1303" s="1">
        <v>322.0</v>
      </c>
      <c r="C1303" s="1">
        <v>4.0</v>
      </c>
      <c r="D1303" s="4">
        <v>43085.0</v>
      </c>
      <c r="E1303" s="4">
        <v>43087.0</v>
      </c>
      <c r="F1303" s="4">
        <v>43088.0</v>
      </c>
      <c r="G1303" s="1">
        <v>2.0</v>
      </c>
      <c r="H1303" s="1">
        <v>7.0</v>
      </c>
      <c r="I1303" s="3" t="str">
        <f>VLOOKUP(B1303,Customers!A:J, 10,FALSE)</f>
        <v>Merideth Preston</v>
      </c>
      <c r="J1303" s="3" t="str">
        <f>VLOOKUP(B1303,Customers!A:J,8,FALSE)</f>
        <v>NY</v>
      </c>
      <c r="K1303" s="3" t="str">
        <f>VLOOKUP(B1303,Customers!A:J,7,FALSE)</f>
        <v>Poughkeepsie</v>
      </c>
      <c r="L1303" s="3" t="str">
        <f>VLOOKUP(H1303,Staff!A:I,9,FALSE)</f>
        <v>Venita Daniel</v>
      </c>
      <c r="M1303" s="3" t="str">
        <f>VLOOKUP(G1303,Store!A:H,2,FALSE)</f>
        <v>Baldwin Bikes</v>
      </c>
      <c r="N1303" s="3" t="str">
        <f>VLOOKUP(G1303,Store!A:H,6,FALSE)</f>
        <v>Baldwin</v>
      </c>
      <c r="O1303" s="3" t="s">
        <v>16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">
        <v>1303.0</v>
      </c>
      <c r="B1304" s="1">
        <v>878.0</v>
      </c>
      <c r="C1304" s="1">
        <v>4.0</v>
      </c>
      <c r="D1304" s="4">
        <v>43085.0</v>
      </c>
      <c r="E1304" s="4">
        <v>43088.0</v>
      </c>
      <c r="F1304" s="4">
        <v>43087.0</v>
      </c>
      <c r="G1304" s="1">
        <v>2.0</v>
      </c>
      <c r="H1304" s="1">
        <v>7.0</v>
      </c>
      <c r="I1304" s="3" t="str">
        <f>VLOOKUP(B1304,Customers!A:J, 10,FALSE)</f>
        <v>Melodie Melton</v>
      </c>
      <c r="J1304" s="3" t="str">
        <f>VLOOKUP(B1304,Customers!A:J,8,FALSE)</f>
        <v>NY</v>
      </c>
      <c r="K1304" s="3" t="str">
        <f>VLOOKUP(B1304,Customers!A:J,7,FALSE)</f>
        <v>Smithtown</v>
      </c>
      <c r="L1304" s="3" t="str">
        <f>VLOOKUP(H1304,Staff!A:I,9,FALSE)</f>
        <v>Venita Daniel</v>
      </c>
      <c r="M1304" s="3" t="str">
        <f>VLOOKUP(G1304,Store!A:H,2,FALSE)</f>
        <v>Baldwin Bikes</v>
      </c>
      <c r="N1304" s="3" t="str">
        <f>VLOOKUP(G1304,Store!A:H,6,FALSE)</f>
        <v>Baldwin</v>
      </c>
      <c r="O1304" s="3" t="s">
        <v>16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">
        <v>1304.0</v>
      </c>
      <c r="B1305" s="1">
        <v>1409.0</v>
      </c>
      <c r="C1305" s="1">
        <v>4.0</v>
      </c>
      <c r="D1305" s="4">
        <v>43085.0</v>
      </c>
      <c r="E1305" s="4">
        <v>43086.0</v>
      </c>
      <c r="F1305" s="4">
        <v>43086.0</v>
      </c>
      <c r="G1305" s="1">
        <v>2.0</v>
      </c>
      <c r="H1305" s="1">
        <v>6.0</v>
      </c>
      <c r="I1305" s="3" t="str">
        <f>VLOOKUP(B1305,Customers!A:J, 10,FALSE)</f>
        <v>Lamar Bush</v>
      </c>
      <c r="J1305" s="3" t="str">
        <f>VLOOKUP(B1305,Customers!A:J,8,FALSE)</f>
        <v>NY</v>
      </c>
      <c r="K1305" s="3" t="str">
        <f>VLOOKUP(B1305,Customers!A:J,7,FALSE)</f>
        <v>Buffalo</v>
      </c>
      <c r="L1305" s="3" t="str">
        <f>VLOOKUP(H1305,Staff!A:I,9,FALSE)</f>
        <v>Marcelene Boyer</v>
      </c>
      <c r="M1305" s="3" t="str">
        <f>VLOOKUP(G1305,Store!A:H,2,FALSE)</f>
        <v>Baldwin Bikes</v>
      </c>
      <c r="N1305" s="3" t="str">
        <f>VLOOKUP(G1305,Store!A:H,6,FALSE)</f>
        <v>Baldwin</v>
      </c>
      <c r="O1305" s="3" t="s">
        <v>16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">
        <v>1305.0</v>
      </c>
      <c r="B1306" s="1">
        <v>257.0</v>
      </c>
      <c r="C1306" s="1">
        <v>4.0</v>
      </c>
      <c r="D1306" s="4">
        <v>43086.0</v>
      </c>
      <c r="E1306" s="4">
        <v>43088.0</v>
      </c>
      <c r="F1306" s="4">
        <v>43087.0</v>
      </c>
      <c r="G1306" s="1">
        <v>2.0</v>
      </c>
      <c r="H1306" s="1">
        <v>7.0</v>
      </c>
      <c r="I1306" s="3" t="str">
        <f>VLOOKUP(B1306,Customers!A:J, 10,FALSE)</f>
        <v>Earl Stanley</v>
      </c>
      <c r="J1306" s="3" t="str">
        <f>VLOOKUP(B1306,Customers!A:J,8,FALSE)</f>
        <v>NY</v>
      </c>
      <c r="K1306" s="3" t="str">
        <f>VLOOKUP(B1306,Customers!A:J,7,FALSE)</f>
        <v>Elmhurst</v>
      </c>
      <c r="L1306" s="3" t="str">
        <f>VLOOKUP(H1306,Staff!A:I,9,FALSE)</f>
        <v>Venita Daniel</v>
      </c>
      <c r="M1306" s="3" t="str">
        <f>VLOOKUP(G1306,Store!A:H,2,FALSE)</f>
        <v>Baldwin Bikes</v>
      </c>
      <c r="N1306" s="3" t="str">
        <f>VLOOKUP(G1306,Store!A:H,6,FALSE)</f>
        <v>Baldwin</v>
      </c>
      <c r="O1306" s="3" t="s">
        <v>16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">
        <v>1306.0</v>
      </c>
      <c r="B1307" s="1">
        <v>28.0</v>
      </c>
      <c r="C1307" s="1">
        <v>4.0</v>
      </c>
      <c r="D1307" s="4">
        <v>43089.0</v>
      </c>
      <c r="E1307" s="4">
        <v>43090.0</v>
      </c>
      <c r="F1307" s="4">
        <v>43091.0</v>
      </c>
      <c r="G1307" s="1">
        <v>2.0</v>
      </c>
      <c r="H1307" s="1">
        <v>6.0</v>
      </c>
      <c r="I1307" s="3" t="str">
        <f>VLOOKUP(B1307,Customers!A:J, 10,FALSE)</f>
        <v>Jeanice Frost</v>
      </c>
      <c r="J1307" s="3" t="str">
        <f>VLOOKUP(B1307,Customers!A:J,8,FALSE)</f>
        <v>NY</v>
      </c>
      <c r="K1307" s="3" t="str">
        <f>VLOOKUP(B1307,Customers!A:J,7,FALSE)</f>
        <v>Ossining</v>
      </c>
      <c r="L1307" s="3" t="str">
        <f>VLOOKUP(H1307,Staff!A:I,9,FALSE)</f>
        <v>Marcelene Boyer</v>
      </c>
      <c r="M1307" s="3" t="str">
        <f>VLOOKUP(G1307,Store!A:H,2,FALSE)</f>
        <v>Baldwin Bikes</v>
      </c>
      <c r="N1307" s="3" t="str">
        <f>VLOOKUP(G1307,Store!A:H,6,FALSE)</f>
        <v>Baldwin</v>
      </c>
      <c r="O1307" s="3" t="s">
        <v>16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">
        <v>1307.0</v>
      </c>
      <c r="B1308" s="1">
        <v>1384.0</v>
      </c>
      <c r="C1308" s="1">
        <v>4.0</v>
      </c>
      <c r="D1308" s="4">
        <v>43091.0</v>
      </c>
      <c r="E1308" s="4">
        <v>43092.0</v>
      </c>
      <c r="F1308" s="4">
        <v>43094.0</v>
      </c>
      <c r="G1308" s="1">
        <v>1.0</v>
      </c>
      <c r="H1308" s="1">
        <v>2.0</v>
      </c>
      <c r="I1308" s="3" t="str">
        <f>VLOOKUP(B1308,Customers!A:J, 10,FALSE)</f>
        <v>Elmo Sweeney</v>
      </c>
      <c r="J1308" s="3" t="str">
        <f>VLOOKUP(B1308,Customers!A:J,8,FALSE)</f>
        <v>CA</v>
      </c>
      <c r="K1308" s="3" t="str">
        <f>VLOOKUP(B1308,Customers!A:J,7,FALSE)</f>
        <v>San Carlos</v>
      </c>
      <c r="L1308" s="3" t="str">
        <f>VLOOKUP(H1308,Staff!A:I,9,FALSE)</f>
        <v>Mireya Copeland</v>
      </c>
      <c r="M1308" s="3" t="str">
        <f>VLOOKUP(G1308,Store!A:H,2,FALSE)</f>
        <v>Santa Cruz Bikes</v>
      </c>
      <c r="N1308" s="3" t="str">
        <f>VLOOKUP(G1308,Store!A:H,6,FALSE)</f>
        <v>Santa Cruz</v>
      </c>
      <c r="O1308" s="3" t="s">
        <v>15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">
        <v>1308.0</v>
      </c>
      <c r="B1309" s="1">
        <v>713.0</v>
      </c>
      <c r="C1309" s="1">
        <v>4.0</v>
      </c>
      <c r="D1309" s="4">
        <v>43091.0</v>
      </c>
      <c r="E1309" s="4">
        <v>43093.0</v>
      </c>
      <c r="F1309" s="4">
        <v>43093.0</v>
      </c>
      <c r="G1309" s="1">
        <v>2.0</v>
      </c>
      <c r="H1309" s="1">
        <v>7.0</v>
      </c>
      <c r="I1309" s="3" t="str">
        <f>VLOOKUP(B1309,Customers!A:J, 10,FALSE)</f>
        <v>Ilona Spears</v>
      </c>
      <c r="J1309" s="3" t="str">
        <f>VLOOKUP(B1309,Customers!A:J,8,FALSE)</f>
        <v>NY</v>
      </c>
      <c r="K1309" s="3" t="str">
        <f>VLOOKUP(B1309,Customers!A:J,7,FALSE)</f>
        <v>Port Jefferson Station</v>
      </c>
      <c r="L1309" s="3" t="str">
        <f>VLOOKUP(H1309,Staff!A:I,9,FALSE)</f>
        <v>Venita Daniel</v>
      </c>
      <c r="M1309" s="3" t="str">
        <f>VLOOKUP(G1309,Store!A:H,2,FALSE)</f>
        <v>Baldwin Bikes</v>
      </c>
      <c r="N1309" s="3" t="str">
        <f>VLOOKUP(G1309,Store!A:H,6,FALSE)</f>
        <v>Baldwin</v>
      </c>
      <c r="O1309" s="3" t="s">
        <v>16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">
        <v>1309.0</v>
      </c>
      <c r="B1310" s="1">
        <v>821.0</v>
      </c>
      <c r="C1310" s="1">
        <v>4.0</v>
      </c>
      <c r="D1310" s="4">
        <v>43091.0</v>
      </c>
      <c r="E1310" s="4">
        <v>43094.0</v>
      </c>
      <c r="F1310" s="4">
        <v>43093.0</v>
      </c>
      <c r="G1310" s="1">
        <v>2.0</v>
      </c>
      <c r="H1310" s="1">
        <v>6.0</v>
      </c>
      <c r="I1310" s="3" t="str">
        <f>VLOOKUP(B1310,Customers!A:J, 10,FALSE)</f>
        <v>Cassidy Clark</v>
      </c>
      <c r="J1310" s="3" t="str">
        <f>VLOOKUP(B1310,Customers!A:J,8,FALSE)</f>
        <v>NY</v>
      </c>
      <c r="K1310" s="3" t="str">
        <f>VLOOKUP(B1310,Customers!A:J,7,FALSE)</f>
        <v>Astoria</v>
      </c>
      <c r="L1310" s="3" t="str">
        <f>VLOOKUP(H1310,Staff!A:I,9,FALSE)</f>
        <v>Marcelene Boyer</v>
      </c>
      <c r="M1310" s="3" t="str">
        <f>VLOOKUP(G1310,Store!A:H,2,FALSE)</f>
        <v>Baldwin Bikes</v>
      </c>
      <c r="N1310" s="3" t="str">
        <f>VLOOKUP(G1310,Store!A:H,6,FALSE)</f>
        <v>Baldwin</v>
      </c>
      <c r="O1310" s="3" t="s">
        <v>16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">
        <v>1310.0</v>
      </c>
      <c r="B1311" s="1">
        <v>444.0</v>
      </c>
      <c r="C1311" s="1">
        <v>4.0</v>
      </c>
      <c r="D1311" s="4">
        <v>43093.0</v>
      </c>
      <c r="E1311" s="4">
        <v>43094.0</v>
      </c>
      <c r="F1311" s="4">
        <v>43095.0</v>
      </c>
      <c r="G1311" s="1">
        <v>1.0</v>
      </c>
      <c r="H1311" s="1">
        <v>3.0</v>
      </c>
      <c r="I1311" s="3" t="str">
        <f>VLOOKUP(B1311,Customers!A:J, 10,FALSE)</f>
        <v>Caridad Compton</v>
      </c>
      <c r="J1311" s="3" t="str">
        <f>VLOOKUP(B1311,Customers!A:J,8,FALSE)</f>
        <v>CA</v>
      </c>
      <c r="K1311" s="3" t="str">
        <f>VLOOKUP(B1311,Customers!A:J,7,FALSE)</f>
        <v>San Lorenzo</v>
      </c>
      <c r="L1311" s="3" t="str">
        <f>VLOOKUP(H1311,Staff!A:I,9,FALSE)</f>
        <v>Genna Serrano</v>
      </c>
      <c r="M1311" s="3" t="str">
        <f>VLOOKUP(G1311,Store!A:H,2,FALSE)</f>
        <v>Santa Cruz Bikes</v>
      </c>
      <c r="N1311" s="3" t="str">
        <f>VLOOKUP(G1311,Store!A:H,6,FALSE)</f>
        <v>Santa Cruz</v>
      </c>
      <c r="O1311" s="3" t="s">
        <v>15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">
        <v>1311.0</v>
      </c>
      <c r="B1312" s="1">
        <v>1021.0</v>
      </c>
      <c r="C1312" s="1">
        <v>4.0</v>
      </c>
      <c r="D1312" s="4">
        <v>43093.0</v>
      </c>
      <c r="E1312" s="4">
        <v>43095.0</v>
      </c>
      <c r="F1312" s="4">
        <v>43096.0</v>
      </c>
      <c r="G1312" s="1">
        <v>2.0</v>
      </c>
      <c r="H1312" s="1">
        <v>6.0</v>
      </c>
      <c r="I1312" s="3" t="str">
        <f>VLOOKUP(B1312,Customers!A:J, 10,FALSE)</f>
        <v>Nicolas Carlson</v>
      </c>
      <c r="J1312" s="3" t="str">
        <f>VLOOKUP(B1312,Customers!A:J,8,FALSE)</f>
        <v>NY</v>
      </c>
      <c r="K1312" s="3" t="str">
        <f>VLOOKUP(B1312,Customers!A:J,7,FALSE)</f>
        <v>Saint Albans</v>
      </c>
      <c r="L1312" s="3" t="str">
        <f>VLOOKUP(H1312,Staff!A:I,9,FALSE)</f>
        <v>Marcelene Boyer</v>
      </c>
      <c r="M1312" s="3" t="str">
        <f>VLOOKUP(G1312,Store!A:H,2,FALSE)</f>
        <v>Baldwin Bikes</v>
      </c>
      <c r="N1312" s="3" t="str">
        <f>VLOOKUP(G1312,Store!A:H,6,FALSE)</f>
        <v>Baldwin</v>
      </c>
      <c r="O1312" s="3" t="s">
        <v>16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">
        <v>1312.0</v>
      </c>
      <c r="B1313" s="1">
        <v>311.0</v>
      </c>
      <c r="C1313" s="1">
        <v>4.0</v>
      </c>
      <c r="D1313" s="4">
        <v>43094.0</v>
      </c>
      <c r="E1313" s="4">
        <v>43097.0</v>
      </c>
      <c r="F1313" s="4">
        <v>43095.0</v>
      </c>
      <c r="G1313" s="1">
        <v>1.0</v>
      </c>
      <c r="H1313" s="1">
        <v>3.0</v>
      </c>
      <c r="I1313" s="3" t="str">
        <f>VLOOKUP(B1313,Customers!A:J, 10,FALSE)</f>
        <v>Charise Burt</v>
      </c>
      <c r="J1313" s="3" t="str">
        <f>VLOOKUP(B1313,Customers!A:J,8,FALSE)</f>
        <v>CA</v>
      </c>
      <c r="K1313" s="3" t="str">
        <f>VLOOKUP(B1313,Customers!A:J,7,FALSE)</f>
        <v>Fresno</v>
      </c>
      <c r="L1313" s="3" t="str">
        <f>VLOOKUP(H1313,Staff!A:I,9,FALSE)</f>
        <v>Genna Serrano</v>
      </c>
      <c r="M1313" s="3" t="str">
        <f>VLOOKUP(G1313,Store!A:H,2,FALSE)</f>
        <v>Santa Cruz Bikes</v>
      </c>
      <c r="N1313" s="3" t="str">
        <f>VLOOKUP(G1313,Store!A:H,6,FALSE)</f>
        <v>Santa Cruz</v>
      </c>
      <c r="O1313" s="3" t="s">
        <v>15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">
        <v>1313.0</v>
      </c>
      <c r="B1314" s="1">
        <v>1294.0</v>
      </c>
      <c r="C1314" s="1">
        <v>4.0</v>
      </c>
      <c r="D1314" s="4">
        <v>43094.0</v>
      </c>
      <c r="E1314" s="4">
        <v>43096.0</v>
      </c>
      <c r="F1314" s="4">
        <v>43096.0</v>
      </c>
      <c r="G1314" s="1">
        <v>1.0</v>
      </c>
      <c r="H1314" s="1">
        <v>3.0</v>
      </c>
      <c r="I1314" s="3" t="str">
        <f>VLOOKUP(B1314,Customers!A:J, 10,FALSE)</f>
        <v>Edith Davenport</v>
      </c>
      <c r="J1314" s="3" t="str">
        <f>VLOOKUP(B1314,Customers!A:J,8,FALSE)</f>
        <v>CA</v>
      </c>
      <c r="K1314" s="3" t="str">
        <f>VLOOKUP(B1314,Customers!A:J,7,FALSE)</f>
        <v>Ontario</v>
      </c>
      <c r="L1314" s="3" t="str">
        <f>VLOOKUP(H1314,Staff!A:I,9,FALSE)</f>
        <v>Genna Serrano</v>
      </c>
      <c r="M1314" s="3" t="str">
        <f>VLOOKUP(G1314,Store!A:H,2,FALSE)</f>
        <v>Santa Cruz Bikes</v>
      </c>
      <c r="N1314" s="3" t="str">
        <f>VLOOKUP(G1314,Store!A:H,6,FALSE)</f>
        <v>Santa Cruz</v>
      </c>
      <c r="O1314" s="3" t="s">
        <v>15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">
        <v>1314.0</v>
      </c>
      <c r="B1315" s="1">
        <v>1027.0</v>
      </c>
      <c r="C1315" s="1">
        <v>4.0</v>
      </c>
      <c r="D1315" s="4">
        <v>43094.0</v>
      </c>
      <c r="E1315" s="4">
        <v>43095.0</v>
      </c>
      <c r="F1315" s="4">
        <v>43097.0</v>
      </c>
      <c r="G1315" s="1">
        <v>2.0</v>
      </c>
      <c r="H1315" s="1">
        <v>7.0</v>
      </c>
      <c r="I1315" s="3" t="str">
        <f>VLOOKUP(B1315,Customers!A:J, 10,FALSE)</f>
        <v>Shanita Wiley</v>
      </c>
      <c r="J1315" s="3" t="str">
        <f>VLOOKUP(B1315,Customers!A:J,8,FALSE)</f>
        <v>NY</v>
      </c>
      <c r="K1315" s="3" t="str">
        <f>VLOOKUP(B1315,Customers!A:J,7,FALSE)</f>
        <v>Saint Albans</v>
      </c>
      <c r="L1315" s="3" t="str">
        <f>VLOOKUP(H1315,Staff!A:I,9,FALSE)</f>
        <v>Venita Daniel</v>
      </c>
      <c r="M1315" s="3" t="str">
        <f>VLOOKUP(G1315,Store!A:H,2,FALSE)</f>
        <v>Baldwin Bikes</v>
      </c>
      <c r="N1315" s="3" t="str">
        <f>VLOOKUP(G1315,Store!A:H,6,FALSE)</f>
        <v>Baldwin</v>
      </c>
      <c r="O1315" s="3" t="s">
        <v>16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">
        <v>1315.0</v>
      </c>
      <c r="B1316" s="1">
        <v>931.0</v>
      </c>
      <c r="C1316" s="1">
        <v>4.0</v>
      </c>
      <c r="D1316" s="4">
        <v>43094.0</v>
      </c>
      <c r="E1316" s="4">
        <v>43096.0</v>
      </c>
      <c r="F1316" s="4">
        <v>43097.0</v>
      </c>
      <c r="G1316" s="1">
        <v>3.0</v>
      </c>
      <c r="H1316" s="1">
        <v>9.0</v>
      </c>
      <c r="I1316" s="3" t="str">
        <f>VLOOKUP(B1316,Customers!A:J, 10,FALSE)</f>
        <v>Porter Bass</v>
      </c>
      <c r="J1316" s="3" t="str">
        <f>VLOOKUP(B1316,Customers!A:J,8,FALSE)</f>
        <v>TX</v>
      </c>
      <c r="K1316" s="3" t="str">
        <f>VLOOKUP(B1316,Customers!A:J,7,FALSE)</f>
        <v>San Angelo</v>
      </c>
      <c r="L1316" s="3" t="str">
        <f>VLOOKUP(H1316,Staff!A:I,9,FALSE)</f>
        <v>Layla Terrell</v>
      </c>
      <c r="M1316" s="3" t="str">
        <f>VLOOKUP(G1316,Store!A:H,2,FALSE)</f>
        <v>Rowlett Bikes</v>
      </c>
      <c r="N1316" s="3" t="str">
        <f>VLOOKUP(G1316,Store!A:H,6,FALSE)</f>
        <v>Rowlett</v>
      </c>
      <c r="O1316" s="3" t="s">
        <v>17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">
        <v>1316.0</v>
      </c>
      <c r="B1317" s="1">
        <v>846.0</v>
      </c>
      <c r="C1317" s="1">
        <v>4.0</v>
      </c>
      <c r="D1317" s="4">
        <v>43095.0</v>
      </c>
      <c r="E1317" s="4">
        <v>43098.0</v>
      </c>
      <c r="F1317" s="4">
        <v>43096.0</v>
      </c>
      <c r="G1317" s="1">
        <v>1.0</v>
      </c>
      <c r="H1317" s="1">
        <v>3.0</v>
      </c>
      <c r="I1317" s="3" t="str">
        <f>VLOOKUP(B1317,Customers!A:J, 10,FALSE)</f>
        <v>Sylvester Chan</v>
      </c>
      <c r="J1317" s="3" t="str">
        <f>VLOOKUP(B1317,Customers!A:J,8,FALSE)</f>
        <v>CA</v>
      </c>
      <c r="K1317" s="3" t="str">
        <f>VLOOKUP(B1317,Customers!A:J,7,FALSE)</f>
        <v>Rocklin</v>
      </c>
      <c r="L1317" s="3" t="str">
        <f>VLOOKUP(H1317,Staff!A:I,9,FALSE)</f>
        <v>Genna Serrano</v>
      </c>
      <c r="M1317" s="3" t="str">
        <f>VLOOKUP(G1317,Store!A:H,2,FALSE)</f>
        <v>Santa Cruz Bikes</v>
      </c>
      <c r="N1317" s="3" t="str">
        <f>VLOOKUP(G1317,Store!A:H,6,FALSE)</f>
        <v>Santa Cruz</v>
      </c>
      <c r="O1317" s="3" t="s">
        <v>15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">
        <v>1317.0</v>
      </c>
      <c r="B1318" s="1">
        <v>418.0</v>
      </c>
      <c r="C1318" s="1">
        <v>4.0</v>
      </c>
      <c r="D1318" s="4">
        <v>43096.0</v>
      </c>
      <c r="E1318" s="4">
        <v>43097.0</v>
      </c>
      <c r="F1318" s="4">
        <v>43098.0</v>
      </c>
      <c r="G1318" s="1">
        <v>1.0</v>
      </c>
      <c r="H1318" s="1">
        <v>3.0</v>
      </c>
      <c r="I1318" s="3" t="str">
        <f>VLOOKUP(B1318,Customers!A:J, 10,FALSE)</f>
        <v>Georgeanna Webster</v>
      </c>
      <c r="J1318" s="3" t="str">
        <f>VLOOKUP(B1318,Customers!A:J,8,FALSE)</f>
        <v>CA</v>
      </c>
      <c r="K1318" s="3" t="str">
        <f>VLOOKUP(B1318,Customers!A:J,7,FALSE)</f>
        <v>Oxnard</v>
      </c>
      <c r="L1318" s="3" t="str">
        <f>VLOOKUP(H1318,Staff!A:I,9,FALSE)</f>
        <v>Genna Serrano</v>
      </c>
      <c r="M1318" s="3" t="str">
        <f>VLOOKUP(G1318,Store!A:H,2,FALSE)</f>
        <v>Santa Cruz Bikes</v>
      </c>
      <c r="N1318" s="3" t="str">
        <f>VLOOKUP(G1318,Store!A:H,6,FALSE)</f>
        <v>Santa Cruz</v>
      </c>
      <c r="O1318" s="3" t="s">
        <v>15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">
        <v>1318.0</v>
      </c>
      <c r="B1319" s="1">
        <v>75.0</v>
      </c>
      <c r="C1319" s="1">
        <v>4.0</v>
      </c>
      <c r="D1319" s="4">
        <v>43096.0</v>
      </c>
      <c r="E1319" s="4">
        <v>43099.0</v>
      </c>
      <c r="F1319" s="4">
        <v>43098.0</v>
      </c>
      <c r="G1319" s="1">
        <v>2.0</v>
      </c>
      <c r="H1319" s="1">
        <v>6.0</v>
      </c>
      <c r="I1319" s="3" t="str">
        <f>VLOOKUP(B1319,Customers!A:J, 10,FALSE)</f>
        <v>Abby Gamble</v>
      </c>
      <c r="J1319" s="3" t="str">
        <f>VLOOKUP(B1319,Customers!A:J,8,FALSE)</f>
        <v>NY</v>
      </c>
      <c r="K1319" s="3" t="str">
        <f>VLOOKUP(B1319,Customers!A:J,7,FALSE)</f>
        <v>Amityville</v>
      </c>
      <c r="L1319" s="3" t="str">
        <f>VLOOKUP(H1319,Staff!A:I,9,FALSE)</f>
        <v>Marcelene Boyer</v>
      </c>
      <c r="M1319" s="3" t="str">
        <f>VLOOKUP(G1319,Store!A:H,2,FALSE)</f>
        <v>Baldwin Bikes</v>
      </c>
      <c r="N1319" s="3" t="str">
        <f>VLOOKUP(G1319,Store!A:H,6,FALSE)</f>
        <v>Baldwin</v>
      </c>
      <c r="O1319" s="3" t="s">
        <v>16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">
        <v>1319.0</v>
      </c>
      <c r="B1320" s="1">
        <v>604.0</v>
      </c>
      <c r="C1320" s="1">
        <v>4.0</v>
      </c>
      <c r="D1320" s="4">
        <v>43096.0</v>
      </c>
      <c r="E1320" s="4">
        <v>43099.0</v>
      </c>
      <c r="F1320" s="4">
        <v>43099.0</v>
      </c>
      <c r="G1320" s="1">
        <v>2.0</v>
      </c>
      <c r="H1320" s="1">
        <v>6.0</v>
      </c>
      <c r="I1320" s="3" t="str">
        <f>VLOOKUP(B1320,Customers!A:J, 10,FALSE)</f>
        <v>Kylee Dickson</v>
      </c>
      <c r="J1320" s="3" t="str">
        <f>VLOOKUP(B1320,Customers!A:J,8,FALSE)</f>
        <v>NY</v>
      </c>
      <c r="K1320" s="3" t="str">
        <f>VLOOKUP(B1320,Customers!A:J,7,FALSE)</f>
        <v>Amityville</v>
      </c>
      <c r="L1320" s="3" t="str">
        <f>VLOOKUP(H1320,Staff!A:I,9,FALSE)</f>
        <v>Marcelene Boyer</v>
      </c>
      <c r="M1320" s="3" t="str">
        <f>VLOOKUP(G1320,Store!A:H,2,FALSE)</f>
        <v>Baldwin Bikes</v>
      </c>
      <c r="N1320" s="3" t="str">
        <f>VLOOKUP(G1320,Store!A:H,6,FALSE)</f>
        <v>Baldwin</v>
      </c>
      <c r="O1320" s="3" t="s">
        <v>16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">
        <v>1320.0</v>
      </c>
      <c r="B1321" s="1">
        <v>244.0</v>
      </c>
      <c r="C1321" s="1">
        <v>4.0</v>
      </c>
      <c r="D1321" s="4">
        <v>43097.0</v>
      </c>
      <c r="E1321" s="4">
        <v>43099.0</v>
      </c>
      <c r="F1321" s="4">
        <v>43098.0</v>
      </c>
      <c r="G1321" s="1">
        <v>1.0</v>
      </c>
      <c r="H1321" s="1">
        <v>3.0</v>
      </c>
      <c r="I1321" s="3" t="str">
        <f>VLOOKUP(B1321,Customers!A:J, 10,FALSE)</f>
        <v>Jessika Bray</v>
      </c>
      <c r="J1321" s="3" t="str">
        <f>VLOOKUP(B1321,Customers!A:J,8,FALSE)</f>
        <v>CA</v>
      </c>
      <c r="K1321" s="3" t="str">
        <f>VLOOKUP(B1321,Customers!A:J,7,FALSE)</f>
        <v>San Pablo</v>
      </c>
      <c r="L1321" s="3" t="str">
        <f>VLOOKUP(H1321,Staff!A:I,9,FALSE)</f>
        <v>Genna Serrano</v>
      </c>
      <c r="M1321" s="3" t="str">
        <f>VLOOKUP(G1321,Store!A:H,2,FALSE)</f>
        <v>Santa Cruz Bikes</v>
      </c>
      <c r="N1321" s="3" t="str">
        <f>VLOOKUP(G1321,Store!A:H,6,FALSE)</f>
        <v>Santa Cruz</v>
      </c>
      <c r="O1321" s="3" t="s">
        <v>15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">
        <v>1321.0</v>
      </c>
      <c r="B1322" s="1">
        <v>217.0</v>
      </c>
      <c r="C1322" s="1">
        <v>4.0</v>
      </c>
      <c r="D1322" s="4">
        <v>43099.0</v>
      </c>
      <c r="E1322" s="4">
        <v>43100.0</v>
      </c>
      <c r="F1322" s="4">
        <v>43100.0</v>
      </c>
      <c r="G1322" s="1">
        <v>1.0</v>
      </c>
      <c r="H1322" s="1">
        <v>3.0</v>
      </c>
      <c r="I1322" s="3" t="str">
        <f>VLOOKUP(B1322,Customers!A:J, 10,FALSE)</f>
        <v>Carline Collier</v>
      </c>
      <c r="J1322" s="3" t="str">
        <f>VLOOKUP(B1322,Customers!A:J,8,FALSE)</f>
        <v>CA</v>
      </c>
      <c r="K1322" s="3" t="str">
        <f>VLOOKUP(B1322,Customers!A:J,7,FALSE)</f>
        <v>Fresno</v>
      </c>
      <c r="L1322" s="3" t="str">
        <f>VLOOKUP(H1322,Staff!A:I,9,FALSE)</f>
        <v>Genna Serrano</v>
      </c>
      <c r="M1322" s="3" t="str">
        <f>VLOOKUP(G1322,Store!A:H,2,FALSE)</f>
        <v>Santa Cruz Bikes</v>
      </c>
      <c r="N1322" s="3" t="str">
        <f>VLOOKUP(G1322,Store!A:H,6,FALSE)</f>
        <v>Santa Cruz</v>
      </c>
      <c r="O1322" s="3" t="s">
        <v>15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">
        <v>1322.0</v>
      </c>
      <c r="B1323" s="1">
        <v>39.0</v>
      </c>
      <c r="C1323" s="1">
        <v>4.0</v>
      </c>
      <c r="D1323" s="4">
        <v>43100.0</v>
      </c>
      <c r="E1323" s="4">
        <v>43103.0</v>
      </c>
      <c r="F1323" s="4">
        <v>43102.0</v>
      </c>
      <c r="G1323" s="1">
        <v>2.0</v>
      </c>
      <c r="H1323" s="1">
        <v>7.0</v>
      </c>
      <c r="I1323" s="3" t="str">
        <f>VLOOKUP(B1323,Customers!A:J, 10,FALSE)</f>
        <v>Janetta Aguirre</v>
      </c>
      <c r="J1323" s="3" t="str">
        <f>VLOOKUP(B1323,Customers!A:J,8,FALSE)</f>
        <v>NY</v>
      </c>
      <c r="K1323" s="3" t="str">
        <f>VLOOKUP(B1323,Customers!A:J,7,FALSE)</f>
        <v>Lancaster</v>
      </c>
      <c r="L1323" s="3" t="str">
        <f>VLOOKUP(H1323,Staff!A:I,9,FALSE)</f>
        <v>Venita Daniel</v>
      </c>
      <c r="M1323" s="3" t="str">
        <f>VLOOKUP(G1323,Store!A:H,2,FALSE)</f>
        <v>Baldwin Bikes</v>
      </c>
      <c r="N1323" s="3" t="str">
        <f>VLOOKUP(G1323,Store!A:H,6,FALSE)</f>
        <v>Baldwin</v>
      </c>
      <c r="O1323" s="3" t="s">
        <v>16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">
        <v>1323.0</v>
      </c>
      <c r="B1324" s="1">
        <v>273.0</v>
      </c>
      <c r="C1324" s="1">
        <v>4.0</v>
      </c>
      <c r="D1324" s="4">
        <v>43100.0</v>
      </c>
      <c r="E1324" s="4">
        <v>43101.0</v>
      </c>
      <c r="F1324" s="4">
        <v>43101.0</v>
      </c>
      <c r="G1324" s="1">
        <v>2.0</v>
      </c>
      <c r="H1324" s="1">
        <v>6.0</v>
      </c>
      <c r="I1324" s="3" t="str">
        <f>VLOOKUP(B1324,Customers!A:J, 10,FALSE)</f>
        <v>Queenie Vance</v>
      </c>
      <c r="J1324" s="3" t="str">
        <f>VLOOKUP(B1324,Customers!A:J,8,FALSE)</f>
        <v>NY</v>
      </c>
      <c r="K1324" s="3" t="str">
        <f>VLOOKUP(B1324,Customers!A:J,7,FALSE)</f>
        <v>Ozone Park</v>
      </c>
      <c r="L1324" s="3" t="str">
        <f>VLOOKUP(H1324,Staff!A:I,9,FALSE)</f>
        <v>Marcelene Boyer</v>
      </c>
      <c r="M1324" s="3" t="str">
        <f>VLOOKUP(G1324,Store!A:H,2,FALSE)</f>
        <v>Baldwin Bikes</v>
      </c>
      <c r="N1324" s="3" t="str">
        <f>VLOOKUP(G1324,Store!A:H,6,FALSE)</f>
        <v>Baldwin</v>
      </c>
      <c r="O1324" s="3" t="s">
        <v>16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">
        <v>1324.0</v>
      </c>
      <c r="B1325" s="1">
        <v>862.0</v>
      </c>
      <c r="C1325" s="1">
        <v>4.0</v>
      </c>
      <c r="D1325" s="4">
        <v>43101.0</v>
      </c>
      <c r="E1325" s="4">
        <v>43104.0</v>
      </c>
      <c r="F1325" s="4">
        <v>43103.0</v>
      </c>
      <c r="G1325" s="1">
        <v>2.0</v>
      </c>
      <c r="H1325" s="1">
        <v>6.0</v>
      </c>
      <c r="I1325" s="3" t="str">
        <f>VLOOKUP(B1325,Customers!A:J, 10,FALSE)</f>
        <v>Mellie Puckett</v>
      </c>
      <c r="J1325" s="3" t="str">
        <f>VLOOKUP(B1325,Customers!A:J,8,FALSE)</f>
        <v>NY</v>
      </c>
      <c r="K1325" s="3" t="str">
        <f>VLOOKUP(B1325,Customers!A:J,7,FALSE)</f>
        <v>Fresh Meadows</v>
      </c>
      <c r="L1325" s="3" t="str">
        <f>VLOOKUP(H1325,Staff!A:I,9,FALSE)</f>
        <v>Marcelene Boyer</v>
      </c>
      <c r="M1325" s="3" t="str">
        <f>VLOOKUP(G1325,Store!A:H,2,FALSE)</f>
        <v>Baldwin Bikes</v>
      </c>
      <c r="N1325" s="3" t="str">
        <f>VLOOKUP(G1325,Store!A:H,6,FALSE)</f>
        <v>Baldwin</v>
      </c>
      <c r="O1325" s="3" t="s">
        <v>16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">
        <v>1325.0</v>
      </c>
      <c r="B1326" s="1">
        <v>68.0</v>
      </c>
      <c r="C1326" s="1">
        <v>4.0</v>
      </c>
      <c r="D1326" s="4">
        <v>43101.0</v>
      </c>
      <c r="E1326" s="4">
        <v>43102.0</v>
      </c>
      <c r="F1326" s="4">
        <v>43103.0</v>
      </c>
      <c r="G1326" s="1">
        <v>3.0</v>
      </c>
      <c r="H1326" s="1">
        <v>8.0</v>
      </c>
      <c r="I1326" s="3" t="str">
        <f>VLOOKUP(B1326,Customers!A:J, 10,FALSE)</f>
        <v>Jayne Kirkland</v>
      </c>
      <c r="J1326" s="3" t="str">
        <f>VLOOKUP(B1326,Customers!A:J,8,FALSE)</f>
        <v>TX</v>
      </c>
      <c r="K1326" s="3" t="str">
        <f>VLOOKUP(B1326,Customers!A:J,7,FALSE)</f>
        <v>Rowlett</v>
      </c>
      <c r="L1326" s="3" t="str">
        <f>VLOOKUP(H1326,Staff!A:I,9,FALSE)</f>
        <v>Kali Vargas</v>
      </c>
      <c r="M1326" s="3" t="str">
        <f>VLOOKUP(G1326,Store!A:H,2,FALSE)</f>
        <v>Rowlett Bikes</v>
      </c>
      <c r="N1326" s="3" t="str">
        <f>VLOOKUP(G1326,Store!A:H,6,FALSE)</f>
        <v>Rowlett</v>
      </c>
      <c r="O1326" s="3" t="s">
        <v>17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">
        <v>1326.0</v>
      </c>
      <c r="B1327" s="1">
        <v>567.0</v>
      </c>
      <c r="C1327" s="1">
        <v>4.0</v>
      </c>
      <c r="D1327" s="4">
        <v>43101.0</v>
      </c>
      <c r="E1327" s="4">
        <v>43103.0</v>
      </c>
      <c r="F1327" s="4">
        <v>43102.0</v>
      </c>
      <c r="G1327" s="1">
        <v>3.0</v>
      </c>
      <c r="H1327" s="1">
        <v>9.0</v>
      </c>
      <c r="I1327" s="3" t="str">
        <f>VLOOKUP(B1327,Customers!A:J, 10,FALSE)</f>
        <v>Sheila Travis</v>
      </c>
      <c r="J1327" s="3" t="str">
        <f>VLOOKUP(B1327,Customers!A:J,8,FALSE)</f>
        <v>TX</v>
      </c>
      <c r="K1327" s="3" t="str">
        <f>VLOOKUP(B1327,Customers!A:J,7,FALSE)</f>
        <v>Longview</v>
      </c>
      <c r="L1327" s="3" t="str">
        <f>VLOOKUP(H1327,Staff!A:I,9,FALSE)</f>
        <v>Layla Terrell</v>
      </c>
      <c r="M1327" s="3" t="str">
        <f>VLOOKUP(G1327,Store!A:H,2,FALSE)</f>
        <v>Rowlett Bikes</v>
      </c>
      <c r="N1327" s="3" t="str">
        <f>VLOOKUP(G1327,Store!A:H,6,FALSE)</f>
        <v>Rowlett</v>
      </c>
      <c r="O1327" s="3" t="s">
        <v>17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">
        <v>1327.0</v>
      </c>
      <c r="B1328" s="1">
        <v>1026.0</v>
      </c>
      <c r="C1328" s="1">
        <v>4.0</v>
      </c>
      <c r="D1328" s="4">
        <v>43102.0</v>
      </c>
      <c r="E1328" s="4">
        <v>43103.0</v>
      </c>
      <c r="F1328" s="4">
        <v>43105.0</v>
      </c>
      <c r="G1328" s="1">
        <v>2.0</v>
      </c>
      <c r="H1328" s="1">
        <v>6.0</v>
      </c>
      <c r="I1328" s="3" t="str">
        <f>VLOOKUP(B1328,Customers!A:J, 10,FALSE)</f>
        <v>Jenine Dawson</v>
      </c>
      <c r="J1328" s="3" t="str">
        <f>VLOOKUP(B1328,Customers!A:J,8,FALSE)</f>
        <v>NY</v>
      </c>
      <c r="K1328" s="3" t="str">
        <f>VLOOKUP(B1328,Customers!A:J,7,FALSE)</f>
        <v>Endicott</v>
      </c>
      <c r="L1328" s="3" t="str">
        <f>VLOOKUP(H1328,Staff!A:I,9,FALSE)</f>
        <v>Marcelene Boyer</v>
      </c>
      <c r="M1328" s="3" t="str">
        <f>VLOOKUP(G1328,Store!A:H,2,FALSE)</f>
        <v>Baldwin Bikes</v>
      </c>
      <c r="N1328" s="3" t="str">
        <f>VLOOKUP(G1328,Store!A:H,6,FALSE)</f>
        <v>Baldwin</v>
      </c>
      <c r="O1328" s="3" t="s">
        <v>16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">
        <v>1328.0</v>
      </c>
      <c r="B1329" s="1">
        <v>1083.0</v>
      </c>
      <c r="C1329" s="1">
        <v>4.0</v>
      </c>
      <c r="D1329" s="4">
        <v>43102.0</v>
      </c>
      <c r="E1329" s="4">
        <v>43103.0</v>
      </c>
      <c r="F1329" s="4">
        <v>43103.0</v>
      </c>
      <c r="G1329" s="1">
        <v>2.0</v>
      </c>
      <c r="H1329" s="1">
        <v>6.0</v>
      </c>
      <c r="I1329" s="3" t="str">
        <f>VLOOKUP(B1329,Customers!A:J, 10,FALSE)</f>
        <v>Cher Alston</v>
      </c>
      <c r="J1329" s="3" t="str">
        <f>VLOOKUP(B1329,Customers!A:J,8,FALSE)</f>
        <v>NY</v>
      </c>
      <c r="K1329" s="3" t="str">
        <f>VLOOKUP(B1329,Customers!A:J,7,FALSE)</f>
        <v>Wantagh</v>
      </c>
      <c r="L1329" s="3" t="str">
        <f>VLOOKUP(H1329,Staff!A:I,9,FALSE)</f>
        <v>Marcelene Boyer</v>
      </c>
      <c r="M1329" s="3" t="str">
        <f>VLOOKUP(G1329,Store!A:H,2,FALSE)</f>
        <v>Baldwin Bikes</v>
      </c>
      <c r="N1329" s="3" t="str">
        <f>VLOOKUP(G1329,Store!A:H,6,FALSE)</f>
        <v>Baldwin</v>
      </c>
      <c r="O1329" s="3" t="s">
        <v>16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">
        <v>1329.0</v>
      </c>
      <c r="B1330" s="1">
        <v>443.0</v>
      </c>
      <c r="C1330" s="1">
        <v>4.0</v>
      </c>
      <c r="D1330" s="4">
        <v>43104.0</v>
      </c>
      <c r="E1330" s="4">
        <v>43105.0</v>
      </c>
      <c r="F1330" s="4">
        <v>43106.0</v>
      </c>
      <c r="G1330" s="1">
        <v>1.0</v>
      </c>
      <c r="H1330" s="1">
        <v>3.0</v>
      </c>
      <c r="I1330" s="3" t="str">
        <f>VLOOKUP(B1330,Customers!A:J, 10,FALSE)</f>
        <v>Ayana Keith</v>
      </c>
      <c r="J1330" s="3" t="str">
        <f>VLOOKUP(B1330,Customers!A:J,8,FALSE)</f>
        <v>CA</v>
      </c>
      <c r="K1330" s="3" t="str">
        <f>VLOOKUP(B1330,Customers!A:J,7,FALSE)</f>
        <v>Oxnard</v>
      </c>
      <c r="L1330" s="3" t="str">
        <f>VLOOKUP(H1330,Staff!A:I,9,FALSE)</f>
        <v>Genna Serrano</v>
      </c>
      <c r="M1330" s="3" t="str">
        <f>VLOOKUP(G1330,Store!A:H,2,FALSE)</f>
        <v>Santa Cruz Bikes</v>
      </c>
      <c r="N1330" s="3" t="str">
        <f>VLOOKUP(G1330,Store!A:H,6,FALSE)</f>
        <v>Santa Cruz</v>
      </c>
      <c r="O1330" s="3" t="s">
        <v>15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">
        <v>1330.0</v>
      </c>
      <c r="B1331" s="1">
        <v>761.0</v>
      </c>
      <c r="C1331" s="1">
        <v>4.0</v>
      </c>
      <c r="D1331" s="4">
        <v>43104.0</v>
      </c>
      <c r="E1331" s="4">
        <v>43105.0</v>
      </c>
      <c r="F1331" s="4">
        <v>43107.0</v>
      </c>
      <c r="G1331" s="1">
        <v>2.0</v>
      </c>
      <c r="H1331" s="1">
        <v>7.0</v>
      </c>
      <c r="I1331" s="3" t="str">
        <f>VLOOKUP(B1331,Customers!A:J, 10,FALSE)</f>
        <v>Rod Hatfield</v>
      </c>
      <c r="J1331" s="3" t="str">
        <f>VLOOKUP(B1331,Customers!A:J,8,FALSE)</f>
        <v>NY</v>
      </c>
      <c r="K1331" s="3" t="str">
        <f>VLOOKUP(B1331,Customers!A:J,7,FALSE)</f>
        <v>Ronkonkoma</v>
      </c>
      <c r="L1331" s="3" t="str">
        <f>VLOOKUP(H1331,Staff!A:I,9,FALSE)</f>
        <v>Venita Daniel</v>
      </c>
      <c r="M1331" s="3" t="str">
        <f>VLOOKUP(G1331,Store!A:H,2,FALSE)</f>
        <v>Baldwin Bikes</v>
      </c>
      <c r="N1331" s="3" t="str">
        <f>VLOOKUP(G1331,Store!A:H,6,FALSE)</f>
        <v>Baldwin</v>
      </c>
      <c r="O1331" s="3" t="s">
        <v>16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">
        <v>1331.0</v>
      </c>
      <c r="B1332" s="1">
        <v>1122.0</v>
      </c>
      <c r="C1332" s="1">
        <v>4.0</v>
      </c>
      <c r="D1332" s="4">
        <v>43105.0</v>
      </c>
      <c r="E1332" s="4">
        <v>43106.0</v>
      </c>
      <c r="F1332" s="4">
        <v>43108.0</v>
      </c>
      <c r="G1332" s="1">
        <v>2.0</v>
      </c>
      <c r="H1332" s="1">
        <v>6.0</v>
      </c>
      <c r="I1332" s="3" t="str">
        <f>VLOOKUP(B1332,Customers!A:J, 10,FALSE)</f>
        <v>Cicely Deleon</v>
      </c>
      <c r="J1332" s="3" t="str">
        <f>VLOOKUP(B1332,Customers!A:J,8,FALSE)</f>
        <v>NY</v>
      </c>
      <c r="K1332" s="3" t="str">
        <f>VLOOKUP(B1332,Customers!A:J,7,FALSE)</f>
        <v>Massapequa Park</v>
      </c>
      <c r="L1332" s="3" t="str">
        <f>VLOOKUP(H1332,Staff!A:I,9,FALSE)</f>
        <v>Marcelene Boyer</v>
      </c>
      <c r="M1332" s="3" t="str">
        <f>VLOOKUP(G1332,Store!A:H,2,FALSE)</f>
        <v>Baldwin Bikes</v>
      </c>
      <c r="N1332" s="3" t="str">
        <f>VLOOKUP(G1332,Store!A:H,6,FALSE)</f>
        <v>Baldwin</v>
      </c>
      <c r="O1332" s="3" t="s">
        <v>16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">
        <v>1332.0</v>
      </c>
      <c r="B1333" s="1">
        <v>256.0</v>
      </c>
      <c r="C1333" s="1">
        <v>4.0</v>
      </c>
      <c r="D1333" s="4">
        <v>43106.0</v>
      </c>
      <c r="E1333" s="4">
        <v>43107.0</v>
      </c>
      <c r="F1333" s="4">
        <v>43109.0</v>
      </c>
      <c r="G1333" s="1">
        <v>2.0</v>
      </c>
      <c r="H1333" s="1">
        <v>7.0</v>
      </c>
      <c r="I1333" s="3" t="str">
        <f>VLOOKUP(B1333,Customers!A:J, 10,FALSE)</f>
        <v>Erma Salinas</v>
      </c>
      <c r="J1333" s="3" t="str">
        <f>VLOOKUP(B1333,Customers!A:J,8,FALSE)</f>
        <v>NY</v>
      </c>
      <c r="K1333" s="3" t="str">
        <f>VLOOKUP(B1333,Customers!A:J,7,FALSE)</f>
        <v>Merrick</v>
      </c>
      <c r="L1333" s="3" t="str">
        <f>VLOOKUP(H1333,Staff!A:I,9,FALSE)</f>
        <v>Venita Daniel</v>
      </c>
      <c r="M1333" s="3" t="str">
        <f>VLOOKUP(G1333,Store!A:H,2,FALSE)</f>
        <v>Baldwin Bikes</v>
      </c>
      <c r="N1333" s="3" t="str">
        <f>VLOOKUP(G1333,Store!A:H,6,FALSE)</f>
        <v>Baldwin</v>
      </c>
      <c r="O1333" s="3" t="s">
        <v>16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">
        <v>1333.0</v>
      </c>
      <c r="B1334" s="1">
        <v>203.0</v>
      </c>
      <c r="C1334" s="1">
        <v>4.0</v>
      </c>
      <c r="D1334" s="4">
        <v>43106.0</v>
      </c>
      <c r="E1334" s="4">
        <v>43107.0</v>
      </c>
      <c r="F1334" s="4">
        <v>43107.0</v>
      </c>
      <c r="G1334" s="1">
        <v>3.0</v>
      </c>
      <c r="H1334" s="1">
        <v>8.0</v>
      </c>
      <c r="I1334" s="3" t="str">
        <f>VLOOKUP(B1334,Customers!A:J, 10,FALSE)</f>
        <v>Minerva Decker</v>
      </c>
      <c r="J1334" s="3" t="str">
        <f>VLOOKUP(B1334,Customers!A:J,8,FALSE)</f>
        <v>TX</v>
      </c>
      <c r="K1334" s="3" t="str">
        <f>VLOOKUP(B1334,Customers!A:J,7,FALSE)</f>
        <v>Houston</v>
      </c>
      <c r="L1334" s="3" t="str">
        <f>VLOOKUP(H1334,Staff!A:I,9,FALSE)</f>
        <v>Kali Vargas</v>
      </c>
      <c r="M1334" s="3" t="str">
        <f>VLOOKUP(G1334,Store!A:H,2,FALSE)</f>
        <v>Rowlett Bikes</v>
      </c>
      <c r="N1334" s="3" t="str">
        <f>VLOOKUP(G1334,Store!A:H,6,FALSE)</f>
        <v>Rowlett</v>
      </c>
      <c r="O1334" s="3" t="s">
        <v>17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">
        <v>1334.0</v>
      </c>
      <c r="B1335" s="1">
        <v>425.0</v>
      </c>
      <c r="C1335" s="1">
        <v>4.0</v>
      </c>
      <c r="D1335" s="4">
        <v>43107.0</v>
      </c>
      <c r="E1335" s="4">
        <v>43109.0</v>
      </c>
      <c r="F1335" s="4">
        <v>43110.0</v>
      </c>
      <c r="G1335" s="1">
        <v>2.0</v>
      </c>
      <c r="H1335" s="1">
        <v>6.0</v>
      </c>
      <c r="I1335" s="3" t="str">
        <f>VLOOKUP(B1335,Customers!A:J, 10,FALSE)</f>
        <v>Augustina Joyner</v>
      </c>
      <c r="J1335" s="3" t="str">
        <f>VLOOKUP(B1335,Customers!A:J,8,FALSE)</f>
        <v>NY</v>
      </c>
      <c r="K1335" s="3" t="str">
        <f>VLOOKUP(B1335,Customers!A:J,7,FALSE)</f>
        <v>Mount Vernon</v>
      </c>
      <c r="L1335" s="3" t="str">
        <f>VLOOKUP(H1335,Staff!A:I,9,FALSE)</f>
        <v>Marcelene Boyer</v>
      </c>
      <c r="M1335" s="3" t="str">
        <f>VLOOKUP(G1335,Store!A:H,2,FALSE)</f>
        <v>Baldwin Bikes</v>
      </c>
      <c r="N1335" s="3" t="str">
        <f>VLOOKUP(G1335,Store!A:H,6,FALSE)</f>
        <v>Baldwin</v>
      </c>
      <c r="O1335" s="3" t="s">
        <v>16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">
        <v>1335.0</v>
      </c>
      <c r="B1336" s="1">
        <v>955.0</v>
      </c>
      <c r="C1336" s="1">
        <v>4.0</v>
      </c>
      <c r="D1336" s="4">
        <v>43107.0</v>
      </c>
      <c r="E1336" s="4">
        <v>43108.0</v>
      </c>
      <c r="F1336" s="4">
        <v>43108.0</v>
      </c>
      <c r="G1336" s="1">
        <v>2.0</v>
      </c>
      <c r="H1336" s="1">
        <v>7.0</v>
      </c>
      <c r="I1336" s="3" t="str">
        <f>VLOOKUP(B1336,Customers!A:J, 10,FALSE)</f>
        <v>Delfina Gilliam</v>
      </c>
      <c r="J1336" s="3" t="str">
        <f>VLOOKUP(B1336,Customers!A:J,8,FALSE)</f>
        <v>NY</v>
      </c>
      <c r="K1336" s="3" t="str">
        <f>VLOOKUP(B1336,Customers!A:J,7,FALSE)</f>
        <v>West Babylon</v>
      </c>
      <c r="L1336" s="3" t="str">
        <f>VLOOKUP(H1336,Staff!A:I,9,FALSE)</f>
        <v>Venita Daniel</v>
      </c>
      <c r="M1336" s="3" t="str">
        <f>VLOOKUP(G1336,Store!A:H,2,FALSE)</f>
        <v>Baldwin Bikes</v>
      </c>
      <c r="N1336" s="3" t="str">
        <f>VLOOKUP(G1336,Store!A:H,6,FALSE)</f>
        <v>Baldwin</v>
      </c>
      <c r="O1336" s="3" t="s">
        <v>16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">
        <v>1336.0</v>
      </c>
      <c r="B1337" s="1">
        <v>904.0</v>
      </c>
      <c r="C1337" s="1">
        <v>4.0</v>
      </c>
      <c r="D1337" s="4">
        <v>43109.0</v>
      </c>
      <c r="E1337" s="4">
        <v>43110.0</v>
      </c>
      <c r="F1337" s="4">
        <v>43112.0</v>
      </c>
      <c r="G1337" s="1">
        <v>1.0</v>
      </c>
      <c r="H1337" s="1">
        <v>2.0</v>
      </c>
      <c r="I1337" s="3" t="str">
        <f>VLOOKUP(B1337,Customers!A:J, 10,FALSE)</f>
        <v>Jana Thomas</v>
      </c>
      <c r="J1337" s="3" t="str">
        <f>VLOOKUP(B1337,Customers!A:J,8,FALSE)</f>
        <v>CA</v>
      </c>
      <c r="K1337" s="3" t="str">
        <f>VLOOKUP(B1337,Customers!A:J,7,FALSE)</f>
        <v>San Jose</v>
      </c>
      <c r="L1337" s="3" t="str">
        <f>VLOOKUP(H1337,Staff!A:I,9,FALSE)</f>
        <v>Mireya Copeland</v>
      </c>
      <c r="M1337" s="3" t="str">
        <f>VLOOKUP(G1337,Store!A:H,2,FALSE)</f>
        <v>Santa Cruz Bikes</v>
      </c>
      <c r="N1337" s="3" t="str">
        <f>VLOOKUP(G1337,Store!A:H,6,FALSE)</f>
        <v>Santa Cruz</v>
      </c>
      <c r="O1337" s="3" t="s">
        <v>15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">
        <v>1337.0</v>
      </c>
      <c r="B1338" s="1">
        <v>970.0</v>
      </c>
      <c r="C1338" s="1">
        <v>4.0</v>
      </c>
      <c r="D1338" s="4">
        <v>43109.0</v>
      </c>
      <c r="E1338" s="4">
        <v>43112.0</v>
      </c>
      <c r="F1338" s="4">
        <v>43112.0</v>
      </c>
      <c r="G1338" s="1">
        <v>2.0</v>
      </c>
      <c r="H1338" s="1">
        <v>7.0</v>
      </c>
      <c r="I1338" s="3" t="str">
        <f>VLOOKUP(B1338,Customers!A:J, 10,FALSE)</f>
        <v>Ruth Horton</v>
      </c>
      <c r="J1338" s="3" t="str">
        <f>VLOOKUP(B1338,Customers!A:J,8,FALSE)</f>
        <v>NY</v>
      </c>
      <c r="K1338" s="3" t="str">
        <f>VLOOKUP(B1338,Customers!A:J,7,FALSE)</f>
        <v>Hollis</v>
      </c>
      <c r="L1338" s="3" t="str">
        <f>VLOOKUP(H1338,Staff!A:I,9,FALSE)</f>
        <v>Venita Daniel</v>
      </c>
      <c r="M1338" s="3" t="str">
        <f>VLOOKUP(G1338,Store!A:H,2,FALSE)</f>
        <v>Baldwin Bikes</v>
      </c>
      <c r="N1338" s="3" t="str">
        <f>VLOOKUP(G1338,Store!A:H,6,FALSE)</f>
        <v>Baldwin</v>
      </c>
      <c r="O1338" s="3" t="s">
        <v>16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">
        <v>1338.0</v>
      </c>
      <c r="B1339" s="1">
        <v>905.0</v>
      </c>
      <c r="C1339" s="1">
        <v>4.0</v>
      </c>
      <c r="D1339" s="4">
        <v>43110.0</v>
      </c>
      <c r="E1339" s="4">
        <v>43111.0</v>
      </c>
      <c r="F1339" s="4">
        <v>43113.0</v>
      </c>
      <c r="G1339" s="1">
        <v>2.0</v>
      </c>
      <c r="H1339" s="1">
        <v>6.0</v>
      </c>
      <c r="I1339" s="3" t="str">
        <f>VLOOKUP(B1339,Customers!A:J, 10,FALSE)</f>
        <v>Hae Ramirez</v>
      </c>
      <c r="J1339" s="3" t="str">
        <f>VLOOKUP(B1339,Customers!A:J,8,FALSE)</f>
        <v>NY</v>
      </c>
      <c r="K1339" s="3" t="str">
        <f>VLOOKUP(B1339,Customers!A:J,7,FALSE)</f>
        <v>Baldwinsville</v>
      </c>
      <c r="L1339" s="3" t="str">
        <f>VLOOKUP(H1339,Staff!A:I,9,FALSE)</f>
        <v>Marcelene Boyer</v>
      </c>
      <c r="M1339" s="3" t="str">
        <f>VLOOKUP(G1339,Store!A:H,2,FALSE)</f>
        <v>Baldwin Bikes</v>
      </c>
      <c r="N1339" s="3" t="str">
        <f>VLOOKUP(G1339,Store!A:H,6,FALSE)</f>
        <v>Baldwin</v>
      </c>
      <c r="O1339" s="3" t="s">
        <v>16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">
        <v>1339.0</v>
      </c>
      <c r="B1340" s="1">
        <v>580.0</v>
      </c>
      <c r="C1340" s="1">
        <v>4.0</v>
      </c>
      <c r="D1340" s="4">
        <v>43111.0</v>
      </c>
      <c r="E1340" s="4">
        <v>43114.0</v>
      </c>
      <c r="F1340" s="4">
        <v>43113.0</v>
      </c>
      <c r="G1340" s="1">
        <v>1.0</v>
      </c>
      <c r="H1340" s="1">
        <v>3.0</v>
      </c>
      <c r="I1340" s="3" t="str">
        <f>VLOOKUP(B1340,Customers!A:J, 10,FALSE)</f>
        <v>Mellisa Kim</v>
      </c>
      <c r="J1340" s="3" t="str">
        <f>VLOOKUP(B1340,Customers!A:J,8,FALSE)</f>
        <v>CA</v>
      </c>
      <c r="K1340" s="3" t="str">
        <f>VLOOKUP(B1340,Customers!A:J,7,FALSE)</f>
        <v>Los Angeles</v>
      </c>
      <c r="L1340" s="3" t="str">
        <f>VLOOKUP(H1340,Staff!A:I,9,FALSE)</f>
        <v>Genna Serrano</v>
      </c>
      <c r="M1340" s="3" t="str">
        <f>VLOOKUP(G1340,Store!A:H,2,FALSE)</f>
        <v>Santa Cruz Bikes</v>
      </c>
      <c r="N1340" s="3" t="str">
        <f>VLOOKUP(G1340,Store!A:H,6,FALSE)</f>
        <v>Santa Cruz</v>
      </c>
      <c r="O1340" s="3" t="s">
        <v>15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">
        <v>1340.0</v>
      </c>
      <c r="B1341" s="1">
        <v>1066.0</v>
      </c>
      <c r="C1341" s="1">
        <v>4.0</v>
      </c>
      <c r="D1341" s="4">
        <v>43112.0</v>
      </c>
      <c r="E1341" s="4">
        <v>43113.0</v>
      </c>
      <c r="F1341" s="4">
        <v>43113.0</v>
      </c>
      <c r="G1341" s="1">
        <v>1.0</v>
      </c>
      <c r="H1341" s="1">
        <v>3.0</v>
      </c>
      <c r="I1341" s="3" t="str">
        <f>VLOOKUP(B1341,Customers!A:J, 10,FALSE)</f>
        <v>Raeann Duncan</v>
      </c>
      <c r="J1341" s="3" t="str">
        <f>VLOOKUP(B1341,Customers!A:J,8,FALSE)</f>
        <v>CA</v>
      </c>
      <c r="K1341" s="3" t="str">
        <f>VLOOKUP(B1341,Customers!A:J,7,FALSE)</f>
        <v>Anaheim</v>
      </c>
      <c r="L1341" s="3" t="str">
        <f>VLOOKUP(H1341,Staff!A:I,9,FALSE)</f>
        <v>Genna Serrano</v>
      </c>
      <c r="M1341" s="3" t="str">
        <f>VLOOKUP(G1341,Store!A:H,2,FALSE)</f>
        <v>Santa Cruz Bikes</v>
      </c>
      <c r="N1341" s="3" t="str">
        <f>VLOOKUP(G1341,Store!A:H,6,FALSE)</f>
        <v>Santa Cruz</v>
      </c>
      <c r="O1341" s="3" t="s">
        <v>15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">
        <v>1341.0</v>
      </c>
      <c r="B1342" s="1">
        <v>1258.0</v>
      </c>
      <c r="C1342" s="1">
        <v>4.0</v>
      </c>
      <c r="D1342" s="4">
        <v>43112.0</v>
      </c>
      <c r="E1342" s="4">
        <v>43113.0</v>
      </c>
      <c r="F1342" s="4">
        <v>43114.0</v>
      </c>
      <c r="G1342" s="1">
        <v>2.0</v>
      </c>
      <c r="H1342" s="1">
        <v>7.0</v>
      </c>
      <c r="I1342" s="3" t="str">
        <f>VLOOKUP(B1342,Customers!A:J, 10,FALSE)</f>
        <v>Todd Waters</v>
      </c>
      <c r="J1342" s="3" t="str">
        <f>VLOOKUP(B1342,Customers!A:J,8,FALSE)</f>
        <v>NY</v>
      </c>
      <c r="K1342" s="3" t="str">
        <f>VLOOKUP(B1342,Customers!A:J,7,FALSE)</f>
        <v>Bay Shore</v>
      </c>
      <c r="L1342" s="3" t="str">
        <f>VLOOKUP(H1342,Staff!A:I,9,FALSE)</f>
        <v>Venita Daniel</v>
      </c>
      <c r="M1342" s="3" t="str">
        <f>VLOOKUP(G1342,Store!A:H,2,FALSE)</f>
        <v>Baldwin Bikes</v>
      </c>
      <c r="N1342" s="3" t="str">
        <f>VLOOKUP(G1342,Store!A:H,6,FALSE)</f>
        <v>Baldwin</v>
      </c>
      <c r="O1342" s="3" t="s">
        <v>16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">
        <v>1342.0</v>
      </c>
      <c r="B1343" s="1">
        <v>1393.0</v>
      </c>
      <c r="C1343" s="1">
        <v>4.0</v>
      </c>
      <c r="D1343" s="4">
        <v>43112.0</v>
      </c>
      <c r="E1343" s="4">
        <v>43113.0</v>
      </c>
      <c r="F1343" s="4">
        <v>43115.0</v>
      </c>
      <c r="G1343" s="1">
        <v>2.0</v>
      </c>
      <c r="H1343" s="1">
        <v>7.0</v>
      </c>
      <c r="I1343" s="3" t="str">
        <f>VLOOKUP(B1343,Customers!A:J, 10,FALSE)</f>
        <v>Vivian Deleon</v>
      </c>
      <c r="J1343" s="3" t="str">
        <f>VLOOKUP(B1343,Customers!A:J,8,FALSE)</f>
        <v>NY</v>
      </c>
      <c r="K1343" s="3" t="str">
        <f>VLOOKUP(B1343,Customers!A:J,7,FALSE)</f>
        <v>Jamaica</v>
      </c>
      <c r="L1343" s="3" t="str">
        <f>VLOOKUP(H1343,Staff!A:I,9,FALSE)</f>
        <v>Venita Daniel</v>
      </c>
      <c r="M1343" s="3" t="str">
        <f>VLOOKUP(G1343,Store!A:H,2,FALSE)</f>
        <v>Baldwin Bikes</v>
      </c>
      <c r="N1343" s="3" t="str">
        <f>VLOOKUP(G1343,Store!A:H,6,FALSE)</f>
        <v>Baldwin</v>
      </c>
      <c r="O1343" s="3" t="s">
        <v>16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">
        <v>1343.0</v>
      </c>
      <c r="B1344" s="1">
        <v>594.0</v>
      </c>
      <c r="C1344" s="1">
        <v>4.0</v>
      </c>
      <c r="D1344" s="4">
        <v>43113.0</v>
      </c>
      <c r="E1344" s="4">
        <v>43115.0</v>
      </c>
      <c r="F1344" s="4">
        <v>43114.0</v>
      </c>
      <c r="G1344" s="1">
        <v>2.0</v>
      </c>
      <c r="H1344" s="1">
        <v>6.0</v>
      </c>
      <c r="I1344" s="3" t="str">
        <f>VLOOKUP(B1344,Customers!A:J, 10,FALSE)</f>
        <v>Deanne Parsons</v>
      </c>
      <c r="J1344" s="3" t="str">
        <f>VLOOKUP(B1344,Customers!A:J,8,FALSE)</f>
        <v>NY</v>
      </c>
      <c r="K1344" s="3" t="str">
        <f>VLOOKUP(B1344,Customers!A:J,7,FALSE)</f>
        <v>Lindenhurst</v>
      </c>
      <c r="L1344" s="3" t="str">
        <f>VLOOKUP(H1344,Staff!A:I,9,FALSE)</f>
        <v>Marcelene Boyer</v>
      </c>
      <c r="M1344" s="3" t="str">
        <f>VLOOKUP(G1344,Store!A:H,2,FALSE)</f>
        <v>Baldwin Bikes</v>
      </c>
      <c r="N1344" s="3" t="str">
        <f>VLOOKUP(G1344,Store!A:H,6,FALSE)</f>
        <v>Baldwin</v>
      </c>
      <c r="O1344" s="3" t="s">
        <v>16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">
        <v>1344.0</v>
      </c>
      <c r="B1345" s="1">
        <v>916.0</v>
      </c>
      <c r="C1345" s="1">
        <v>4.0</v>
      </c>
      <c r="D1345" s="4">
        <v>43113.0</v>
      </c>
      <c r="E1345" s="4">
        <v>43116.0</v>
      </c>
      <c r="F1345" s="4">
        <v>43115.0</v>
      </c>
      <c r="G1345" s="1">
        <v>2.0</v>
      </c>
      <c r="H1345" s="1">
        <v>6.0</v>
      </c>
      <c r="I1345" s="3" t="str">
        <f>VLOOKUP(B1345,Customers!A:J, 10,FALSE)</f>
        <v>Alishia Elliott</v>
      </c>
      <c r="J1345" s="3" t="str">
        <f>VLOOKUP(B1345,Customers!A:J,8,FALSE)</f>
        <v>NY</v>
      </c>
      <c r="K1345" s="3" t="str">
        <f>VLOOKUP(B1345,Customers!A:J,7,FALSE)</f>
        <v>Mount Vernon</v>
      </c>
      <c r="L1345" s="3" t="str">
        <f>VLOOKUP(H1345,Staff!A:I,9,FALSE)</f>
        <v>Marcelene Boyer</v>
      </c>
      <c r="M1345" s="3" t="str">
        <f>VLOOKUP(G1345,Store!A:H,2,FALSE)</f>
        <v>Baldwin Bikes</v>
      </c>
      <c r="N1345" s="3" t="str">
        <f>VLOOKUP(G1345,Store!A:H,6,FALSE)</f>
        <v>Baldwin</v>
      </c>
      <c r="O1345" s="3" t="s">
        <v>16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">
        <v>1345.0</v>
      </c>
      <c r="B1346" s="1">
        <v>1037.0</v>
      </c>
      <c r="C1346" s="1">
        <v>4.0</v>
      </c>
      <c r="D1346" s="4">
        <v>43114.0</v>
      </c>
      <c r="E1346" s="4">
        <v>43115.0</v>
      </c>
      <c r="F1346" s="4">
        <v>43115.0</v>
      </c>
      <c r="G1346" s="1">
        <v>2.0</v>
      </c>
      <c r="H1346" s="1">
        <v>6.0</v>
      </c>
      <c r="I1346" s="3" t="str">
        <f>VLOOKUP(B1346,Customers!A:J, 10,FALSE)</f>
        <v>Ashanti Hammond</v>
      </c>
      <c r="J1346" s="3" t="str">
        <f>VLOOKUP(B1346,Customers!A:J,8,FALSE)</f>
        <v>NY</v>
      </c>
      <c r="K1346" s="3" t="str">
        <f>VLOOKUP(B1346,Customers!A:J,7,FALSE)</f>
        <v>Nanuet</v>
      </c>
      <c r="L1346" s="3" t="str">
        <f>VLOOKUP(H1346,Staff!A:I,9,FALSE)</f>
        <v>Marcelene Boyer</v>
      </c>
      <c r="M1346" s="3" t="str">
        <f>VLOOKUP(G1346,Store!A:H,2,FALSE)</f>
        <v>Baldwin Bikes</v>
      </c>
      <c r="N1346" s="3" t="str">
        <f>VLOOKUP(G1346,Store!A:H,6,FALSE)</f>
        <v>Baldwin</v>
      </c>
      <c r="O1346" s="3" t="s">
        <v>16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">
        <v>1346.0</v>
      </c>
      <c r="B1347" s="1">
        <v>136.0</v>
      </c>
      <c r="C1347" s="1">
        <v>4.0</v>
      </c>
      <c r="D1347" s="4">
        <v>43114.0</v>
      </c>
      <c r="E1347" s="4">
        <v>43115.0</v>
      </c>
      <c r="F1347" s="4">
        <v>43115.0</v>
      </c>
      <c r="G1347" s="1">
        <v>3.0</v>
      </c>
      <c r="H1347" s="1">
        <v>8.0</v>
      </c>
      <c r="I1347" s="3" t="str">
        <f>VLOOKUP(B1347,Customers!A:J, 10,FALSE)</f>
        <v>Sarita Parks</v>
      </c>
      <c r="J1347" s="3" t="str">
        <f>VLOOKUP(B1347,Customers!A:J,8,FALSE)</f>
        <v>TX</v>
      </c>
      <c r="K1347" s="3" t="str">
        <f>VLOOKUP(B1347,Customers!A:J,7,FALSE)</f>
        <v>Forney</v>
      </c>
      <c r="L1347" s="3" t="str">
        <f>VLOOKUP(H1347,Staff!A:I,9,FALSE)</f>
        <v>Kali Vargas</v>
      </c>
      <c r="M1347" s="3" t="str">
        <f>VLOOKUP(G1347,Store!A:H,2,FALSE)</f>
        <v>Rowlett Bikes</v>
      </c>
      <c r="N1347" s="3" t="str">
        <f>VLOOKUP(G1347,Store!A:H,6,FALSE)</f>
        <v>Rowlett</v>
      </c>
      <c r="O1347" s="3" t="s">
        <v>17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">
        <v>1347.0</v>
      </c>
      <c r="B1348" s="1">
        <v>247.0</v>
      </c>
      <c r="C1348" s="1">
        <v>4.0</v>
      </c>
      <c r="D1348" s="4">
        <v>43115.0</v>
      </c>
      <c r="E1348" s="4">
        <v>43118.0</v>
      </c>
      <c r="F1348" s="4">
        <v>43118.0</v>
      </c>
      <c r="G1348" s="1">
        <v>1.0</v>
      </c>
      <c r="H1348" s="1">
        <v>2.0</v>
      </c>
      <c r="I1348" s="3" t="str">
        <f>VLOOKUP(B1348,Customers!A:J, 10,FALSE)</f>
        <v>Muriel Juarez</v>
      </c>
      <c r="J1348" s="3" t="str">
        <f>VLOOKUP(B1348,Customers!A:J,8,FALSE)</f>
        <v>CA</v>
      </c>
      <c r="K1348" s="3" t="str">
        <f>VLOOKUP(B1348,Customers!A:J,7,FALSE)</f>
        <v>Palos Verdes Peninsula</v>
      </c>
      <c r="L1348" s="3" t="str">
        <f>VLOOKUP(H1348,Staff!A:I,9,FALSE)</f>
        <v>Mireya Copeland</v>
      </c>
      <c r="M1348" s="3" t="str">
        <f>VLOOKUP(G1348,Store!A:H,2,FALSE)</f>
        <v>Santa Cruz Bikes</v>
      </c>
      <c r="N1348" s="3" t="str">
        <f>VLOOKUP(G1348,Store!A:H,6,FALSE)</f>
        <v>Santa Cruz</v>
      </c>
      <c r="O1348" s="3" t="s">
        <v>15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">
        <v>1348.0</v>
      </c>
      <c r="B1349" s="1">
        <v>1214.0</v>
      </c>
      <c r="C1349" s="1">
        <v>4.0</v>
      </c>
      <c r="D1349" s="4">
        <v>43115.0</v>
      </c>
      <c r="E1349" s="4">
        <v>43117.0</v>
      </c>
      <c r="F1349" s="4">
        <v>43117.0</v>
      </c>
      <c r="G1349" s="1">
        <v>1.0</v>
      </c>
      <c r="H1349" s="1">
        <v>2.0</v>
      </c>
      <c r="I1349" s="3" t="str">
        <f>VLOOKUP(B1349,Customers!A:J, 10,FALSE)</f>
        <v>Brigid Sharp</v>
      </c>
      <c r="J1349" s="3" t="str">
        <f>VLOOKUP(B1349,Customers!A:J,8,FALSE)</f>
        <v>CA</v>
      </c>
      <c r="K1349" s="3" t="str">
        <f>VLOOKUP(B1349,Customers!A:J,7,FALSE)</f>
        <v>Santa Clara</v>
      </c>
      <c r="L1349" s="3" t="str">
        <f>VLOOKUP(H1349,Staff!A:I,9,FALSE)</f>
        <v>Mireya Copeland</v>
      </c>
      <c r="M1349" s="3" t="str">
        <f>VLOOKUP(G1349,Store!A:H,2,FALSE)</f>
        <v>Santa Cruz Bikes</v>
      </c>
      <c r="N1349" s="3" t="str">
        <f>VLOOKUP(G1349,Store!A:H,6,FALSE)</f>
        <v>Santa Cruz</v>
      </c>
      <c r="O1349" s="3" t="s">
        <v>15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">
        <v>1349.0</v>
      </c>
      <c r="B1350" s="1">
        <v>464.0</v>
      </c>
      <c r="C1350" s="1">
        <v>4.0</v>
      </c>
      <c r="D1350" s="4">
        <v>43115.0</v>
      </c>
      <c r="E1350" s="4">
        <v>43117.0</v>
      </c>
      <c r="F1350" s="4">
        <v>43116.0</v>
      </c>
      <c r="G1350" s="1">
        <v>2.0</v>
      </c>
      <c r="H1350" s="1">
        <v>6.0</v>
      </c>
      <c r="I1350" s="3" t="str">
        <f>VLOOKUP(B1350,Customers!A:J, 10,FALSE)</f>
        <v>Bess Mcbride</v>
      </c>
      <c r="J1350" s="3" t="str">
        <f>VLOOKUP(B1350,Customers!A:J,8,FALSE)</f>
        <v>NY</v>
      </c>
      <c r="K1350" s="3" t="str">
        <f>VLOOKUP(B1350,Customers!A:J,7,FALSE)</f>
        <v>Garden City</v>
      </c>
      <c r="L1350" s="3" t="str">
        <f>VLOOKUP(H1350,Staff!A:I,9,FALSE)</f>
        <v>Marcelene Boyer</v>
      </c>
      <c r="M1350" s="3" t="str">
        <f>VLOOKUP(G1350,Store!A:H,2,FALSE)</f>
        <v>Baldwin Bikes</v>
      </c>
      <c r="N1350" s="3" t="str">
        <f>VLOOKUP(G1350,Store!A:H,6,FALSE)</f>
        <v>Baldwin</v>
      </c>
      <c r="O1350" s="3" t="s">
        <v>16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">
        <v>1350.0</v>
      </c>
      <c r="B1351" s="1">
        <v>637.0</v>
      </c>
      <c r="C1351" s="1">
        <v>4.0</v>
      </c>
      <c r="D1351" s="4">
        <v>43115.0</v>
      </c>
      <c r="E1351" s="4">
        <v>43118.0</v>
      </c>
      <c r="F1351" s="4">
        <v>43117.0</v>
      </c>
      <c r="G1351" s="1">
        <v>2.0</v>
      </c>
      <c r="H1351" s="1">
        <v>7.0</v>
      </c>
      <c r="I1351" s="3" t="str">
        <f>VLOOKUP(B1351,Customers!A:J, 10,FALSE)</f>
        <v>Kara Higgins</v>
      </c>
      <c r="J1351" s="3" t="str">
        <f>VLOOKUP(B1351,Customers!A:J,8,FALSE)</f>
        <v>NY</v>
      </c>
      <c r="K1351" s="3" t="str">
        <f>VLOOKUP(B1351,Customers!A:J,7,FALSE)</f>
        <v>Ossining</v>
      </c>
      <c r="L1351" s="3" t="str">
        <f>VLOOKUP(H1351,Staff!A:I,9,FALSE)</f>
        <v>Venita Daniel</v>
      </c>
      <c r="M1351" s="3" t="str">
        <f>VLOOKUP(G1351,Store!A:H,2,FALSE)</f>
        <v>Baldwin Bikes</v>
      </c>
      <c r="N1351" s="3" t="str">
        <f>VLOOKUP(G1351,Store!A:H,6,FALSE)</f>
        <v>Baldwin</v>
      </c>
      <c r="O1351" s="3" t="s">
        <v>16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">
        <v>1351.0</v>
      </c>
      <c r="B1352" s="1">
        <v>1016.0</v>
      </c>
      <c r="C1352" s="1">
        <v>4.0</v>
      </c>
      <c r="D1352" s="4">
        <v>43116.0</v>
      </c>
      <c r="E1352" s="4">
        <v>43119.0</v>
      </c>
      <c r="F1352" s="4">
        <v>43119.0</v>
      </c>
      <c r="G1352" s="1">
        <v>2.0</v>
      </c>
      <c r="H1352" s="1">
        <v>7.0</v>
      </c>
      <c r="I1352" s="3" t="str">
        <f>VLOOKUP(B1352,Customers!A:J, 10,FALSE)</f>
        <v>Shenna Benton</v>
      </c>
      <c r="J1352" s="3" t="str">
        <f>VLOOKUP(B1352,Customers!A:J,8,FALSE)</f>
        <v>NY</v>
      </c>
      <c r="K1352" s="3" t="str">
        <f>VLOOKUP(B1352,Customers!A:J,7,FALSE)</f>
        <v>New York</v>
      </c>
      <c r="L1352" s="3" t="str">
        <f>VLOOKUP(H1352,Staff!A:I,9,FALSE)</f>
        <v>Venita Daniel</v>
      </c>
      <c r="M1352" s="3" t="str">
        <f>VLOOKUP(G1352,Store!A:H,2,FALSE)</f>
        <v>Baldwin Bikes</v>
      </c>
      <c r="N1352" s="3" t="str">
        <f>VLOOKUP(G1352,Store!A:H,6,FALSE)</f>
        <v>Baldwin</v>
      </c>
      <c r="O1352" s="3" t="s">
        <v>16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">
        <v>1352.0</v>
      </c>
      <c r="B1353" s="1">
        <v>1433.0</v>
      </c>
      <c r="C1353" s="1">
        <v>4.0</v>
      </c>
      <c r="D1353" s="4">
        <v>43116.0</v>
      </c>
      <c r="E1353" s="4">
        <v>43118.0</v>
      </c>
      <c r="F1353" s="4">
        <v>43118.0</v>
      </c>
      <c r="G1353" s="1">
        <v>2.0</v>
      </c>
      <c r="H1353" s="1">
        <v>6.0</v>
      </c>
      <c r="I1353" s="3" t="str">
        <f>VLOOKUP(B1353,Customers!A:J, 10,FALSE)</f>
        <v>Nicola Knight</v>
      </c>
      <c r="J1353" s="3" t="str">
        <f>VLOOKUP(B1353,Customers!A:J,8,FALSE)</f>
        <v>NY</v>
      </c>
      <c r="K1353" s="3" t="str">
        <f>VLOOKUP(B1353,Customers!A:J,7,FALSE)</f>
        <v>Scarsdale</v>
      </c>
      <c r="L1353" s="3" t="str">
        <f>VLOOKUP(H1353,Staff!A:I,9,FALSE)</f>
        <v>Marcelene Boyer</v>
      </c>
      <c r="M1353" s="3" t="str">
        <f>VLOOKUP(G1353,Store!A:H,2,FALSE)</f>
        <v>Baldwin Bikes</v>
      </c>
      <c r="N1353" s="3" t="str">
        <f>VLOOKUP(G1353,Store!A:H,6,FALSE)</f>
        <v>Baldwin</v>
      </c>
      <c r="O1353" s="3" t="s">
        <v>16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">
        <v>1353.0</v>
      </c>
      <c r="B1354" s="1">
        <v>502.0</v>
      </c>
      <c r="C1354" s="1">
        <v>4.0</v>
      </c>
      <c r="D1354" s="4">
        <v>43117.0</v>
      </c>
      <c r="E1354" s="4">
        <v>43119.0</v>
      </c>
      <c r="F1354" s="4">
        <v>43118.0</v>
      </c>
      <c r="G1354" s="1">
        <v>2.0</v>
      </c>
      <c r="H1354" s="1">
        <v>6.0</v>
      </c>
      <c r="I1354" s="3" t="str">
        <f>VLOOKUP(B1354,Customers!A:J, 10,FALSE)</f>
        <v>Malinda Baxter</v>
      </c>
      <c r="J1354" s="3" t="str">
        <f>VLOOKUP(B1354,Customers!A:J,8,FALSE)</f>
        <v>NY</v>
      </c>
      <c r="K1354" s="3" t="str">
        <f>VLOOKUP(B1354,Customers!A:J,7,FALSE)</f>
        <v>Whitestone</v>
      </c>
      <c r="L1354" s="3" t="str">
        <f>VLOOKUP(H1354,Staff!A:I,9,FALSE)</f>
        <v>Marcelene Boyer</v>
      </c>
      <c r="M1354" s="3" t="str">
        <f>VLOOKUP(G1354,Store!A:H,2,FALSE)</f>
        <v>Baldwin Bikes</v>
      </c>
      <c r="N1354" s="3" t="str">
        <f>VLOOKUP(G1354,Store!A:H,6,FALSE)</f>
        <v>Baldwin</v>
      </c>
      <c r="O1354" s="3" t="s">
        <v>16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">
        <v>1354.0</v>
      </c>
      <c r="B1355" s="1">
        <v>476.0</v>
      </c>
      <c r="C1355" s="1">
        <v>4.0</v>
      </c>
      <c r="D1355" s="4">
        <v>43119.0</v>
      </c>
      <c r="E1355" s="4">
        <v>43120.0</v>
      </c>
      <c r="F1355" s="4">
        <v>43121.0</v>
      </c>
      <c r="G1355" s="1">
        <v>1.0</v>
      </c>
      <c r="H1355" s="1">
        <v>3.0</v>
      </c>
      <c r="I1355" s="3" t="str">
        <f>VLOOKUP(B1355,Customers!A:J, 10,FALSE)</f>
        <v>Christopher Richardson</v>
      </c>
      <c r="J1355" s="3" t="str">
        <f>VLOOKUP(B1355,Customers!A:J,8,FALSE)</f>
        <v>CA</v>
      </c>
      <c r="K1355" s="3" t="str">
        <f>VLOOKUP(B1355,Customers!A:J,7,FALSE)</f>
        <v>Santa Cruz</v>
      </c>
      <c r="L1355" s="3" t="str">
        <f>VLOOKUP(H1355,Staff!A:I,9,FALSE)</f>
        <v>Genna Serrano</v>
      </c>
      <c r="M1355" s="3" t="str">
        <f>VLOOKUP(G1355,Store!A:H,2,FALSE)</f>
        <v>Santa Cruz Bikes</v>
      </c>
      <c r="N1355" s="3" t="str">
        <f>VLOOKUP(G1355,Store!A:H,6,FALSE)</f>
        <v>Santa Cruz</v>
      </c>
      <c r="O1355" s="3" t="s">
        <v>15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">
        <v>1355.0</v>
      </c>
      <c r="B1356" s="1">
        <v>1010.0</v>
      </c>
      <c r="C1356" s="1">
        <v>4.0</v>
      </c>
      <c r="D1356" s="4">
        <v>43119.0</v>
      </c>
      <c r="E1356" s="4">
        <v>43121.0</v>
      </c>
      <c r="F1356" s="4">
        <v>43120.0</v>
      </c>
      <c r="G1356" s="1">
        <v>2.0</v>
      </c>
      <c r="H1356" s="1">
        <v>7.0</v>
      </c>
      <c r="I1356" s="3" t="str">
        <f>VLOOKUP(B1356,Customers!A:J, 10,FALSE)</f>
        <v>Katia Henry</v>
      </c>
      <c r="J1356" s="3" t="str">
        <f>VLOOKUP(B1356,Customers!A:J,8,FALSE)</f>
        <v>NY</v>
      </c>
      <c r="K1356" s="3" t="str">
        <f>VLOOKUP(B1356,Customers!A:J,7,FALSE)</f>
        <v>Bethpage</v>
      </c>
      <c r="L1356" s="3" t="str">
        <f>VLOOKUP(H1356,Staff!A:I,9,FALSE)</f>
        <v>Venita Daniel</v>
      </c>
      <c r="M1356" s="3" t="str">
        <f>VLOOKUP(G1356,Store!A:H,2,FALSE)</f>
        <v>Baldwin Bikes</v>
      </c>
      <c r="N1356" s="3" t="str">
        <f>VLOOKUP(G1356,Store!A:H,6,FALSE)</f>
        <v>Baldwin</v>
      </c>
      <c r="O1356" s="3" t="s">
        <v>16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">
        <v>1356.0</v>
      </c>
      <c r="B1357" s="1">
        <v>1161.0</v>
      </c>
      <c r="C1357" s="1">
        <v>4.0</v>
      </c>
      <c r="D1357" s="4">
        <v>43119.0</v>
      </c>
      <c r="E1357" s="4">
        <v>43121.0</v>
      </c>
      <c r="F1357" s="4">
        <v>43122.0</v>
      </c>
      <c r="G1357" s="1">
        <v>2.0</v>
      </c>
      <c r="H1357" s="1">
        <v>6.0</v>
      </c>
      <c r="I1357" s="3" t="str">
        <f>VLOOKUP(B1357,Customers!A:J, 10,FALSE)</f>
        <v>Santa Larson</v>
      </c>
      <c r="J1357" s="3" t="str">
        <f>VLOOKUP(B1357,Customers!A:J,8,FALSE)</f>
        <v>NY</v>
      </c>
      <c r="K1357" s="3" t="str">
        <f>VLOOKUP(B1357,Customers!A:J,7,FALSE)</f>
        <v>Valley Stream</v>
      </c>
      <c r="L1357" s="3" t="str">
        <f>VLOOKUP(H1357,Staff!A:I,9,FALSE)</f>
        <v>Marcelene Boyer</v>
      </c>
      <c r="M1357" s="3" t="str">
        <f>VLOOKUP(G1357,Store!A:H,2,FALSE)</f>
        <v>Baldwin Bikes</v>
      </c>
      <c r="N1357" s="3" t="str">
        <f>VLOOKUP(G1357,Store!A:H,6,FALSE)</f>
        <v>Baldwin</v>
      </c>
      <c r="O1357" s="3" t="s">
        <v>16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">
        <v>1357.0</v>
      </c>
      <c r="B1358" s="1">
        <v>440.0</v>
      </c>
      <c r="C1358" s="1">
        <v>4.0</v>
      </c>
      <c r="D1358" s="4">
        <v>43120.0</v>
      </c>
      <c r="E1358" s="4">
        <v>43123.0</v>
      </c>
      <c r="F1358" s="4">
        <v>43121.0</v>
      </c>
      <c r="G1358" s="1">
        <v>2.0</v>
      </c>
      <c r="H1358" s="1">
        <v>6.0</v>
      </c>
      <c r="I1358" s="3" t="str">
        <f>VLOOKUP(B1358,Customers!A:J, 10,FALSE)</f>
        <v>Yevette Todd</v>
      </c>
      <c r="J1358" s="3" t="str">
        <f>VLOOKUP(B1358,Customers!A:J,8,FALSE)</f>
        <v>NY</v>
      </c>
      <c r="K1358" s="3" t="str">
        <f>VLOOKUP(B1358,Customers!A:J,7,FALSE)</f>
        <v>Ballston Spa</v>
      </c>
      <c r="L1358" s="3" t="str">
        <f>VLOOKUP(H1358,Staff!A:I,9,FALSE)</f>
        <v>Marcelene Boyer</v>
      </c>
      <c r="M1358" s="3" t="str">
        <f>VLOOKUP(G1358,Store!A:H,2,FALSE)</f>
        <v>Baldwin Bikes</v>
      </c>
      <c r="N1358" s="3" t="str">
        <f>VLOOKUP(G1358,Store!A:H,6,FALSE)</f>
        <v>Baldwin</v>
      </c>
      <c r="O1358" s="3" t="s">
        <v>16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">
        <v>1358.0</v>
      </c>
      <c r="B1359" s="1">
        <v>253.0</v>
      </c>
      <c r="C1359" s="1">
        <v>4.0</v>
      </c>
      <c r="D1359" s="4">
        <v>43121.0</v>
      </c>
      <c r="E1359" s="4">
        <v>43123.0</v>
      </c>
      <c r="F1359" s="4">
        <v>43124.0</v>
      </c>
      <c r="G1359" s="1">
        <v>1.0</v>
      </c>
      <c r="H1359" s="1">
        <v>2.0</v>
      </c>
      <c r="I1359" s="3" t="str">
        <f>VLOOKUP(B1359,Customers!A:J, 10,FALSE)</f>
        <v>Maurice Norton</v>
      </c>
      <c r="J1359" s="3" t="str">
        <f>VLOOKUP(B1359,Customers!A:J,8,FALSE)</f>
        <v>CA</v>
      </c>
      <c r="K1359" s="3" t="str">
        <f>VLOOKUP(B1359,Customers!A:J,7,FALSE)</f>
        <v>Atwater</v>
      </c>
      <c r="L1359" s="3" t="str">
        <f>VLOOKUP(H1359,Staff!A:I,9,FALSE)</f>
        <v>Mireya Copeland</v>
      </c>
      <c r="M1359" s="3" t="str">
        <f>VLOOKUP(G1359,Store!A:H,2,FALSE)</f>
        <v>Santa Cruz Bikes</v>
      </c>
      <c r="N1359" s="3" t="str">
        <f>VLOOKUP(G1359,Store!A:H,6,FALSE)</f>
        <v>Santa Cruz</v>
      </c>
      <c r="O1359" s="3" t="s">
        <v>15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">
        <v>1359.0</v>
      </c>
      <c r="B1360" s="1">
        <v>1008.0</v>
      </c>
      <c r="C1360" s="1">
        <v>4.0</v>
      </c>
      <c r="D1360" s="4">
        <v>43121.0</v>
      </c>
      <c r="E1360" s="4">
        <v>43122.0</v>
      </c>
      <c r="F1360" s="4">
        <v>43122.0</v>
      </c>
      <c r="G1360" s="1">
        <v>3.0</v>
      </c>
      <c r="H1360" s="1">
        <v>9.0</v>
      </c>
      <c r="I1360" s="3" t="str">
        <f>VLOOKUP(B1360,Customers!A:J, 10,FALSE)</f>
        <v>Berneice Pollard</v>
      </c>
      <c r="J1360" s="3" t="str">
        <f>VLOOKUP(B1360,Customers!A:J,8,FALSE)</f>
        <v>TX</v>
      </c>
      <c r="K1360" s="3" t="str">
        <f>VLOOKUP(B1360,Customers!A:J,7,FALSE)</f>
        <v>Forney</v>
      </c>
      <c r="L1360" s="3" t="str">
        <f>VLOOKUP(H1360,Staff!A:I,9,FALSE)</f>
        <v>Layla Terrell</v>
      </c>
      <c r="M1360" s="3" t="str">
        <f>VLOOKUP(G1360,Store!A:H,2,FALSE)</f>
        <v>Rowlett Bikes</v>
      </c>
      <c r="N1360" s="3" t="str">
        <f>VLOOKUP(G1360,Store!A:H,6,FALSE)</f>
        <v>Rowlett</v>
      </c>
      <c r="O1360" s="3" t="s">
        <v>17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">
        <v>1360.0</v>
      </c>
      <c r="B1361" s="1">
        <v>71.0</v>
      </c>
      <c r="C1361" s="1">
        <v>4.0</v>
      </c>
      <c r="D1361" s="4">
        <v>43122.0</v>
      </c>
      <c r="E1361" s="4">
        <v>43125.0</v>
      </c>
      <c r="F1361" s="4">
        <v>43124.0</v>
      </c>
      <c r="G1361" s="1">
        <v>2.0</v>
      </c>
      <c r="H1361" s="1">
        <v>6.0</v>
      </c>
      <c r="I1361" s="3" t="str">
        <f>VLOOKUP(B1361,Customers!A:J, 10,FALSE)</f>
        <v>Takako Casey</v>
      </c>
      <c r="J1361" s="3" t="str">
        <f>VLOOKUP(B1361,Customers!A:J,8,FALSE)</f>
        <v>NY</v>
      </c>
      <c r="K1361" s="3" t="str">
        <f>VLOOKUP(B1361,Customers!A:J,7,FALSE)</f>
        <v>Bronx</v>
      </c>
      <c r="L1361" s="3" t="str">
        <f>VLOOKUP(H1361,Staff!A:I,9,FALSE)</f>
        <v>Marcelene Boyer</v>
      </c>
      <c r="M1361" s="3" t="str">
        <f>VLOOKUP(G1361,Store!A:H,2,FALSE)</f>
        <v>Baldwin Bikes</v>
      </c>
      <c r="N1361" s="3" t="str">
        <f>VLOOKUP(G1361,Store!A:H,6,FALSE)</f>
        <v>Baldwin</v>
      </c>
      <c r="O1361" s="3" t="s">
        <v>16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">
        <v>1361.0</v>
      </c>
      <c r="B1362" s="1">
        <v>1084.0</v>
      </c>
      <c r="C1362" s="1">
        <v>4.0</v>
      </c>
      <c r="D1362" s="4">
        <v>43122.0</v>
      </c>
      <c r="E1362" s="4">
        <v>43124.0</v>
      </c>
      <c r="F1362" s="4">
        <v>43123.0</v>
      </c>
      <c r="G1362" s="1">
        <v>2.0</v>
      </c>
      <c r="H1362" s="1">
        <v>7.0</v>
      </c>
      <c r="I1362" s="3" t="str">
        <f>VLOOKUP(B1362,Customers!A:J, 10,FALSE)</f>
        <v>Regine Odom</v>
      </c>
      <c r="J1362" s="3" t="str">
        <f>VLOOKUP(B1362,Customers!A:J,8,FALSE)</f>
        <v>NY</v>
      </c>
      <c r="K1362" s="3" t="str">
        <f>VLOOKUP(B1362,Customers!A:J,7,FALSE)</f>
        <v>Franklin Square</v>
      </c>
      <c r="L1362" s="3" t="str">
        <f>VLOOKUP(H1362,Staff!A:I,9,FALSE)</f>
        <v>Venita Daniel</v>
      </c>
      <c r="M1362" s="3" t="str">
        <f>VLOOKUP(G1362,Store!A:H,2,FALSE)</f>
        <v>Baldwin Bikes</v>
      </c>
      <c r="N1362" s="3" t="str">
        <f>VLOOKUP(G1362,Store!A:H,6,FALSE)</f>
        <v>Baldwin</v>
      </c>
      <c r="O1362" s="3" t="s">
        <v>16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">
        <v>1362.0</v>
      </c>
      <c r="B1363" s="1">
        <v>310.0</v>
      </c>
      <c r="C1363" s="1">
        <v>4.0</v>
      </c>
      <c r="D1363" s="4">
        <v>43123.0</v>
      </c>
      <c r="E1363" s="4">
        <v>43124.0</v>
      </c>
      <c r="F1363" s="4">
        <v>43125.0</v>
      </c>
      <c r="G1363" s="1">
        <v>2.0</v>
      </c>
      <c r="H1363" s="1">
        <v>6.0</v>
      </c>
      <c r="I1363" s="3" t="str">
        <f>VLOOKUP(B1363,Customers!A:J, 10,FALSE)</f>
        <v>Gilberto Parsons</v>
      </c>
      <c r="J1363" s="3" t="str">
        <f>VLOOKUP(B1363,Customers!A:J,8,FALSE)</f>
        <v>NY</v>
      </c>
      <c r="K1363" s="3" t="str">
        <f>VLOOKUP(B1363,Customers!A:J,7,FALSE)</f>
        <v>Middle Village</v>
      </c>
      <c r="L1363" s="3" t="str">
        <f>VLOOKUP(H1363,Staff!A:I,9,FALSE)</f>
        <v>Marcelene Boyer</v>
      </c>
      <c r="M1363" s="3" t="str">
        <f>VLOOKUP(G1363,Store!A:H,2,FALSE)</f>
        <v>Baldwin Bikes</v>
      </c>
      <c r="N1363" s="3" t="str">
        <f>VLOOKUP(G1363,Store!A:H,6,FALSE)</f>
        <v>Baldwin</v>
      </c>
      <c r="O1363" s="3" t="s">
        <v>16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">
        <v>1363.0</v>
      </c>
      <c r="B1364" s="1">
        <v>860.0</v>
      </c>
      <c r="C1364" s="1">
        <v>4.0</v>
      </c>
      <c r="D1364" s="4">
        <v>43124.0</v>
      </c>
      <c r="E1364" s="4">
        <v>43125.0</v>
      </c>
      <c r="F1364" s="4">
        <v>43125.0</v>
      </c>
      <c r="G1364" s="1">
        <v>2.0</v>
      </c>
      <c r="H1364" s="1">
        <v>6.0</v>
      </c>
      <c r="I1364" s="3" t="str">
        <f>VLOOKUP(B1364,Customers!A:J, 10,FALSE)</f>
        <v>Loni Mullen</v>
      </c>
      <c r="J1364" s="3" t="str">
        <f>VLOOKUP(B1364,Customers!A:J,8,FALSE)</f>
        <v>NY</v>
      </c>
      <c r="K1364" s="3" t="str">
        <f>VLOOKUP(B1364,Customers!A:J,7,FALSE)</f>
        <v>South Ozone Park</v>
      </c>
      <c r="L1364" s="3" t="str">
        <f>VLOOKUP(H1364,Staff!A:I,9,FALSE)</f>
        <v>Marcelene Boyer</v>
      </c>
      <c r="M1364" s="3" t="str">
        <f>VLOOKUP(G1364,Store!A:H,2,FALSE)</f>
        <v>Baldwin Bikes</v>
      </c>
      <c r="N1364" s="3" t="str">
        <f>VLOOKUP(G1364,Store!A:H,6,FALSE)</f>
        <v>Baldwin</v>
      </c>
      <c r="O1364" s="3" t="s">
        <v>16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">
        <v>1364.0</v>
      </c>
      <c r="B1365" s="1">
        <v>122.0</v>
      </c>
      <c r="C1365" s="1">
        <v>4.0</v>
      </c>
      <c r="D1365" s="4">
        <v>43125.0</v>
      </c>
      <c r="E1365" s="4">
        <v>43128.0</v>
      </c>
      <c r="F1365" s="4">
        <v>43128.0</v>
      </c>
      <c r="G1365" s="1">
        <v>2.0</v>
      </c>
      <c r="H1365" s="1">
        <v>6.0</v>
      </c>
      <c r="I1365" s="3" t="str">
        <f>VLOOKUP(B1365,Customers!A:J, 10,FALSE)</f>
        <v>Shena Carter</v>
      </c>
      <c r="J1365" s="3" t="str">
        <f>VLOOKUP(B1365,Customers!A:J,8,FALSE)</f>
        <v>NY</v>
      </c>
      <c r="K1365" s="3" t="str">
        <f>VLOOKUP(B1365,Customers!A:J,7,FALSE)</f>
        <v>Howard Beach</v>
      </c>
      <c r="L1365" s="3" t="str">
        <f>VLOOKUP(H1365,Staff!A:I,9,FALSE)</f>
        <v>Marcelene Boyer</v>
      </c>
      <c r="M1365" s="3" t="str">
        <f>VLOOKUP(G1365,Store!A:H,2,FALSE)</f>
        <v>Baldwin Bikes</v>
      </c>
      <c r="N1365" s="3" t="str">
        <f>VLOOKUP(G1365,Store!A:H,6,FALSE)</f>
        <v>Baldwin</v>
      </c>
      <c r="O1365" s="3" t="s">
        <v>16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">
        <v>1365.0</v>
      </c>
      <c r="B1366" s="1">
        <v>689.0</v>
      </c>
      <c r="C1366" s="1">
        <v>4.0</v>
      </c>
      <c r="D1366" s="4">
        <v>43125.0</v>
      </c>
      <c r="E1366" s="4">
        <v>43128.0</v>
      </c>
      <c r="F1366" s="4">
        <v>43127.0</v>
      </c>
      <c r="G1366" s="1">
        <v>2.0</v>
      </c>
      <c r="H1366" s="1">
        <v>7.0</v>
      </c>
      <c r="I1366" s="3" t="str">
        <f>VLOOKUP(B1366,Customers!A:J, 10,FALSE)</f>
        <v>Deirdre Ryan</v>
      </c>
      <c r="J1366" s="3" t="str">
        <f>VLOOKUP(B1366,Customers!A:J,8,FALSE)</f>
        <v>NY</v>
      </c>
      <c r="K1366" s="3" t="str">
        <f>VLOOKUP(B1366,Customers!A:J,7,FALSE)</f>
        <v>Utica</v>
      </c>
      <c r="L1366" s="3" t="str">
        <f>VLOOKUP(H1366,Staff!A:I,9,FALSE)</f>
        <v>Venita Daniel</v>
      </c>
      <c r="M1366" s="3" t="str">
        <f>VLOOKUP(G1366,Store!A:H,2,FALSE)</f>
        <v>Baldwin Bikes</v>
      </c>
      <c r="N1366" s="3" t="str">
        <f>VLOOKUP(G1366,Store!A:H,6,FALSE)</f>
        <v>Baldwin</v>
      </c>
      <c r="O1366" s="3" t="s">
        <v>16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">
        <v>1366.0</v>
      </c>
      <c r="B1367" s="1">
        <v>1441.0</v>
      </c>
      <c r="C1367" s="1">
        <v>4.0</v>
      </c>
      <c r="D1367" s="4">
        <v>43126.0</v>
      </c>
      <c r="E1367" s="4">
        <v>43127.0</v>
      </c>
      <c r="F1367" s="4">
        <v>43128.0</v>
      </c>
      <c r="G1367" s="1">
        <v>2.0</v>
      </c>
      <c r="H1367" s="1">
        <v>6.0</v>
      </c>
      <c r="I1367" s="3" t="str">
        <f>VLOOKUP(B1367,Customers!A:J, 10,FALSE)</f>
        <v>Jamaal Morrison</v>
      </c>
      <c r="J1367" s="3" t="str">
        <f>VLOOKUP(B1367,Customers!A:J,8,FALSE)</f>
        <v>NY</v>
      </c>
      <c r="K1367" s="3" t="str">
        <f>VLOOKUP(B1367,Customers!A:J,7,FALSE)</f>
        <v>Staten Island</v>
      </c>
      <c r="L1367" s="3" t="str">
        <f>VLOOKUP(H1367,Staff!A:I,9,FALSE)</f>
        <v>Marcelene Boyer</v>
      </c>
      <c r="M1367" s="3" t="str">
        <f>VLOOKUP(G1367,Store!A:H,2,FALSE)</f>
        <v>Baldwin Bikes</v>
      </c>
      <c r="N1367" s="3" t="str">
        <f>VLOOKUP(G1367,Store!A:H,6,FALSE)</f>
        <v>Baldwin</v>
      </c>
      <c r="O1367" s="3" t="s">
        <v>16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">
        <v>1367.0</v>
      </c>
      <c r="B1368" s="1">
        <v>1118.0</v>
      </c>
      <c r="C1368" s="1">
        <v>4.0</v>
      </c>
      <c r="D1368" s="4">
        <v>43127.0</v>
      </c>
      <c r="E1368" s="4">
        <v>43128.0</v>
      </c>
      <c r="F1368" s="4">
        <v>43128.0</v>
      </c>
      <c r="G1368" s="1">
        <v>1.0</v>
      </c>
      <c r="H1368" s="1">
        <v>3.0</v>
      </c>
      <c r="I1368" s="3" t="str">
        <f>VLOOKUP(B1368,Customers!A:J, 10,FALSE)</f>
        <v>Ja Dillard</v>
      </c>
      <c r="J1368" s="3" t="str">
        <f>VLOOKUP(B1368,Customers!A:J,8,FALSE)</f>
        <v>CA</v>
      </c>
      <c r="K1368" s="3" t="str">
        <f>VLOOKUP(B1368,Customers!A:J,7,FALSE)</f>
        <v>Canyon Country</v>
      </c>
      <c r="L1368" s="3" t="str">
        <f>VLOOKUP(H1368,Staff!A:I,9,FALSE)</f>
        <v>Genna Serrano</v>
      </c>
      <c r="M1368" s="3" t="str">
        <f>VLOOKUP(G1368,Store!A:H,2,FALSE)</f>
        <v>Santa Cruz Bikes</v>
      </c>
      <c r="N1368" s="3" t="str">
        <f>VLOOKUP(G1368,Store!A:H,6,FALSE)</f>
        <v>Santa Cruz</v>
      </c>
      <c r="O1368" s="3" t="s">
        <v>15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">
        <v>1368.0</v>
      </c>
      <c r="B1369" s="1">
        <v>765.0</v>
      </c>
      <c r="C1369" s="1">
        <v>4.0</v>
      </c>
      <c r="D1369" s="4">
        <v>43127.0</v>
      </c>
      <c r="E1369" s="4">
        <v>43128.0</v>
      </c>
      <c r="F1369" s="4">
        <v>43129.0</v>
      </c>
      <c r="G1369" s="1">
        <v>2.0</v>
      </c>
      <c r="H1369" s="1">
        <v>6.0</v>
      </c>
      <c r="I1369" s="3" t="str">
        <f>VLOOKUP(B1369,Customers!A:J, 10,FALSE)</f>
        <v>Spring Hayes</v>
      </c>
      <c r="J1369" s="3" t="str">
        <f>VLOOKUP(B1369,Customers!A:J,8,FALSE)</f>
        <v>NY</v>
      </c>
      <c r="K1369" s="3" t="str">
        <f>VLOOKUP(B1369,Customers!A:J,7,FALSE)</f>
        <v>Ossining</v>
      </c>
      <c r="L1369" s="3" t="str">
        <f>VLOOKUP(H1369,Staff!A:I,9,FALSE)</f>
        <v>Marcelene Boyer</v>
      </c>
      <c r="M1369" s="3" t="str">
        <f>VLOOKUP(G1369,Store!A:H,2,FALSE)</f>
        <v>Baldwin Bikes</v>
      </c>
      <c r="N1369" s="3" t="str">
        <f>VLOOKUP(G1369,Store!A:H,6,FALSE)</f>
        <v>Baldwin</v>
      </c>
      <c r="O1369" s="3" t="s">
        <v>16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">
        <v>1369.0</v>
      </c>
      <c r="B1370" s="1">
        <v>92.0</v>
      </c>
      <c r="C1370" s="1">
        <v>4.0</v>
      </c>
      <c r="D1370" s="4">
        <v>43128.0</v>
      </c>
      <c r="E1370" s="4">
        <v>43130.0</v>
      </c>
      <c r="F1370" s="4">
        <v>43130.0</v>
      </c>
      <c r="G1370" s="1">
        <v>2.0</v>
      </c>
      <c r="H1370" s="1">
        <v>6.0</v>
      </c>
      <c r="I1370" s="3" t="str">
        <f>VLOOKUP(B1370,Customers!A:J, 10,FALSE)</f>
        <v>Tena Cruz</v>
      </c>
      <c r="J1370" s="3" t="str">
        <f>VLOOKUP(B1370,Customers!A:J,8,FALSE)</f>
        <v>NY</v>
      </c>
      <c r="K1370" s="3" t="str">
        <f>VLOOKUP(B1370,Customers!A:J,7,FALSE)</f>
        <v>Farmingdale</v>
      </c>
      <c r="L1370" s="3" t="str">
        <f>VLOOKUP(H1370,Staff!A:I,9,FALSE)</f>
        <v>Marcelene Boyer</v>
      </c>
      <c r="M1370" s="3" t="str">
        <f>VLOOKUP(G1370,Store!A:H,2,FALSE)</f>
        <v>Baldwin Bikes</v>
      </c>
      <c r="N1370" s="3" t="str">
        <f>VLOOKUP(G1370,Store!A:H,6,FALSE)</f>
        <v>Baldwin</v>
      </c>
      <c r="O1370" s="3" t="s">
        <v>16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">
        <v>1370.0</v>
      </c>
      <c r="B1371" s="1">
        <v>115.0</v>
      </c>
      <c r="C1371" s="1">
        <v>4.0</v>
      </c>
      <c r="D1371" s="4">
        <v>43128.0</v>
      </c>
      <c r="E1371" s="4">
        <v>43129.0</v>
      </c>
      <c r="F1371" s="4">
        <v>43129.0</v>
      </c>
      <c r="G1371" s="1">
        <v>2.0</v>
      </c>
      <c r="H1371" s="1">
        <v>7.0</v>
      </c>
      <c r="I1371" s="3" t="str">
        <f>VLOOKUP(B1371,Customers!A:J, 10,FALSE)</f>
        <v>Rey Lindsay</v>
      </c>
      <c r="J1371" s="3" t="str">
        <f>VLOOKUP(B1371,Customers!A:J,8,FALSE)</f>
        <v>NY</v>
      </c>
      <c r="K1371" s="3" t="str">
        <f>VLOOKUP(B1371,Customers!A:J,7,FALSE)</f>
        <v>Monroe</v>
      </c>
      <c r="L1371" s="3" t="str">
        <f>VLOOKUP(H1371,Staff!A:I,9,FALSE)</f>
        <v>Venita Daniel</v>
      </c>
      <c r="M1371" s="3" t="str">
        <f>VLOOKUP(G1371,Store!A:H,2,FALSE)</f>
        <v>Baldwin Bikes</v>
      </c>
      <c r="N1371" s="3" t="str">
        <f>VLOOKUP(G1371,Store!A:H,6,FALSE)</f>
        <v>Baldwin</v>
      </c>
      <c r="O1371" s="3" t="s">
        <v>16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">
        <v>1371.0</v>
      </c>
      <c r="B1372" s="1">
        <v>937.0</v>
      </c>
      <c r="C1372" s="1">
        <v>4.0</v>
      </c>
      <c r="D1372" s="4">
        <v>43129.0</v>
      </c>
      <c r="E1372" s="4">
        <v>43130.0</v>
      </c>
      <c r="F1372" s="4">
        <v>43132.0</v>
      </c>
      <c r="G1372" s="1">
        <v>2.0</v>
      </c>
      <c r="H1372" s="1">
        <v>7.0</v>
      </c>
      <c r="I1372" s="3" t="str">
        <f>VLOOKUP(B1372,Customers!A:J, 10,FALSE)</f>
        <v>Aida Koch</v>
      </c>
      <c r="J1372" s="3" t="str">
        <f>VLOOKUP(B1372,Customers!A:J,8,FALSE)</f>
        <v>NY</v>
      </c>
      <c r="K1372" s="3" t="str">
        <f>VLOOKUP(B1372,Customers!A:J,7,FALSE)</f>
        <v>West Hempstead</v>
      </c>
      <c r="L1372" s="3" t="str">
        <f>VLOOKUP(H1372,Staff!A:I,9,FALSE)</f>
        <v>Venita Daniel</v>
      </c>
      <c r="M1372" s="3" t="str">
        <f>VLOOKUP(G1372,Store!A:H,2,FALSE)</f>
        <v>Baldwin Bikes</v>
      </c>
      <c r="N1372" s="3" t="str">
        <f>VLOOKUP(G1372,Store!A:H,6,FALSE)</f>
        <v>Baldwin</v>
      </c>
      <c r="O1372" s="3" t="s">
        <v>16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">
        <v>1372.0</v>
      </c>
      <c r="B1373" s="1">
        <v>1013.0</v>
      </c>
      <c r="C1373" s="1">
        <v>4.0</v>
      </c>
      <c r="D1373" s="4">
        <v>43129.0</v>
      </c>
      <c r="E1373" s="4">
        <v>43132.0</v>
      </c>
      <c r="F1373" s="4">
        <v>43130.0</v>
      </c>
      <c r="G1373" s="1">
        <v>2.0</v>
      </c>
      <c r="H1373" s="1">
        <v>6.0</v>
      </c>
      <c r="I1373" s="3" t="str">
        <f>VLOOKUP(B1373,Customers!A:J, 10,FALSE)</f>
        <v>Alma Peck</v>
      </c>
      <c r="J1373" s="3" t="str">
        <f>VLOOKUP(B1373,Customers!A:J,8,FALSE)</f>
        <v>NY</v>
      </c>
      <c r="K1373" s="3" t="str">
        <f>VLOOKUP(B1373,Customers!A:J,7,FALSE)</f>
        <v>Corona</v>
      </c>
      <c r="L1373" s="3" t="str">
        <f>VLOOKUP(H1373,Staff!A:I,9,FALSE)</f>
        <v>Marcelene Boyer</v>
      </c>
      <c r="M1373" s="3" t="str">
        <f>VLOOKUP(G1373,Store!A:H,2,FALSE)</f>
        <v>Baldwin Bikes</v>
      </c>
      <c r="N1373" s="3" t="str">
        <f>VLOOKUP(G1373,Store!A:H,6,FALSE)</f>
        <v>Baldwin</v>
      </c>
      <c r="O1373" s="3" t="s">
        <v>16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">
        <v>1373.0</v>
      </c>
      <c r="B1374" s="1">
        <v>427.0</v>
      </c>
      <c r="C1374" s="1">
        <v>4.0</v>
      </c>
      <c r="D1374" s="4">
        <v>43129.0</v>
      </c>
      <c r="E1374" s="4">
        <v>43131.0</v>
      </c>
      <c r="F1374" s="4">
        <v>43131.0</v>
      </c>
      <c r="G1374" s="1">
        <v>3.0</v>
      </c>
      <c r="H1374" s="1">
        <v>9.0</v>
      </c>
      <c r="I1374" s="3" t="str">
        <f>VLOOKUP(B1374,Customers!A:J, 10,FALSE)</f>
        <v>Latonya Dixon</v>
      </c>
      <c r="J1374" s="3" t="str">
        <f>VLOOKUP(B1374,Customers!A:J,8,FALSE)</f>
        <v>TX</v>
      </c>
      <c r="K1374" s="3" t="str">
        <f>VLOOKUP(B1374,Customers!A:J,7,FALSE)</f>
        <v>Garland</v>
      </c>
      <c r="L1374" s="3" t="str">
        <f>VLOOKUP(H1374,Staff!A:I,9,FALSE)</f>
        <v>Layla Terrell</v>
      </c>
      <c r="M1374" s="3" t="str">
        <f>VLOOKUP(G1374,Store!A:H,2,FALSE)</f>
        <v>Rowlett Bikes</v>
      </c>
      <c r="N1374" s="3" t="str">
        <f>VLOOKUP(G1374,Store!A:H,6,FALSE)</f>
        <v>Rowlett</v>
      </c>
      <c r="O1374" s="3" t="s">
        <v>17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">
        <v>1374.0</v>
      </c>
      <c r="B1375" s="1">
        <v>1330.0</v>
      </c>
      <c r="C1375" s="1">
        <v>4.0</v>
      </c>
      <c r="D1375" s="4">
        <v>43130.0</v>
      </c>
      <c r="E1375" s="4">
        <v>43132.0</v>
      </c>
      <c r="F1375" s="4">
        <v>43132.0</v>
      </c>
      <c r="G1375" s="1">
        <v>1.0</v>
      </c>
      <c r="H1375" s="1">
        <v>3.0</v>
      </c>
      <c r="I1375" s="3" t="str">
        <f>VLOOKUP(B1375,Customers!A:J, 10,FALSE)</f>
        <v>Karren Stevenson</v>
      </c>
      <c r="J1375" s="3" t="str">
        <f>VLOOKUP(B1375,Customers!A:J,8,FALSE)</f>
        <v>CA</v>
      </c>
      <c r="K1375" s="3" t="str">
        <f>VLOOKUP(B1375,Customers!A:J,7,FALSE)</f>
        <v>San Carlos</v>
      </c>
      <c r="L1375" s="3" t="str">
        <f>VLOOKUP(H1375,Staff!A:I,9,FALSE)</f>
        <v>Genna Serrano</v>
      </c>
      <c r="M1375" s="3" t="str">
        <f>VLOOKUP(G1375,Store!A:H,2,FALSE)</f>
        <v>Santa Cruz Bikes</v>
      </c>
      <c r="N1375" s="3" t="str">
        <f>VLOOKUP(G1375,Store!A:H,6,FALSE)</f>
        <v>Santa Cruz</v>
      </c>
      <c r="O1375" s="3" t="s">
        <v>15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">
        <v>1375.0</v>
      </c>
      <c r="B1376" s="1">
        <v>312.0</v>
      </c>
      <c r="C1376" s="1">
        <v>4.0</v>
      </c>
      <c r="D1376" s="4">
        <v>43130.0</v>
      </c>
      <c r="E1376" s="4">
        <v>43132.0</v>
      </c>
      <c r="F1376" s="4">
        <v>43132.0</v>
      </c>
      <c r="G1376" s="1">
        <v>3.0</v>
      </c>
      <c r="H1376" s="1">
        <v>8.0</v>
      </c>
      <c r="I1376" s="3" t="str">
        <f>VLOOKUP(B1376,Customers!A:J, 10,FALSE)</f>
        <v>Cameron Carroll</v>
      </c>
      <c r="J1376" s="3" t="str">
        <f>VLOOKUP(B1376,Customers!A:J,8,FALSE)</f>
        <v>TX</v>
      </c>
      <c r="K1376" s="3" t="str">
        <f>VLOOKUP(B1376,Customers!A:J,7,FALSE)</f>
        <v>Longview</v>
      </c>
      <c r="L1376" s="3" t="str">
        <f>VLOOKUP(H1376,Staff!A:I,9,FALSE)</f>
        <v>Kali Vargas</v>
      </c>
      <c r="M1376" s="3" t="str">
        <f>VLOOKUP(G1376,Store!A:H,2,FALSE)</f>
        <v>Rowlett Bikes</v>
      </c>
      <c r="N1376" s="3" t="str">
        <f>VLOOKUP(G1376,Store!A:H,6,FALSE)</f>
        <v>Rowlett</v>
      </c>
      <c r="O1376" s="3" t="s">
        <v>17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">
        <v>1376.0</v>
      </c>
      <c r="B1377" s="1">
        <v>1186.0</v>
      </c>
      <c r="C1377" s="1">
        <v>4.0</v>
      </c>
      <c r="D1377" s="4">
        <v>43132.0</v>
      </c>
      <c r="E1377" s="4">
        <v>43133.0</v>
      </c>
      <c r="F1377" s="4">
        <v>43134.0</v>
      </c>
      <c r="G1377" s="1">
        <v>1.0</v>
      </c>
      <c r="H1377" s="1">
        <v>2.0</v>
      </c>
      <c r="I1377" s="3" t="str">
        <f>VLOOKUP(B1377,Customers!A:J, 10,FALSE)</f>
        <v>Kiesha Bond</v>
      </c>
      <c r="J1377" s="3" t="str">
        <f>VLOOKUP(B1377,Customers!A:J,8,FALSE)</f>
        <v>CA</v>
      </c>
      <c r="K1377" s="3" t="str">
        <f>VLOOKUP(B1377,Customers!A:J,7,FALSE)</f>
        <v>San Carlos</v>
      </c>
      <c r="L1377" s="3" t="str">
        <f>VLOOKUP(H1377,Staff!A:I,9,FALSE)</f>
        <v>Mireya Copeland</v>
      </c>
      <c r="M1377" s="3" t="str">
        <f>VLOOKUP(G1377,Store!A:H,2,FALSE)</f>
        <v>Santa Cruz Bikes</v>
      </c>
      <c r="N1377" s="3" t="str">
        <f>VLOOKUP(G1377,Store!A:H,6,FALSE)</f>
        <v>Santa Cruz</v>
      </c>
      <c r="O1377" s="3" t="s">
        <v>15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">
        <v>1377.0</v>
      </c>
      <c r="B1378" s="1">
        <v>1007.0</v>
      </c>
      <c r="C1378" s="1">
        <v>4.0</v>
      </c>
      <c r="D1378" s="4">
        <v>43132.0</v>
      </c>
      <c r="E1378" s="4">
        <v>43134.0</v>
      </c>
      <c r="F1378" s="4">
        <v>43134.0</v>
      </c>
      <c r="G1378" s="1">
        <v>2.0</v>
      </c>
      <c r="H1378" s="1">
        <v>7.0</v>
      </c>
      <c r="I1378" s="3" t="str">
        <f>VLOOKUP(B1378,Customers!A:J, 10,FALSE)</f>
        <v>Jimmy Russell</v>
      </c>
      <c r="J1378" s="3" t="str">
        <f>VLOOKUP(B1378,Customers!A:J,8,FALSE)</f>
        <v>NY</v>
      </c>
      <c r="K1378" s="3" t="str">
        <f>VLOOKUP(B1378,Customers!A:J,7,FALSE)</f>
        <v>Howard Beach</v>
      </c>
      <c r="L1378" s="3" t="str">
        <f>VLOOKUP(H1378,Staff!A:I,9,FALSE)</f>
        <v>Venita Daniel</v>
      </c>
      <c r="M1378" s="3" t="str">
        <f>VLOOKUP(G1378,Store!A:H,2,FALSE)</f>
        <v>Baldwin Bikes</v>
      </c>
      <c r="N1378" s="3" t="str">
        <f>VLOOKUP(G1378,Store!A:H,6,FALSE)</f>
        <v>Baldwin</v>
      </c>
      <c r="O1378" s="3" t="s">
        <v>16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">
        <v>1378.0</v>
      </c>
      <c r="B1379" s="1">
        <v>983.0</v>
      </c>
      <c r="C1379" s="1">
        <v>4.0</v>
      </c>
      <c r="D1379" s="4">
        <v>43133.0</v>
      </c>
      <c r="E1379" s="4">
        <v>43136.0</v>
      </c>
      <c r="F1379" s="4">
        <v>43135.0</v>
      </c>
      <c r="G1379" s="1">
        <v>1.0</v>
      </c>
      <c r="H1379" s="1">
        <v>2.0</v>
      </c>
      <c r="I1379" s="3" t="str">
        <f>VLOOKUP(B1379,Customers!A:J, 10,FALSE)</f>
        <v>Marguerite Berger</v>
      </c>
      <c r="J1379" s="3" t="str">
        <f>VLOOKUP(B1379,Customers!A:J,8,FALSE)</f>
        <v>CA</v>
      </c>
      <c r="K1379" s="3" t="str">
        <f>VLOOKUP(B1379,Customers!A:J,7,FALSE)</f>
        <v>Fullerton</v>
      </c>
      <c r="L1379" s="3" t="str">
        <f>VLOOKUP(H1379,Staff!A:I,9,FALSE)</f>
        <v>Mireya Copeland</v>
      </c>
      <c r="M1379" s="3" t="str">
        <f>VLOOKUP(G1379,Store!A:H,2,FALSE)</f>
        <v>Santa Cruz Bikes</v>
      </c>
      <c r="N1379" s="3" t="str">
        <f>VLOOKUP(G1379,Store!A:H,6,FALSE)</f>
        <v>Santa Cruz</v>
      </c>
      <c r="O1379" s="3" t="s">
        <v>15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">
        <v>1379.0</v>
      </c>
      <c r="B1380" s="1">
        <v>1256.0</v>
      </c>
      <c r="C1380" s="1">
        <v>4.0</v>
      </c>
      <c r="D1380" s="4">
        <v>43133.0</v>
      </c>
      <c r="E1380" s="4">
        <v>43136.0</v>
      </c>
      <c r="F1380" s="4">
        <v>43136.0</v>
      </c>
      <c r="G1380" s="1">
        <v>2.0</v>
      </c>
      <c r="H1380" s="1">
        <v>6.0</v>
      </c>
      <c r="I1380" s="3" t="str">
        <f>VLOOKUP(B1380,Customers!A:J, 10,FALSE)</f>
        <v>Nubia Anderson</v>
      </c>
      <c r="J1380" s="3" t="str">
        <f>VLOOKUP(B1380,Customers!A:J,8,FALSE)</f>
        <v>NY</v>
      </c>
      <c r="K1380" s="3" t="str">
        <f>VLOOKUP(B1380,Customers!A:J,7,FALSE)</f>
        <v>Ronkonkoma</v>
      </c>
      <c r="L1380" s="3" t="str">
        <f>VLOOKUP(H1380,Staff!A:I,9,FALSE)</f>
        <v>Marcelene Boyer</v>
      </c>
      <c r="M1380" s="3" t="str">
        <f>VLOOKUP(G1380,Store!A:H,2,FALSE)</f>
        <v>Baldwin Bikes</v>
      </c>
      <c r="N1380" s="3" t="str">
        <f>VLOOKUP(G1380,Store!A:H,6,FALSE)</f>
        <v>Baldwin</v>
      </c>
      <c r="O1380" s="3" t="s">
        <v>16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">
        <v>1380.0</v>
      </c>
      <c r="B1381" s="1">
        <v>818.0</v>
      </c>
      <c r="C1381" s="1">
        <v>4.0</v>
      </c>
      <c r="D1381" s="4">
        <v>43136.0</v>
      </c>
      <c r="E1381" s="4">
        <v>43139.0</v>
      </c>
      <c r="F1381" s="4">
        <v>43139.0</v>
      </c>
      <c r="G1381" s="1">
        <v>1.0</v>
      </c>
      <c r="H1381" s="1">
        <v>3.0</v>
      </c>
      <c r="I1381" s="3" t="str">
        <f>VLOOKUP(B1381,Customers!A:J, 10,FALSE)</f>
        <v>Joel Wynn</v>
      </c>
      <c r="J1381" s="3" t="str">
        <f>VLOOKUP(B1381,Customers!A:J,8,FALSE)</f>
        <v>CA</v>
      </c>
      <c r="K1381" s="3" t="str">
        <f>VLOOKUP(B1381,Customers!A:J,7,FALSE)</f>
        <v>San Diego</v>
      </c>
      <c r="L1381" s="3" t="str">
        <f>VLOOKUP(H1381,Staff!A:I,9,FALSE)</f>
        <v>Genna Serrano</v>
      </c>
      <c r="M1381" s="3" t="str">
        <f>VLOOKUP(G1381,Store!A:H,2,FALSE)</f>
        <v>Santa Cruz Bikes</v>
      </c>
      <c r="N1381" s="3" t="str">
        <f>VLOOKUP(G1381,Store!A:H,6,FALSE)</f>
        <v>Santa Cruz</v>
      </c>
      <c r="O1381" s="3" t="s">
        <v>15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">
        <v>1381.0</v>
      </c>
      <c r="B1382" s="1">
        <v>680.0</v>
      </c>
      <c r="C1382" s="1">
        <v>4.0</v>
      </c>
      <c r="D1382" s="4">
        <v>43136.0</v>
      </c>
      <c r="E1382" s="4">
        <v>43137.0</v>
      </c>
      <c r="F1382" s="4">
        <v>43139.0</v>
      </c>
      <c r="G1382" s="1">
        <v>2.0</v>
      </c>
      <c r="H1382" s="1">
        <v>7.0</v>
      </c>
      <c r="I1382" s="3" t="str">
        <f>VLOOKUP(B1382,Customers!A:J, 10,FALSE)</f>
        <v>Mathilda Pennington</v>
      </c>
      <c r="J1382" s="3" t="str">
        <f>VLOOKUP(B1382,Customers!A:J,8,FALSE)</f>
        <v>NY</v>
      </c>
      <c r="K1382" s="3" t="str">
        <f>VLOOKUP(B1382,Customers!A:J,7,FALSE)</f>
        <v>New City</v>
      </c>
      <c r="L1382" s="3" t="str">
        <f>VLOOKUP(H1382,Staff!A:I,9,FALSE)</f>
        <v>Venita Daniel</v>
      </c>
      <c r="M1382" s="3" t="str">
        <f>VLOOKUP(G1382,Store!A:H,2,FALSE)</f>
        <v>Baldwin Bikes</v>
      </c>
      <c r="N1382" s="3" t="str">
        <f>VLOOKUP(G1382,Store!A:H,6,FALSE)</f>
        <v>Baldwin</v>
      </c>
      <c r="O1382" s="3" t="s">
        <v>16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">
        <v>1382.0</v>
      </c>
      <c r="B1383" s="1">
        <v>1303.0</v>
      </c>
      <c r="C1383" s="1">
        <v>4.0</v>
      </c>
      <c r="D1383" s="4">
        <v>43137.0</v>
      </c>
      <c r="E1383" s="4">
        <v>43140.0</v>
      </c>
      <c r="F1383" s="4">
        <v>43139.0</v>
      </c>
      <c r="G1383" s="1">
        <v>2.0</v>
      </c>
      <c r="H1383" s="1">
        <v>6.0</v>
      </c>
      <c r="I1383" s="3" t="str">
        <f>VLOOKUP(B1383,Customers!A:J, 10,FALSE)</f>
        <v>Renay Atkins</v>
      </c>
      <c r="J1383" s="3" t="str">
        <f>VLOOKUP(B1383,Customers!A:J,8,FALSE)</f>
        <v>NY</v>
      </c>
      <c r="K1383" s="3" t="str">
        <f>VLOOKUP(B1383,Customers!A:J,7,FALSE)</f>
        <v>Woodside</v>
      </c>
      <c r="L1383" s="3" t="str">
        <f>VLOOKUP(H1383,Staff!A:I,9,FALSE)</f>
        <v>Marcelene Boyer</v>
      </c>
      <c r="M1383" s="3" t="str">
        <f>VLOOKUP(G1383,Store!A:H,2,FALSE)</f>
        <v>Baldwin Bikes</v>
      </c>
      <c r="N1383" s="3" t="str">
        <f>VLOOKUP(G1383,Store!A:H,6,FALSE)</f>
        <v>Baldwin</v>
      </c>
      <c r="O1383" s="3" t="s">
        <v>16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">
        <v>1383.0</v>
      </c>
      <c r="B1384" s="1">
        <v>488.0</v>
      </c>
      <c r="C1384" s="1">
        <v>4.0</v>
      </c>
      <c r="D1384" s="4">
        <v>43138.0</v>
      </c>
      <c r="E1384" s="4">
        <v>43139.0</v>
      </c>
      <c r="F1384" s="4">
        <v>43139.0</v>
      </c>
      <c r="G1384" s="1">
        <v>1.0</v>
      </c>
      <c r="H1384" s="1">
        <v>3.0</v>
      </c>
      <c r="I1384" s="3" t="str">
        <f>VLOOKUP(B1384,Customers!A:J, 10,FALSE)</f>
        <v>Joaquin Hawkins</v>
      </c>
      <c r="J1384" s="3" t="str">
        <f>VLOOKUP(B1384,Customers!A:J,8,FALSE)</f>
        <v>CA</v>
      </c>
      <c r="K1384" s="3" t="str">
        <f>VLOOKUP(B1384,Customers!A:J,7,FALSE)</f>
        <v>Anaheim</v>
      </c>
      <c r="L1384" s="3" t="str">
        <f>VLOOKUP(H1384,Staff!A:I,9,FALSE)</f>
        <v>Genna Serrano</v>
      </c>
      <c r="M1384" s="3" t="str">
        <f>VLOOKUP(G1384,Store!A:H,2,FALSE)</f>
        <v>Santa Cruz Bikes</v>
      </c>
      <c r="N1384" s="3" t="str">
        <f>VLOOKUP(G1384,Store!A:H,6,FALSE)</f>
        <v>Santa Cruz</v>
      </c>
      <c r="O1384" s="3" t="s">
        <v>15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">
        <v>1384.0</v>
      </c>
      <c r="B1385" s="1">
        <v>1126.0</v>
      </c>
      <c r="C1385" s="1">
        <v>4.0</v>
      </c>
      <c r="D1385" s="4">
        <v>43139.0</v>
      </c>
      <c r="E1385" s="4">
        <v>43141.0</v>
      </c>
      <c r="F1385" s="4">
        <v>43140.0</v>
      </c>
      <c r="G1385" s="1">
        <v>2.0</v>
      </c>
      <c r="H1385" s="1">
        <v>7.0</v>
      </c>
      <c r="I1385" s="3" t="str">
        <f>VLOOKUP(B1385,Customers!A:J, 10,FALSE)</f>
        <v>Elmira Levy</v>
      </c>
      <c r="J1385" s="3" t="str">
        <f>VLOOKUP(B1385,Customers!A:J,8,FALSE)</f>
        <v>NY</v>
      </c>
      <c r="K1385" s="3" t="str">
        <f>VLOOKUP(B1385,Customers!A:J,7,FALSE)</f>
        <v>Spring Valley</v>
      </c>
      <c r="L1385" s="3" t="str">
        <f>VLOOKUP(H1385,Staff!A:I,9,FALSE)</f>
        <v>Venita Daniel</v>
      </c>
      <c r="M1385" s="3" t="str">
        <f>VLOOKUP(G1385,Store!A:H,2,FALSE)</f>
        <v>Baldwin Bikes</v>
      </c>
      <c r="N1385" s="3" t="str">
        <f>VLOOKUP(G1385,Store!A:H,6,FALSE)</f>
        <v>Baldwin</v>
      </c>
      <c r="O1385" s="3" t="s">
        <v>16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">
        <v>1385.0</v>
      </c>
      <c r="B1386" s="1">
        <v>866.0</v>
      </c>
      <c r="C1386" s="1">
        <v>4.0</v>
      </c>
      <c r="D1386" s="4">
        <v>43139.0</v>
      </c>
      <c r="E1386" s="4">
        <v>43142.0</v>
      </c>
      <c r="F1386" s="4">
        <v>43140.0</v>
      </c>
      <c r="G1386" s="1">
        <v>3.0</v>
      </c>
      <c r="H1386" s="1">
        <v>9.0</v>
      </c>
      <c r="I1386" s="3" t="str">
        <f>VLOOKUP(B1386,Customers!A:J, 10,FALSE)</f>
        <v>Lynwood Jackson</v>
      </c>
      <c r="J1386" s="3" t="str">
        <f>VLOOKUP(B1386,Customers!A:J,8,FALSE)</f>
        <v>TX</v>
      </c>
      <c r="K1386" s="3" t="str">
        <f>VLOOKUP(B1386,Customers!A:J,7,FALSE)</f>
        <v>Longview</v>
      </c>
      <c r="L1386" s="3" t="str">
        <f>VLOOKUP(H1386,Staff!A:I,9,FALSE)</f>
        <v>Layla Terrell</v>
      </c>
      <c r="M1386" s="3" t="str">
        <f>VLOOKUP(G1386,Store!A:H,2,FALSE)</f>
        <v>Rowlett Bikes</v>
      </c>
      <c r="N1386" s="3" t="str">
        <f>VLOOKUP(G1386,Store!A:H,6,FALSE)</f>
        <v>Rowlett</v>
      </c>
      <c r="O1386" s="3" t="s">
        <v>17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">
        <v>1386.0</v>
      </c>
      <c r="B1387" s="1">
        <v>1254.0</v>
      </c>
      <c r="C1387" s="1">
        <v>4.0</v>
      </c>
      <c r="D1387" s="4">
        <v>43140.0</v>
      </c>
      <c r="E1387" s="4">
        <v>43141.0</v>
      </c>
      <c r="F1387" s="4">
        <v>43142.0</v>
      </c>
      <c r="G1387" s="1">
        <v>1.0</v>
      </c>
      <c r="H1387" s="1">
        <v>2.0</v>
      </c>
      <c r="I1387" s="3" t="str">
        <f>VLOOKUP(B1387,Customers!A:J, 10,FALSE)</f>
        <v>Dung Reid</v>
      </c>
      <c r="J1387" s="3" t="str">
        <f>VLOOKUP(B1387,Customers!A:J,8,FALSE)</f>
        <v>CA</v>
      </c>
      <c r="K1387" s="3" t="str">
        <f>VLOOKUP(B1387,Customers!A:J,7,FALSE)</f>
        <v>Canyon Country</v>
      </c>
      <c r="L1387" s="3" t="str">
        <f>VLOOKUP(H1387,Staff!A:I,9,FALSE)</f>
        <v>Mireya Copeland</v>
      </c>
      <c r="M1387" s="3" t="str">
        <f>VLOOKUP(G1387,Store!A:H,2,FALSE)</f>
        <v>Santa Cruz Bikes</v>
      </c>
      <c r="N1387" s="3" t="str">
        <f>VLOOKUP(G1387,Store!A:H,6,FALSE)</f>
        <v>Santa Cruz</v>
      </c>
      <c r="O1387" s="3" t="s">
        <v>15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">
        <v>1387.0</v>
      </c>
      <c r="B1388" s="1">
        <v>11.0</v>
      </c>
      <c r="C1388" s="1">
        <v>4.0</v>
      </c>
      <c r="D1388" s="4">
        <v>43140.0</v>
      </c>
      <c r="E1388" s="4">
        <v>43142.0</v>
      </c>
      <c r="F1388" s="4">
        <v>43142.0</v>
      </c>
      <c r="G1388" s="1">
        <v>2.0</v>
      </c>
      <c r="H1388" s="1">
        <v>7.0</v>
      </c>
      <c r="I1388" s="3" t="str">
        <f>VLOOKUP(B1388,Customers!A:J, 10,FALSE)</f>
        <v>Deshawn Mendoza</v>
      </c>
      <c r="J1388" s="3" t="str">
        <f>VLOOKUP(B1388,Customers!A:J,8,FALSE)</f>
        <v>NY</v>
      </c>
      <c r="K1388" s="3" t="str">
        <f>VLOOKUP(B1388,Customers!A:J,7,FALSE)</f>
        <v>Monsey</v>
      </c>
      <c r="L1388" s="3" t="str">
        <f>VLOOKUP(H1388,Staff!A:I,9,FALSE)</f>
        <v>Venita Daniel</v>
      </c>
      <c r="M1388" s="3" t="str">
        <f>VLOOKUP(G1388,Store!A:H,2,FALSE)</f>
        <v>Baldwin Bikes</v>
      </c>
      <c r="N1388" s="3" t="str">
        <f>VLOOKUP(G1388,Store!A:H,6,FALSE)</f>
        <v>Baldwin</v>
      </c>
      <c r="O1388" s="3" t="s">
        <v>16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">
        <v>1388.0</v>
      </c>
      <c r="B1389" s="1">
        <v>323.0</v>
      </c>
      <c r="C1389" s="1">
        <v>4.0</v>
      </c>
      <c r="D1389" s="4">
        <v>43140.0</v>
      </c>
      <c r="E1389" s="4">
        <v>43143.0</v>
      </c>
      <c r="F1389" s="4">
        <v>43143.0</v>
      </c>
      <c r="G1389" s="1">
        <v>2.0</v>
      </c>
      <c r="H1389" s="1">
        <v>7.0</v>
      </c>
      <c r="I1389" s="3" t="str">
        <f>VLOOKUP(B1389,Customers!A:J, 10,FALSE)</f>
        <v>Jeniffer Slater</v>
      </c>
      <c r="J1389" s="3" t="str">
        <f>VLOOKUP(B1389,Customers!A:J,8,FALSE)</f>
        <v>NY</v>
      </c>
      <c r="K1389" s="3" t="str">
        <f>VLOOKUP(B1389,Customers!A:J,7,FALSE)</f>
        <v>Schenectady</v>
      </c>
      <c r="L1389" s="3" t="str">
        <f>VLOOKUP(H1389,Staff!A:I,9,FALSE)</f>
        <v>Venita Daniel</v>
      </c>
      <c r="M1389" s="3" t="str">
        <f>VLOOKUP(G1389,Store!A:H,2,FALSE)</f>
        <v>Baldwin Bikes</v>
      </c>
      <c r="N1389" s="3" t="str">
        <f>VLOOKUP(G1389,Store!A:H,6,FALSE)</f>
        <v>Baldwin</v>
      </c>
      <c r="O1389" s="3" t="s">
        <v>16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">
        <v>1389.0</v>
      </c>
      <c r="B1390" s="1">
        <v>491.0</v>
      </c>
      <c r="C1390" s="1">
        <v>4.0</v>
      </c>
      <c r="D1390" s="4">
        <v>43142.0</v>
      </c>
      <c r="E1390" s="4">
        <v>43143.0</v>
      </c>
      <c r="F1390" s="4">
        <v>43145.0</v>
      </c>
      <c r="G1390" s="1">
        <v>2.0</v>
      </c>
      <c r="H1390" s="1">
        <v>7.0</v>
      </c>
      <c r="I1390" s="3" t="str">
        <f>VLOOKUP(B1390,Customers!A:J, 10,FALSE)</f>
        <v>Celestine Jacobs</v>
      </c>
      <c r="J1390" s="3" t="str">
        <f>VLOOKUP(B1390,Customers!A:J,8,FALSE)</f>
        <v>NY</v>
      </c>
      <c r="K1390" s="3" t="str">
        <f>VLOOKUP(B1390,Customers!A:J,7,FALSE)</f>
        <v>Massapequa</v>
      </c>
      <c r="L1390" s="3" t="str">
        <f>VLOOKUP(H1390,Staff!A:I,9,FALSE)</f>
        <v>Venita Daniel</v>
      </c>
      <c r="M1390" s="3" t="str">
        <f>VLOOKUP(G1390,Store!A:H,2,FALSE)</f>
        <v>Baldwin Bikes</v>
      </c>
      <c r="N1390" s="3" t="str">
        <f>VLOOKUP(G1390,Store!A:H,6,FALSE)</f>
        <v>Baldwin</v>
      </c>
      <c r="O1390" s="3" t="s">
        <v>16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">
        <v>1390.0</v>
      </c>
      <c r="B1391" s="1">
        <v>63.0</v>
      </c>
      <c r="C1391" s="1">
        <v>4.0</v>
      </c>
      <c r="D1391" s="4">
        <v>43143.0</v>
      </c>
      <c r="E1391" s="4">
        <v>43144.0</v>
      </c>
      <c r="F1391" s="4">
        <v>43144.0</v>
      </c>
      <c r="G1391" s="1">
        <v>2.0</v>
      </c>
      <c r="H1391" s="1">
        <v>7.0</v>
      </c>
      <c r="I1391" s="3" t="str">
        <f>VLOOKUP(B1391,Customers!A:J, 10,FALSE)</f>
        <v>Tenisha Lyons</v>
      </c>
      <c r="J1391" s="3" t="str">
        <f>VLOOKUP(B1391,Customers!A:J,8,FALSE)</f>
        <v>NY</v>
      </c>
      <c r="K1391" s="3" t="str">
        <f>VLOOKUP(B1391,Customers!A:J,7,FALSE)</f>
        <v>Amityville</v>
      </c>
      <c r="L1391" s="3" t="str">
        <f>VLOOKUP(H1391,Staff!A:I,9,FALSE)</f>
        <v>Venita Daniel</v>
      </c>
      <c r="M1391" s="3" t="str">
        <f>VLOOKUP(G1391,Store!A:H,2,FALSE)</f>
        <v>Baldwin Bikes</v>
      </c>
      <c r="N1391" s="3" t="str">
        <f>VLOOKUP(G1391,Store!A:H,6,FALSE)</f>
        <v>Baldwin</v>
      </c>
      <c r="O1391" s="3" t="s">
        <v>16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">
        <v>1391.0</v>
      </c>
      <c r="B1392" s="1">
        <v>914.0</v>
      </c>
      <c r="C1392" s="1">
        <v>4.0</v>
      </c>
      <c r="D1392" s="4">
        <v>43144.0</v>
      </c>
      <c r="E1392" s="4">
        <v>43145.0</v>
      </c>
      <c r="F1392" s="4">
        <v>43145.0</v>
      </c>
      <c r="G1392" s="1">
        <v>2.0</v>
      </c>
      <c r="H1392" s="1">
        <v>7.0</v>
      </c>
      <c r="I1392" s="3" t="str">
        <f>VLOOKUP(B1392,Customers!A:J, 10,FALSE)</f>
        <v>Hortencia O'neil</v>
      </c>
      <c r="J1392" s="3" t="str">
        <f>VLOOKUP(B1392,Customers!A:J,8,FALSE)</f>
        <v>NY</v>
      </c>
      <c r="K1392" s="3" t="str">
        <f>VLOOKUP(B1392,Customers!A:J,7,FALSE)</f>
        <v>Rockville Centre</v>
      </c>
      <c r="L1392" s="3" t="str">
        <f>VLOOKUP(H1392,Staff!A:I,9,FALSE)</f>
        <v>Venita Daniel</v>
      </c>
      <c r="M1392" s="3" t="str">
        <f>VLOOKUP(G1392,Store!A:H,2,FALSE)</f>
        <v>Baldwin Bikes</v>
      </c>
      <c r="N1392" s="3" t="str">
        <f>VLOOKUP(G1392,Store!A:H,6,FALSE)</f>
        <v>Baldwin</v>
      </c>
      <c r="O1392" s="3" t="s">
        <v>16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">
        <v>1392.0</v>
      </c>
      <c r="B1393" s="1">
        <v>1187.0</v>
      </c>
      <c r="C1393" s="1">
        <v>4.0</v>
      </c>
      <c r="D1393" s="4">
        <v>43144.0</v>
      </c>
      <c r="E1393" s="4">
        <v>43145.0</v>
      </c>
      <c r="F1393" s="4">
        <v>43145.0</v>
      </c>
      <c r="G1393" s="1">
        <v>2.0</v>
      </c>
      <c r="H1393" s="1">
        <v>6.0</v>
      </c>
      <c r="I1393" s="3" t="str">
        <f>VLOOKUP(B1393,Customers!A:J, 10,FALSE)</f>
        <v>Kenyetta Mason</v>
      </c>
      <c r="J1393" s="3" t="str">
        <f>VLOOKUP(B1393,Customers!A:J,8,FALSE)</f>
        <v>NY</v>
      </c>
      <c r="K1393" s="3" t="str">
        <f>VLOOKUP(B1393,Customers!A:J,7,FALSE)</f>
        <v>Flushing</v>
      </c>
      <c r="L1393" s="3" t="str">
        <f>VLOOKUP(H1393,Staff!A:I,9,FALSE)</f>
        <v>Marcelene Boyer</v>
      </c>
      <c r="M1393" s="3" t="str">
        <f>VLOOKUP(G1393,Store!A:H,2,FALSE)</f>
        <v>Baldwin Bikes</v>
      </c>
      <c r="N1393" s="3" t="str">
        <f>VLOOKUP(G1393,Store!A:H,6,FALSE)</f>
        <v>Baldwin</v>
      </c>
      <c r="O1393" s="3" t="s">
        <v>16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">
        <v>1393.0</v>
      </c>
      <c r="B1394" s="1">
        <v>547.0</v>
      </c>
      <c r="C1394" s="1">
        <v>4.0</v>
      </c>
      <c r="D1394" s="4">
        <v>43145.0</v>
      </c>
      <c r="E1394" s="4">
        <v>43146.0</v>
      </c>
      <c r="F1394" s="4">
        <v>43146.0</v>
      </c>
      <c r="G1394" s="1">
        <v>2.0</v>
      </c>
      <c r="H1394" s="1">
        <v>7.0</v>
      </c>
      <c r="I1394" s="3" t="str">
        <f>VLOOKUP(B1394,Customers!A:J, 10,FALSE)</f>
        <v>Tena Huber</v>
      </c>
      <c r="J1394" s="3" t="str">
        <f>VLOOKUP(B1394,Customers!A:J,8,FALSE)</f>
        <v>NY</v>
      </c>
      <c r="K1394" s="3" t="str">
        <f>VLOOKUP(B1394,Customers!A:J,7,FALSE)</f>
        <v>Newburgh</v>
      </c>
      <c r="L1394" s="3" t="str">
        <f>VLOOKUP(H1394,Staff!A:I,9,FALSE)</f>
        <v>Venita Daniel</v>
      </c>
      <c r="M1394" s="3" t="str">
        <f>VLOOKUP(G1394,Store!A:H,2,FALSE)</f>
        <v>Baldwin Bikes</v>
      </c>
      <c r="N1394" s="3" t="str">
        <f>VLOOKUP(G1394,Store!A:H,6,FALSE)</f>
        <v>Baldwin</v>
      </c>
      <c r="O1394" s="3" t="s">
        <v>16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">
        <v>1394.0</v>
      </c>
      <c r="B1395" s="1">
        <v>906.0</v>
      </c>
      <c r="C1395" s="1">
        <v>4.0</v>
      </c>
      <c r="D1395" s="4">
        <v>43145.0</v>
      </c>
      <c r="E1395" s="4">
        <v>43147.0</v>
      </c>
      <c r="F1395" s="4">
        <v>43147.0</v>
      </c>
      <c r="G1395" s="1">
        <v>3.0</v>
      </c>
      <c r="H1395" s="1">
        <v>8.0</v>
      </c>
      <c r="I1395" s="3" t="str">
        <f>VLOOKUP(B1395,Customers!A:J, 10,FALSE)</f>
        <v>Erik Leblanc</v>
      </c>
      <c r="J1395" s="3" t="str">
        <f>VLOOKUP(B1395,Customers!A:J,8,FALSE)</f>
        <v>TX</v>
      </c>
      <c r="K1395" s="3" t="str">
        <f>VLOOKUP(B1395,Customers!A:J,7,FALSE)</f>
        <v>Sugar Land</v>
      </c>
      <c r="L1395" s="3" t="str">
        <f>VLOOKUP(H1395,Staff!A:I,9,FALSE)</f>
        <v>Kali Vargas</v>
      </c>
      <c r="M1395" s="3" t="str">
        <f>VLOOKUP(G1395,Store!A:H,2,FALSE)</f>
        <v>Rowlett Bikes</v>
      </c>
      <c r="N1395" s="3" t="str">
        <f>VLOOKUP(G1395,Store!A:H,6,FALSE)</f>
        <v>Rowlett</v>
      </c>
      <c r="O1395" s="3" t="s">
        <v>17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">
        <v>1395.0</v>
      </c>
      <c r="B1396" s="1">
        <v>1052.0</v>
      </c>
      <c r="C1396" s="1">
        <v>4.0</v>
      </c>
      <c r="D1396" s="4">
        <v>43146.0</v>
      </c>
      <c r="E1396" s="4">
        <v>43149.0</v>
      </c>
      <c r="F1396" s="4">
        <v>43147.0</v>
      </c>
      <c r="G1396" s="1">
        <v>1.0</v>
      </c>
      <c r="H1396" s="1">
        <v>3.0</v>
      </c>
      <c r="I1396" s="3" t="str">
        <f>VLOOKUP(B1396,Customers!A:J, 10,FALSE)</f>
        <v>Zora Ford</v>
      </c>
      <c r="J1396" s="3" t="str">
        <f>VLOOKUP(B1396,Customers!A:J,8,FALSE)</f>
        <v>CA</v>
      </c>
      <c r="K1396" s="3" t="str">
        <f>VLOOKUP(B1396,Customers!A:J,7,FALSE)</f>
        <v>Sacramento</v>
      </c>
      <c r="L1396" s="3" t="str">
        <f>VLOOKUP(H1396,Staff!A:I,9,FALSE)</f>
        <v>Genna Serrano</v>
      </c>
      <c r="M1396" s="3" t="str">
        <f>VLOOKUP(G1396,Store!A:H,2,FALSE)</f>
        <v>Santa Cruz Bikes</v>
      </c>
      <c r="N1396" s="3" t="str">
        <f>VLOOKUP(G1396,Store!A:H,6,FALSE)</f>
        <v>Santa Cruz</v>
      </c>
      <c r="O1396" s="3" t="s">
        <v>15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">
        <v>1396.0</v>
      </c>
      <c r="B1397" s="1">
        <v>856.0</v>
      </c>
      <c r="C1397" s="1">
        <v>4.0</v>
      </c>
      <c r="D1397" s="4">
        <v>43146.0</v>
      </c>
      <c r="E1397" s="4">
        <v>43149.0</v>
      </c>
      <c r="F1397" s="4">
        <v>43147.0</v>
      </c>
      <c r="G1397" s="1">
        <v>2.0</v>
      </c>
      <c r="H1397" s="1">
        <v>7.0</v>
      </c>
      <c r="I1397" s="3" t="str">
        <f>VLOOKUP(B1397,Customers!A:J, 10,FALSE)</f>
        <v>Lara Guy</v>
      </c>
      <c r="J1397" s="3" t="str">
        <f>VLOOKUP(B1397,Customers!A:J,8,FALSE)</f>
        <v>NY</v>
      </c>
      <c r="K1397" s="3" t="str">
        <f>VLOOKUP(B1397,Customers!A:J,7,FALSE)</f>
        <v>Ronkonkoma</v>
      </c>
      <c r="L1397" s="3" t="str">
        <f>VLOOKUP(H1397,Staff!A:I,9,FALSE)</f>
        <v>Venita Daniel</v>
      </c>
      <c r="M1397" s="3" t="str">
        <f>VLOOKUP(G1397,Store!A:H,2,FALSE)</f>
        <v>Baldwin Bikes</v>
      </c>
      <c r="N1397" s="3" t="str">
        <f>VLOOKUP(G1397,Store!A:H,6,FALSE)</f>
        <v>Baldwin</v>
      </c>
      <c r="O1397" s="3" t="s">
        <v>16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">
        <v>1397.0</v>
      </c>
      <c r="B1398" s="1">
        <v>920.0</v>
      </c>
      <c r="C1398" s="1">
        <v>4.0</v>
      </c>
      <c r="D1398" s="4">
        <v>43146.0</v>
      </c>
      <c r="E1398" s="4">
        <v>43148.0</v>
      </c>
      <c r="F1398" s="4">
        <v>43147.0</v>
      </c>
      <c r="G1398" s="1">
        <v>2.0</v>
      </c>
      <c r="H1398" s="1">
        <v>6.0</v>
      </c>
      <c r="I1398" s="3" t="str">
        <f>VLOOKUP(B1398,Customers!A:J, 10,FALSE)</f>
        <v>James Robles</v>
      </c>
      <c r="J1398" s="3" t="str">
        <f>VLOOKUP(B1398,Customers!A:J,8,FALSE)</f>
        <v>NY</v>
      </c>
      <c r="K1398" s="3" t="str">
        <f>VLOOKUP(B1398,Customers!A:J,7,FALSE)</f>
        <v>North Tonawanda</v>
      </c>
      <c r="L1398" s="3" t="str">
        <f>VLOOKUP(H1398,Staff!A:I,9,FALSE)</f>
        <v>Marcelene Boyer</v>
      </c>
      <c r="M1398" s="3" t="str">
        <f>VLOOKUP(G1398,Store!A:H,2,FALSE)</f>
        <v>Baldwin Bikes</v>
      </c>
      <c r="N1398" s="3" t="str">
        <f>VLOOKUP(G1398,Store!A:H,6,FALSE)</f>
        <v>Baldwin</v>
      </c>
      <c r="O1398" s="3" t="s">
        <v>16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">
        <v>1398.0</v>
      </c>
      <c r="B1399" s="1">
        <v>1383.0</v>
      </c>
      <c r="C1399" s="1">
        <v>4.0</v>
      </c>
      <c r="D1399" s="4">
        <v>43147.0</v>
      </c>
      <c r="E1399" s="4">
        <v>43150.0</v>
      </c>
      <c r="F1399" s="4">
        <v>43150.0</v>
      </c>
      <c r="G1399" s="1">
        <v>1.0</v>
      </c>
      <c r="H1399" s="1">
        <v>3.0</v>
      </c>
      <c r="I1399" s="3" t="str">
        <f>VLOOKUP(B1399,Customers!A:J, 10,FALSE)</f>
        <v>Desire Mcgowan</v>
      </c>
      <c r="J1399" s="3" t="str">
        <f>VLOOKUP(B1399,Customers!A:J,8,FALSE)</f>
        <v>CA</v>
      </c>
      <c r="K1399" s="3" t="str">
        <f>VLOOKUP(B1399,Customers!A:J,7,FALSE)</f>
        <v>Bakersfield</v>
      </c>
      <c r="L1399" s="3" t="str">
        <f>VLOOKUP(H1399,Staff!A:I,9,FALSE)</f>
        <v>Genna Serrano</v>
      </c>
      <c r="M1399" s="3" t="str">
        <f>VLOOKUP(G1399,Store!A:H,2,FALSE)</f>
        <v>Santa Cruz Bikes</v>
      </c>
      <c r="N1399" s="3" t="str">
        <f>VLOOKUP(G1399,Store!A:H,6,FALSE)</f>
        <v>Santa Cruz</v>
      </c>
      <c r="O1399" s="3" t="s">
        <v>15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">
        <v>1399.0</v>
      </c>
      <c r="B1400" s="1">
        <v>146.0</v>
      </c>
      <c r="C1400" s="1">
        <v>4.0</v>
      </c>
      <c r="D1400" s="4">
        <v>43147.0</v>
      </c>
      <c r="E1400" s="4">
        <v>43149.0</v>
      </c>
      <c r="F1400" s="4">
        <v>43149.0</v>
      </c>
      <c r="G1400" s="1">
        <v>2.0</v>
      </c>
      <c r="H1400" s="1">
        <v>6.0</v>
      </c>
      <c r="I1400" s="3" t="str">
        <f>VLOOKUP(B1400,Customers!A:J, 10,FALSE)</f>
        <v>Stefany Potter</v>
      </c>
      <c r="J1400" s="3" t="str">
        <f>VLOOKUP(B1400,Customers!A:J,8,FALSE)</f>
        <v>NY</v>
      </c>
      <c r="K1400" s="3" t="str">
        <f>VLOOKUP(B1400,Customers!A:J,7,FALSE)</f>
        <v>Saratoga Springs</v>
      </c>
      <c r="L1400" s="3" t="str">
        <f>VLOOKUP(H1400,Staff!A:I,9,FALSE)</f>
        <v>Marcelene Boyer</v>
      </c>
      <c r="M1400" s="3" t="str">
        <f>VLOOKUP(G1400,Store!A:H,2,FALSE)</f>
        <v>Baldwin Bikes</v>
      </c>
      <c r="N1400" s="3" t="str">
        <f>VLOOKUP(G1400,Store!A:H,6,FALSE)</f>
        <v>Baldwin</v>
      </c>
      <c r="O1400" s="3" t="s">
        <v>16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">
        <v>1400.0</v>
      </c>
      <c r="B1401" s="1">
        <v>987.0</v>
      </c>
      <c r="C1401" s="1">
        <v>4.0</v>
      </c>
      <c r="D1401" s="4">
        <v>43148.0</v>
      </c>
      <c r="E1401" s="4">
        <v>43149.0</v>
      </c>
      <c r="F1401" s="4">
        <v>43149.0</v>
      </c>
      <c r="G1401" s="1">
        <v>2.0</v>
      </c>
      <c r="H1401" s="1">
        <v>6.0</v>
      </c>
      <c r="I1401" s="3" t="str">
        <f>VLOOKUP(B1401,Customers!A:J, 10,FALSE)</f>
        <v>Louis Powell</v>
      </c>
      <c r="J1401" s="3" t="str">
        <f>VLOOKUP(B1401,Customers!A:J,8,FALSE)</f>
        <v>NY</v>
      </c>
      <c r="K1401" s="3" t="str">
        <f>VLOOKUP(B1401,Customers!A:J,7,FALSE)</f>
        <v>Staten Island</v>
      </c>
      <c r="L1401" s="3" t="str">
        <f>VLOOKUP(H1401,Staff!A:I,9,FALSE)</f>
        <v>Marcelene Boyer</v>
      </c>
      <c r="M1401" s="3" t="str">
        <f>VLOOKUP(G1401,Store!A:H,2,FALSE)</f>
        <v>Baldwin Bikes</v>
      </c>
      <c r="N1401" s="3" t="str">
        <f>VLOOKUP(G1401,Store!A:H,6,FALSE)</f>
        <v>Baldwin</v>
      </c>
      <c r="O1401" s="3" t="s">
        <v>16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">
        <v>1401.0</v>
      </c>
      <c r="B1402" s="1">
        <v>15.0</v>
      </c>
      <c r="C1402" s="1">
        <v>4.0</v>
      </c>
      <c r="D1402" s="4">
        <v>43149.0</v>
      </c>
      <c r="E1402" s="4">
        <v>43150.0</v>
      </c>
      <c r="F1402" s="4">
        <v>43151.0</v>
      </c>
      <c r="G1402" s="1">
        <v>2.0</v>
      </c>
      <c r="H1402" s="1">
        <v>7.0</v>
      </c>
      <c r="I1402" s="3" t="str">
        <f>VLOOKUP(B1402,Customers!A:J, 10,FALSE)</f>
        <v>Linnie Branch</v>
      </c>
      <c r="J1402" s="3" t="str">
        <f>VLOOKUP(B1402,Customers!A:J,8,FALSE)</f>
        <v>NY</v>
      </c>
      <c r="K1402" s="3" t="str">
        <f>VLOOKUP(B1402,Customers!A:J,7,FALSE)</f>
        <v>Plattsburgh</v>
      </c>
      <c r="L1402" s="3" t="str">
        <f>VLOOKUP(H1402,Staff!A:I,9,FALSE)</f>
        <v>Venita Daniel</v>
      </c>
      <c r="M1402" s="3" t="str">
        <f>VLOOKUP(G1402,Store!A:H,2,FALSE)</f>
        <v>Baldwin Bikes</v>
      </c>
      <c r="N1402" s="3" t="str">
        <f>VLOOKUP(G1402,Store!A:H,6,FALSE)</f>
        <v>Baldwin</v>
      </c>
      <c r="O1402" s="3" t="s">
        <v>16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">
        <v>1402.0</v>
      </c>
      <c r="B1403" s="1">
        <v>1171.0</v>
      </c>
      <c r="C1403" s="1">
        <v>4.0</v>
      </c>
      <c r="D1403" s="4">
        <v>43150.0</v>
      </c>
      <c r="E1403" s="4">
        <v>43152.0</v>
      </c>
      <c r="F1403" s="4">
        <v>43152.0</v>
      </c>
      <c r="G1403" s="1">
        <v>2.0</v>
      </c>
      <c r="H1403" s="1">
        <v>6.0</v>
      </c>
      <c r="I1403" s="3" t="str">
        <f>VLOOKUP(B1403,Customers!A:J, 10,FALSE)</f>
        <v>Earlean Pena</v>
      </c>
      <c r="J1403" s="3" t="str">
        <f>VLOOKUP(B1403,Customers!A:J,8,FALSE)</f>
        <v>NY</v>
      </c>
      <c r="K1403" s="3" t="str">
        <f>VLOOKUP(B1403,Customers!A:J,7,FALSE)</f>
        <v>Rome</v>
      </c>
      <c r="L1403" s="3" t="str">
        <f>VLOOKUP(H1403,Staff!A:I,9,FALSE)</f>
        <v>Marcelene Boyer</v>
      </c>
      <c r="M1403" s="3" t="str">
        <f>VLOOKUP(G1403,Store!A:H,2,FALSE)</f>
        <v>Baldwin Bikes</v>
      </c>
      <c r="N1403" s="3" t="str">
        <f>VLOOKUP(G1403,Store!A:H,6,FALSE)</f>
        <v>Baldwin</v>
      </c>
      <c r="O1403" s="3" t="s">
        <v>16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">
        <v>1403.0</v>
      </c>
      <c r="B1404" s="1">
        <v>452.0</v>
      </c>
      <c r="C1404" s="1">
        <v>4.0</v>
      </c>
      <c r="D1404" s="4">
        <v>43152.0</v>
      </c>
      <c r="E1404" s="4">
        <v>43153.0</v>
      </c>
      <c r="F1404" s="4">
        <v>43153.0</v>
      </c>
      <c r="G1404" s="1">
        <v>2.0</v>
      </c>
      <c r="H1404" s="1">
        <v>7.0</v>
      </c>
      <c r="I1404" s="3" t="str">
        <f>VLOOKUP(B1404,Customers!A:J, 10,FALSE)</f>
        <v>Cassandra Nichols</v>
      </c>
      <c r="J1404" s="3" t="str">
        <f>VLOOKUP(B1404,Customers!A:J,8,FALSE)</f>
        <v>NY</v>
      </c>
      <c r="K1404" s="3" t="str">
        <f>VLOOKUP(B1404,Customers!A:J,7,FALSE)</f>
        <v>Hicksville</v>
      </c>
      <c r="L1404" s="3" t="str">
        <f>VLOOKUP(H1404,Staff!A:I,9,FALSE)</f>
        <v>Venita Daniel</v>
      </c>
      <c r="M1404" s="3" t="str">
        <f>VLOOKUP(G1404,Store!A:H,2,FALSE)</f>
        <v>Baldwin Bikes</v>
      </c>
      <c r="N1404" s="3" t="str">
        <f>VLOOKUP(G1404,Store!A:H,6,FALSE)</f>
        <v>Baldwin</v>
      </c>
      <c r="O1404" s="3" t="s">
        <v>16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">
        <v>1404.0</v>
      </c>
      <c r="B1405" s="1">
        <v>1240.0</v>
      </c>
      <c r="C1405" s="1">
        <v>4.0</v>
      </c>
      <c r="D1405" s="4">
        <v>43154.0</v>
      </c>
      <c r="E1405" s="4">
        <v>43157.0</v>
      </c>
      <c r="F1405" s="4">
        <v>43155.0</v>
      </c>
      <c r="G1405" s="1">
        <v>1.0</v>
      </c>
      <c r="H1405" s="1">
        <v>3.0</v>
      </c>
      <c r="I1405" s="3" t="str">
        <f>VLOOKUP(B1405,Customers!A:J, 10,FALSE)</f>
        <v>Bella Perez</v>
      </c>
      <c r="J1405" s="3" t="str">
        <f>VLOOKUP(B1405,Customers!A:J,8,FALSE)</f>
        <v>CA</v>
      </c>
      <c r="K1405" s="3" t="str">
        <f>VLOOKUP(B1405,Customers!A:J,7,FALSE)</f>
        <v>Duarte</v>
      </c>
      <c r="L1405" s="3" t="str">
        <f>VLOOKUP(H1405,Staff!A:I,9,FALSE)</f>
        <v>Genna Serrano</v>
      </c>
      <c r="M1405" s="3" t="str">
        <f>VLOOKUP(G1405,Store!A:H,2,FALSE)</f>
        <v>Santa Cruz Bikes</v>
      </c>
      <c r="N1405" s="3" t="str">
        <f>VLOOKUP(G1405,Store!A:H,6,FALSE)</f>
        <v>Santa Cruz</v>
      </c>
      <c r="O1405" s="3" t="s">
        <v>15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">
        <v>1405.0</v>
      </c>
      <c r="B1406" s="1">
        <v>100.0</v>
      </c>
      <c r="C1406" s="1">
        <v>4.0</v>
      </c>
      <c r="D1406" s="4">
        <v>43156.0</v>
      </c>
      <c r="E1406" s="4">
        <v>43159.0</v>
      </c>
      <c r="F1406" s="4">
        <v>43158.0</v>
      </c>
      <c r="G1406" s="1">
        <v>2.0</v>
      </c>
      <c r="H1406" s="1">
        <v>6.0</v>
      </c>
      <c r="I1406" s="3" t="str">
        <f>VLOOKUP(B1406,Customers!A:J, 10,FALSE)</f>
        <v>Kellie Franco</v>
      </c>
      <c r="J1406" s="3" t="str">
        <f>VLOOKUP(B1406,Customers!A:J,8,FALSE)</f>
        <v>NY</v>
      </c>
      <c r="K1406" s="3" t="str">
        <f>VLOOKUP(B1406,Customers!A:J,7,FALSE)</f>
        <v>Commack</v>
      </c>
      <c r="L1406" s="3" t="str">
        <f>VLOOKUP(H1406,Staff!A:I,9,FALSE)</f>
        <v>Marcelene Boyer</v>
      </c>
      <c r="M1406" s="3" t="str">
        <f>VLOOKUP(G1406,Store!A:H,2,FALSE)</f>
        <v>Baldwin Bikes</v>
      </c>
      <c r="N1406" s="3" t="str">
        <f>VLOOKUP(G1406,Store!A:H,6,FALSE)</f>
        <v>Baldwin</v>
      </c>
      <c r="O1406" s="3" t="s">
        <v>16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">
        <v>1406.0</v>
      </c>
      <c r="B1407" s="1">
        <v>1053.0</v>
      </c>
      <c r="C1407" s="1">
        <v>4.0</v>
      </c>
      <c r="D1407" s="4">
        <v>43156.0</v>
      </c>
      <c r="E1407" s="4">
        <v>43158.0</v>
      </c>
      <c r="F1407" s="4">
        <v>43158.0</v>
      </c>
      <c r="G1407" s="1">
        <v>2.0</v>
      </c>
      <c r="H1407" s="1">
        <v>7.0</v>
      </c>
      <c r="I1407" s="3" t="str">
        <f>VLOOKUP(B1407,Customers!A:J, 10,FALSE)</f>
        <v>Parthenia Figueroa</v>
      </c>
      <c r="J1407" s="3" t="str">
        <f>VLOOKUP(B1407,Customers!A:J,8,FALSE)</f>
        <v>NY</v>
      </c>
      <c r="K1407" s="3" t="str">
        <f>VLOOKUP(B1407,Customers!A:J,7,FALSE)</f>
        <v>Mahopac</v>
      </c>
      <c r="L1407" s="3" t="str">
        <f>VLOOKUP(H1407,Staff!A:I,9,FALSE)</f>
        <v>Venita Daniel</v>
      </c>
      <c r="M1407" s="3" t="str">
        <f>VLOOKUP(G1407,Store!A:H,2,FALSE)</f>
        <v>Baldwin Bikes</v>
      </c>
      <c r="N1407" s="3" t="str">
        <f>VLOOKUP(G1407,Store!A:H,6,FALSE)</f>
        <v>Baldwin</v>
      </c>
      <c r="O1407" s="3" t="s">
        <v>16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">
        <v>1407.0</v>
      </c>
      <c r="B1408" s="1">
        <v>18.0</v>
      </c>
      <c r="C1408" s="1">
        <v>3.0</v>
      </c>
      <c r="D1408" s="4">
        <v>43157.0</v>
      </c>
      <c r="E1408" s="4">
        <v>43157.0</v>
      </c>
      <c r="F1408" s="1" t="s">
        <v>18</v>
      </c>
      <c r="G1408" s="1">
        <v>2.0</v>
      </c>
      <c r="H1408" s="1">
        <v>6.0</v>
      </c>
      <c r="I1408" s="3" t="str">
        <f>VLOOKUP(B1408,Customers!A:J, 10,FALSE)</f>
        <v>Georgetta Hardin</v>
      </c>
      <c r="J1408" s="3" t="str">
        <f>VLOOKUP(B1408,Customers!A:J,8,FALSE)</f>
        <v>NY</v>
      </c>
      <c r="K1408" s="3" t="str">
        <f>VLOOKUP(B1408,Customers!A:J,7,FALSE)</f>
        <v>Canandaigua</v>
      </c>
      <c r="L1408" s="3" t="str">
        <f>VLOOKUP(H1408,Staff!A:I,9,FALSE)</f>
        <v>Marcelene Boyer</v>
      </c>
      <c r="M1408" s="3" t="str">
        <f>VLOOKUP(G1408,Store!A:H,2,FALSE)</f>
        <v>Baldwin Bikes</v>
      </c>
      <c r="N1408" s="3" t="str">
        <f>VLOOKUP(G1408,Store!A:H,6,FALSE)</f>
        <v>Baldwin</v>
      </c>
      <c r="O1408" s="3" t="s">
        <v>16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">
        <v>1408.0</v>
      </c>
      <c r="B1409" s="1">
        <v>1172.0</v>
      </c>
      <c r="C1409" s="1">
        <v>4.0</v>
      </c>
      <c r="D1409" s="4">
        <v>43157.0</v>
      </c>
      <c r="E1409" s="4">
        <v>43158.0</v>
      </c>
      <c r="F1409" s="4">
        <v>43160.0</v>
      </c>
      <c r="G1409" s="1">
        <v>2.0</v>
      </c>
      <c r="H1409" s="1">
        <v>6.0</v>
      </c>
      <c r="I1409" s="3" t="str">
        <f>VLOOKUP(B1409,Customers!A:J, 10,FALSE)</f>
        <v>Katherin Clark</v>
      </c>
      <c r="J1409" s="3" t="str">
        <f>VLOOKUP(B1409,Customers!A:J,8,FALSE)</f>
        <v>NY</v>
      </c>
      <c r="K1409" s="3" t="str">
        <f>VLOOKUP(B1409,Customers!A:J,7,FALSE)</f>
        <v>Pittsford</v>
      </c>
      <c r="L1409" s="3" t="str">
        <f>VLOOKUP(H1409,Staff!A:I,9,FALSE)</f>
        <v>Marcelene Boyer</v>
      </c>
      <c r="M1409" s="3" t="str">
        <f>VLOOKUP(G1409,Store!A:H,2,FALSE)</f>
        <v>Baldwin Bikes</v>
      </c>
      <c r="N1409" s="3" t="str">
        <f>VLOOKUP(G1409,Store!A:H,6,FALSE)</f>
        <v>Baldwin</v>
      </c>
      <c r="O1409" s="3" t="s">
        <v>16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">
        <v>1409.0</v>
      </c>
      <c r="B1410" s="1">
        <v>21.0</v>
      </c>
      <c r="C1410" s="1">
        <v>4.0</v>
      </c>
      <c r="D1410" s="4">
        <v>43157.0</v>
      </c>
      <c r="E1410" s="4">
        <v>43159.0</v>
      </c>
      <c r="F1410" s="4">
        <v>43159.0</v>
      </c>
      <c r="G1410" s="1">
        <v>3.0</v>
      </c>
      <c r="H1410" s="1">
        <v>8.0</v>
      </c>
      <c r="I1410" s="3" t="str">
        <f>VLOOKUP(B1410,Customers!A:J, 10,FALSE)</f>
        <v>Tobie Little</v>
      </c>
      <c r="J1410" s="3" t="str">
        <f>VLOOKUP(B1410,Customers!A:J,8,FALSE)</f>
        <v>TX</v>
      </c>
      <c r="K1410" s="3" t="str">
        <f>VLOOKUP(B1410,Customers!A:J,7,FALSE)</f>
        <v>Victoria</v>
      </c>
      <c r="L1410" s="3" t="str">
        <f>VLOOKUP(H1410,Staff!A:I,9,FALSE)</f>
        <v>Kali Vargas</v>
      </c>
      <c r="M1410" s="3" t="str">
        <f>VLOOKUP(G1410,Store!A:H,2,FALSE)</f>
        <v>Rowlett Bikes</v>
      </c>
      <c r="N1410" s="3" t="str">
        <f>VLOOKUP(G1410,Store!A:H,6,FALSE)</f>
        <v>Rowlett</v>
      </c>
      <c r="O1410" s="3" t="s">
        <v>17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">
        <v>1410.0</v>
      </c>
      <c r="B1411" s="1">
        <v>1005.0</v>
      </c>
      <c r="C1411" s="1">
        <v>4.0</v>
      </c>
      <c r="D1411" s="4">
        <v>43158.0</v>
      </c>
      <c r="E1411" s="4">
        <v>43159.0</v>
      </c>
      <c r="F1411" s="4">
        <v>43159.0</v>
      </c>
      <c r="G1411" s="1">
        <v>2.0</v>
      </c>
      <c r="H1411" s="1">
        <v>7.0</v>
      </c>
      <c r="I1411" s="3" t="str">
        <f>VLOOKUP(B1411,Customers!A:J, 10,FALSE)</f>
        <v>Ruthanne Franco</v>
      </c>
      <c r="J1411" s="3" t="str">
        <f>VLOOKUP(B1411,Customers!A:J,8,FALSE)</f>
        <v>NY</v>
      </c>
      <c r="K1411" s="3" t="str">
        <f>VLOOKUP(B1411,Customers!A:J,7,FALSE)</f>
        <v>Astoria</v>
      </c>
      <c r="L1411" s="3" t="str">
        <f>VLOOKUP(H1411,Staff!A:I,9,FALSE)</f>
        <v>Venita Daniel</v>
      </c>
      <c r="M1411" s="3" t="str">
        <f>VLOOKUP(G1411,Store!A:H,2,FALSE)</f>
        <v>Baldwin Bikes</v>
      </c>
      <c r="N1411" s="3" t="str">
        <f>VLOOKUP(G1411,Store!A:H,6,FALSE)</f>
        <v>Baldwin</v>
      </c>
      <c r="O1411" s="3" t="s">
        <v>16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">
        <v>1411.0</v>
      </c>
      <c r="B1412" s="1">
        <v>109.0</v>
      </c>
      <c r="C1412" s="1">
        <v>4.0</v>
      </c>
      <c r="D1412" s="4">
        <v>43160.0</v>
      </c>
      <c r="E1412" s="4">
        <v>43161.0</v>
      </c>
      <c r="F1412" s="4">
        <v>43161.0</v>
      </c>
      <c r="G1412" s="1">
        <v>1.0</v>
      </c>
      <c r="H1412" s="1">
        <v>2.0</v>
      </c>
      <c r="I1412" s="3" t="str">
        <f>VLOOKUP(B1412,Customers!A:J, 10,FALSE)</f>
        <v>Monica Sears</v>
      </c>
      <c r="J1412" s="3" t="str">
        <f>VLOOKUP(B1412,Customers!A:J,8,FALSE)</f>
        <v>CA</v>
      </c>
      <c r="K1412" s="3" t="str">
        <f>VLOOKUP(B1412,Customers!A:J,7,FALSE)</f>
        <v>San Jose</v>
      </c>
      <c r="L1412" s="3" t="str">
        <f>VLOOKUP(H1412,Staff!A:I,9,FALSE)</f>
        <v>Mireya Copeland</v>
      </c>
      <c r="M1412" s="3" t="str">
        <f>VLOOKUP(G1412,Store!A:H,2,FALSE)</f>
        <v>Santa Cruz Bikes</v>
      </c>
      <c r="N1412" s="3" t="str">
        <f>VLOOKUP(G1412,Store!A:H,6,FALSE)</f>
        <v>Santa Cruz</v>
      </c>
      <c r="O1412" s="3" t="s">
        <v>15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">
        <v>1412.0</v>
      </c>
      <c r="B1413" s="1">
        <v>1043.0</v>
      </c>
      <c r="C1413" s="1">
        <v>4.0</v>
      </c>
      <c r="D1413" s="4">
        <v>43160.0</v>
      </c>
      <c r="E1413" s="4">
        <v>43161.0</v>
      </c>
      <c r="F1413" s="4">
        <v>43163.0</v>
      </c>
      <c r="G1413" s="1">
        <v>2.0</v>
      </c>
      <c r="H1413" s="1">
        <v>7.0</v>
      </c>
      <c r="I1413" s="3" t="str">
        <f>VLOOKUP(B1413,Customers!A:J, 10,FALSE)</f>
        <v>Diane Jones</v>
      </c>
      <c r="J1413" s="3" t="str">
        <f>VLOOKUP(B1413,Customers!A:J,8,FALSE)</f>
        <v>NY</v>
      </c>
      <c r="K1413" s="3" t="str">
        <f>VLOOKUP(B1413,Customers!A:J,7,FALSE)</f>
        <v>Fresh Meadows</v>
      </c>
      <c r="L1413" s="3" t="str">
        <f>VLOOKUP(H1413,Staff!A:I,9,FALSE)</f>
        <v>Venita Daniel</v>
      </c>
      <c r="M1413" s="3" t="str">
        <f>VLOOKUP(G1413,Store!A:H,2,FALSE)</f>
        <v>Baldwin Bikes</v>
      </c>
      <c r="N1413" s="3" t="str">
        <f>VLOOKUP(G1413,Store!A:H,6,FALSE)</f>
        <v>Baldwin</v>
      </c>
      <c r="O1413" s="3" t="s">
        <v>16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">
        <v>1413.0</v>
      </c>
      <c r="B1414" s="1">
        <v>56.0</v>
      </c>
      <c r="C1414" s="1">
        <v>4.0</v>
      </c>
      <c r="D1414" s="4">
        <v>43160.0</v>
      </c>
      <c r="E1414" s="4">
        <v>43162.0</v>
      </c>
      <c r="F1414" s="4">
        <v>43163.0</v>
      </c>
      <c r="G1414" s="1">
        <v>3.0</v>
      </c>
      <c r="H1414" s="1">
        <v>8.0</v>
      </c>
      <c r="I1414" s="3" t="str">
        <f>VLOOKUP(B1414,Customers!A:J, 10,FALSE)</f>
        <v>Lolita Mosley</v>
      </c>
      <c r="J1414" s="3" t="str">
        <f>VLOOKUP(B1414,Customers!A:J,8,FALSE)</f>
        <v>TX</v>
      </c>
      <c r="K1414" s="3" t="str">
        <f>VLOOKUP(B1414,Customers!A:J,7,FALSE)</f>
        <v>Houston</v>
      </c>
      <c r="L1414" s="3" t="str">
        <f>VLOOKUP(H1414,Staff!A:I,9,FALSE)</f>
        <v>Kali Vargas</v>
      </c>
      <c r="M1414" s="3" t="str">
        <f>VLOOKUP(G1414,Store!A:H,2,FALSE)</f>
        <v>Rowlett Bikes</v>
      </c>
      <c r="N1414" s="3" t="str">
        <f>VLOOKUP(G1414,Store!A:H,6,FALSE)</f>
        <v>Rowlett</v>
      </c>
      <c r="O1414" s="3" t="s">
        <v>17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">
        <v>1414.0</v>
      </c>
      <c r="B1415" s="1">
        <v>293.0</v>
      </c>
      <c r="C1415" s="1">
        <v>4.0</v>
      </c>
      <c r="D1415" s="4">
        <v>43162.0</v>
      </c>
      <c r="E1415" s="4">
        <v>43164.0</v>
      </c>
      <c r="F1415" s="4">
        <v>43165.0</v>
      </c>
      <c r="G1415" s="1">
        <v>2.0</v>
      </c>
      <c r="H1415" s="1">
        <v>7.0</v>
      </c>
      <c r="I1415" s="3" t="str">
        <f>VLOOKUP(B1415,Customers!A:J, 10,FALSE)</f>
        <v>Tiny French</v>
      </c>
      <c r="J1415" s="3" t="str">
        <f>VLOOKUP(B1415,Customers!A:J,8,FALSE)</f>
        <v>NY</v>
      </c>
      <c r="K1415" s="3" t="str">
        <f>VLOOKUP(B1415,Customers!A:J,7,FALSE)</f>
        <v>Plainview</v>
      </c>
      <c r="L1415" s="3" t="str">
        <f>VLOOKUP(H1415,Staff!A:I,9,FALSE)</f>
        <v>Venita Daniel</v>
      </c>
      <c r="M1415" s="3" t="str">
        <f>VLOOKUP(G1415,Store!A:H,2,FALSE)</f>
        <v>Baldwin Bikes</v>
      </c>
      <c r="N1415" s="3" t="str">
        <f>VLOOKUP(G1415,Store!A:H,6,FALSE)</f>
        <v>Baldwin</v>
      </c>
      <c r="O1415" s="3" t="s">
        <v>16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">
        <v>1415.0</v>
      </c>
      <c r="B1416" s="1">
        <v>839.0</v>
      </c>
      <c r="C1416" s="1">
        <v>4.0</v>
      </c>
      <c r="D1416" s="4">
        <v>43162.0</v>
      </c>
      <c r="E1416" s="4">
        <v>43163.0</v>
      </c>
      <c r="F1416" s="4">
        <v>43164.0</v>
      </c>
      <c r="G1416" s="1">
        <v>2.0</v>
      </c>
      <c r="H1416" s="1">
        <v>7.0</v>
      </c>
      <c r="I1416" s="3" t="str">
        <f>VLOOKUP(B1416,Customers!A:J, 10,FALSE)</f>
        <v>Carolann Russell</v>
      </c>
      <c r="J1416" s="3" t="str">
        <f>VLOOKUP(B1416,Customers!A:J,8,FALSE)</f>
        <v>NY</v>
      </c>
      <c r="K1416" s="3" t="str">
        <f>VLOOKUP(B1416,Customers!A:J,7,FALSE)</f>
        <v>Glen Cove</v>
      </c>
      <c r="L1416" s="3" t="str">
        <f>VLOOKUP(H1416,Staff!A:I,9,FALSE)</f>
        <v>Venita Daniel</v>
      </c>
      <c r="M1416" s="3" t="str">
        <f>VLOOKUP(G1416,Store!A:H,2,FALSE)</f>
        <v>Baldwin Bikes</v>
      </c>
      <c r="N1416" s="3" t="str">
        <f>VLOOKUP(G1416,Store!A:H,6,FALSE)</f>
        <v>Baldwin</v>
      </c>
      <c r="O1416" s="3" t="s">
        <v>16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">
        <v>1416.0</v>
      </c>
      <c r="B1417" s="1">
        <v>566.0</v>
      </c>
      <c r="C1417" s="1">
        <v>4.0</v>
      </c>
      <c r="D1417" s="4">
        <v>43162.0</v>
      </c>
      <c r="E1417" s="4">
        <v>43163.0</v>
      </c>
      <c r="F1417" s="4">
        <v>43165.0</v>
      </c>
      <c r="G1417" s="1">
        <v>3.0</v>
      </c>
      <c r="H1417" s="1">
        <v>8.0</v>
      </c>
      <c r="I1417" s="3" t="str">
        <f>VLOOKUP(B1417,Customers!A:J, 10,FALSE)</f>
        <v>Cinthia Poole</v>
      </c>
      <c r="J1417" s="3" t="str">
        <f>VLOOKUP(B1417,Customers!A:J,8,FALSE)</f>
        <v>TX</v>
      </c>
      <c r="K1417" s="3" t="str">
        <f>VLOOKUP(B1417,Customers!A:J,7,FALSE)</f>
        <v>Lake Jackson</v>
      </c>
      <c r="L1417" s="3" t="str">
        <f>VLOOKUP(H1417,Staff!A:I,9,FALSE)</f>
        <v>Kali Vargas</v>
      </c>
      <c r="M1417" s="3" t="str">
        <f>VLOOKUP(G1417,Store!A:H,2,FALSE)</f>
        <v>Rowlett Bikes</v>
      </c>
      <c r="N1417" s="3" t="str">
        <f>VLOOKUP(G1417,Store!A:H,6,FALSE)</f>
        <v>Rowlett</v>
      </c>
      <c r="O1417" s="3" t="s">
        <v>17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">
        <v>1417.0</v>
      </c>
      <c r="B1418" s="1">
        <v>300.0</v>
      </c>
      <c r="C1418" s="1">
        <v>4.0</v>
      </c>
      <c r="D1418" s="4">
        <v>43163.0</v>
      </c>
      <c r="E1418" s="4">
        <v>43165.0</v>
      </c>
      <c r="F1418" s="4">
        <v>43166.0</v>
      </c>
      <c r="G1418" s="1">
        <v>1.0</v>
      </c>
      <c r="H1418" s="1">
        <v>2.0</v>
      </c>
      <c r="I1418" s="3" t="str">
        <f>VLOOKUP(B1418,Customers!A:J, 10,FALSE)</f>
        <v>Rayford Simon</v>
      </c>
      <c r="J1418" s="3" t="str">
        <f>VLOOKUP(B1418,Customers!A:J,8,FALSE)</f>
        <v>CA</v>
      </c>
      <c r="K1418" s="3" t="str">
        <f>VLOOKUP(B1418,Customers!A:J,7,FALSE)</f>
        <v>Mountain View</v>
      </c>
      <c r="L1418" s="3" t="str">
        <f>VLOOKUP(H1418,Staff!A:I,9,FALSE)</f>
        <v>Mireya Copeland</v>
      </c>
      <c r="M1418" s="3" t="str">
        <f>VLOOKUP(G1418,Store!A:H,2,FALSE)</f>
        <v>Santa Cruz Bikes</v>
      </c>
      <c r="N1418" s="3" t="str">
        <f>VLOOKUP(G1418,Store!A:H,6,FALSE)</f>
        <v>Santa Cruz</v>
      </c>
      <c r="O1418" s="3" t="s">
        <v>15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">
        <v>1418.0</v>
      </c>
      <c r="B1419" s="1">
        <v>364.0</v>
      </c>
      <c r="C1419" s="1">
        <v>4.0</v>
      </c>
      <c r="D1419" s="4">
        <v>43163.0</v>
      </c>
      <c r="E1419" s="4">
        <v>43164.0</v>
      </c>
      <c r="F1419" s="4">
        <v>43166.0</v>
      </c>
      <c r="G1419" s="1">
        <v>2.0</v>
      </c>
      <c r="H1419" s="1">
        <v>6.0</v>
      </c>
      <c r="I1419" s="3" t="str">
        <f>VLOOKUP(B1419,Customers!A:J, 10,FALSE)</f>
        <v>Bev Chang</v>
      </c>
      <c r="J1419" s="3" t="str">
        <f>VLOOKUP(B1419,Customers!A:J,8,FALSE)</f>
        <v>NY</v>
      </c>
      <c r="K1419" s="3" t="str">
        <f>VLOOKUP(B1419,Customers!A:J,7,FALSE)</f>
        <v>Ithaca</v>
      </c>
      <c r="L1419" s="3" t="str">
        <f>VLOOKUP(H1419,Staff!A:I,9,FALSE)</f>
        <v>Marcelene Boyer</v>
      </c>
      <c r="M1419" s="3" t="str">
        <f>VLOOKUP(G1419,Store!A:H,2,FALSE)</f>
        <v>Baldwin Bikes</v>
      </c>
      <c r="N1419" s="3" t="str">
        <f>VLOOKUP(G1419,Store!A:H,6,FALSE)</f>
        <v>Baldwin</v>
      </c>
      <c r="O1419" s="3" t="s">
        <v>16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">
        <v>1419.0</v>
      </c>
      <c r="B1420" s="1">
        <v>474.0</v>
      </c>
      <c r="C1420" s="1">
        <v>4.0</v>
      </c>
      <c r="D1420" s="4">
        <v>43163.0</v>
      </c>
      <c r="E1420" s="4">
        <v>43166.0</v>
      </c>
      <c r="F1420" s="4">
        <v>43166.0</v>
      </c>
      <c r="G1420" s="1">
        <v>2.0</v>
      </c>
      <c r="H1420" s="1">
        <v>6.0</v>
      </c>
      <c r="I1420" s="3" t="str">
        <f>VLOOKUP(B1420,Customers!A:J, 10,FALSE)</f>
        <v>Lavern Orr</v>
      </c>
      <c r="J1420" s="3" t="str">
        <f>VLOOKUP(B1420,Customers!A:J,8,FALSE)</f>
        <v>NY</v>
      </c>
      <c r="K1420" s="3" t="str">
        <f>VLOOKUP(B1420,Customers!A:J,7,FALSE)</f>
        <v>Webster</v>
      </c>
      <c r="L1420" s="3" t="str">
        <f>VLOOKUP(H1420,Staff!A:I,9,FALSE)</f>
        <v>Marcelene Boyer</v>
      </c>
      <c r="M1420" s="3" t="str">
        <f>VLOOKUP(G1420,Store!A:H,2,FALSE)</f>
        <v>Baldwin Bikes</v>
      </c>
      <c r="N1420" s="3" t="str">
        <f>VLOOKUP(G1420,Store!A:H,6,FALSE)</f>
        <v>Baldwin</v>
      </c>
      <c r="O1420" s="3" t="s">
        <v>16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">
        <v>1420.0</v>
      </c>
      <c r="B1421" s="1">
        <v>838.0</v>
      </c>
      <c r="C1421" s="1">
        <v>4.0</v>
      </c>
      <c r="D1421" s="4">
        <v>43163.0</v>
      </c>
      <c r="E1421" s="4">
        <v>43164.0</v>
      </c>
      <c r="F1421" s="4">
        <v>43166.0</v>
      </c>
      <c r="G1421" s="1">
        <v>2.0</v>
      </c>
      <c r="H1421" s="1">
        <v>7.0</v>
      </c>
      <c r="I1421" s="3" t="str">
        <f>VLOOKUP(B1421,Customers!A:J, 10,FALSE)</f>
        <v>Erna Sloan</v>
      </c>
      <c r="J1421" s="3" t="str">
        <f>VLOOKUP(B1421,Customers!A:J,8,FALSE)</f>
        <v>NY</v>
      </c>
      <c r="K1421" s="3" t="str">
        <f>VLOOKUP(B1421,Customers!A:J,7,FALSE)</f>
        <v>Howard Beach</v>
      </c>
      <c r="L1421" s="3" t="str">
        <f>VLOOKUP(H1421,Staff!A:I,9,FALSE)</f>
        <v>Venita Daniel</v>
      </c>
      <c r="M1421" s="3" t="str">
        <f>VLOOKUP(G1421,Store!A:H,2,FALSE)</f>
        <v>Baldwin Bikes</v>
      </c>
      <c r="N1421" s="3" t="str">
        <f>VLOOKUP(G1421,Store!A:H,6,FALSE)</f>
        <v>Baldwin</v>
      </c>
      <c r="O1421" s="3" t="s">
        <v>16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">
        <v>1421.0</v>
      </c>
      <c r="B1422" s="1">
        <v>1176.0</v>
      </c>
      <c r="C1422" s="1">
        <v>4.0</v>
      </c>
      <c r="D1422" s="4">
        <v>43164.0</v>
      </c>
      <c r="E1422" s="4">
        <v>43166.0</v>
      </c>
      <c r="F1422" s="4">
        <v>43166.0</v>
      </c>
      <c r="G1422" s="1">
        <v>2.0</v>
      </c>
      <c r="H1422" s="1">
        <v>7.0</v>
      </c>
      <c r="I1422" s="3" t="str">
        <f>VLOOKUP(B1422,Customers!A:J, 10,FALSE)</f>
        <v>Sheree Blanchard</v>
      </c>
      <c r="J1422" s="3" t="str">
        <f>VLOOKUP(B1422,Customers!A:J,8,FALSE)</f>
        <v>NY</v>
      </c>
      <c r="K1422" s="3" t="str">
        <f>VLOOKUP(B1422,Customers!A:J,7,FALSE)</f>
        <v>Queensbury</v>
      </c>
      <c r="L1422" s="3" t="str">
        <f>VLOOKUP(H1422,Staff!A:I,9,FALSE)</f>
        <v>Venita Daniel</v>
      </c>
      <c r="M1422" s="3" t="str">
        <f>VLOOKUP(G1422,Store!A:H,2,FALSE)</f>
        <v>Baldwin Bikes</v>
      </c>
      <c r="N1422" s="3" t="str">
        <f>VLOOKUP(G1422,Store!A:H,6,FALSE)</f>
        <v>Baldwin</v>
      </c>
      <c r="O1422" s="3" t="s">
        <v>16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">
        <v>1422.0</v>
      </c>
      <c r="B1423" s="1">
        <v>599.0</v>
      </c>
      <c r="C1423" s="1">
        <v>4.0</v>
      </c>
      <c r="D1423" s="4">
        <v>43164.0</v>
      </c>
      <c r="E1423" s="4">
        <v>43165.0</v>
      </c>
      <c r="F1423" s="4">
        <v>43167.0</v>
      </c>
      <c r="G1423" s="1">
        <v>3.0</v>
      </c>
      <c r="H1423" s="1">
        <v>8.0</v>
      </c>
      <c r="I1423" s="3" t="str">
        <f>VLOOKUP(B1423,Customers!A:J, 10,FALSE)</f>
        <v>Jonell Rivas</v>
      </c>
      <c r="J1423" s="3" t="str">
        <f>VLOOKUP(B1423,Customers!A:J,8,FALSE)</f>
        <v>TX</v>
      </c>
      <c r="K1423" s="3" t="str">
        <f>VLOOKUP(B1423,Customers!A:J,7,FALSE)</f>
        <v>Amarillo</v>
      </c>
      <c r="L1423" s="3" t="str">
        <f>VLOOKUP(H1423,Staff!A:I,9,FALSE)</f>
        <v>Kali Vargas</v>
      </c>
      <c r="M1423" s="3" t="str">
        <f>VLOOKUP(G1423,Store!A:H,2,FALSE)</f>
        <v>Rowlett Bikes</v>
      </c>
      <c r="N1423" s="3" t="str">
        <f>VLOOKUP(G1423,Store!A:H,6,FALSE)</f>
        <v>Rowlett</v>
      </c>
      <c r="O1423" s="3" t="s">
        <v>17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">
        <v>1423.0</v>
      </c>
      <c r="B1424" s="1">
        <v>1231.0</v>
      </c>
      <c r="C1424" s="1">
        <v>4.0</v>
      </c>
      <c r="D1424" s="4">
        <v>43165.0</v>
      </c>
      <c r="E1424" s="4">
        <v>43166.0</v>
      </c>
      <c r="F1424" s="4">
        <v>43166.0</v>
      </c>
      <c r="G1424" s="1">
        <v>1.0</v>
      </c>
      <c r="H1424" s="1">
        <v>2.0</v>
      </c>
      <c r="I1424" s="3" t="str">
        <f>VLOOKUP(B1424,Customers!A:J, 10,FALSE)</f>
        <v>Selene Vega</v>
      </c>
      <c r="J1424" s="3" t="str">
        <f>VLOOKUP(B1424,Customers!A:J,8,FALSE)</f>
        <v>CA</v>
      </c>
      <c r="K1424" s="3" t="str">
        <f>VLOOKUP(B1424,Customers!A:J,7,FALSE)</f>
        <v>Campbell</v>
      </c>
      <c r="L1424" s="3" t="str">
        <f>VLOOKUP(H1424,Staff!A:I,9,FALSE)</f>
        <v>Mireya Copeland</v>
      </c>
      <c r="M1424" s="3" t="str">
        <f>VLOOKUP(G1424,Store!A:H,2,FALSE)</f>
        <v>Santa Cruz Bikes</v>
      </c>
      <c r="N1424" s="3" t="str">
        <f>VLOOKUP(G1424,Store!A:H,6,FALSE)</f>
        <v>Santa Cruz</v>
      </c>
      <c r="O1424" s="3" t="s">
        <v>15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">
        <v>1424.0</v>
      </c>
      <c r="B1425" s="1">
        <v>1445.0</v>
      </c>
      <c r="C1425" s="1">
        <v>4.0</v>
      </c>
      <c r="D1425" s="4">
        <v>43166.0</v>
      </c>
      <c r="E1425" s="4">
        <v>43169.0</v>
      </c>
      <c r="F1425" s="4">
        <v>43169.0</v>
      </c>
      <c r="G1425" s="1">
        <v>1.0</v>
      </c>
      <c r="H1425" s="1">
        <v>2.0</v>
      </c>
      <c r="I1425" s="3" t="str">
        <f>VLOOKUP(B1425,Customers!A:J, 10,FALSE)</f>
        <v>Ester Acevedo</v>
      </c>
      <c r="J1425" s="3" t="str">
        <f>VLOOKUP(B1425,Customers!A:J,8,FALSE)</f>
        <v>CA</v>
      </c>
      <c r="K1425" s="3" t="str">
        <f>VLOOKUP(B1425,Customers!A:J,7,FALSE)</f>
        <v>San Lorenzo</v>
      </c>
      <c r="L1425" s="3" t="str">
        <f>VLOOKUP(H1425,Staff!A:I,9,FALSE)</f>
        <v>Mireya Copeland</v>
      </c>
      <c r="M1425" s="3" t="str">
        <f>VLOOKUP(G1425,Store!A:H,2,FALSE)</f>
        <v>Santa Cruz Bikes</v>
      </c>
      <c r="N1425" s="3" t="str">
        <f>VLOOKUP(G1425,Store!A:H,6,FALSE)</f>
        <v>Santa Cruz</v>
      </c>
      <c r="O1425" s="3" t="s">
        <v>15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">
        <v>1425.0</v>
      </c>
      <c r="B1426" s="1">
        <v>126.0</v>
      </c>
      <c r="C1426" s="1">
        <v>4.0</v>
      </c>
      <c r="D1426" s="4">
        <v>43166.0</v>
      </c>
      <c r="E1426" s="4">
        <v>43168.0</v>
      </c>
      <c r="F1426" s="4">
        <v>43168.0</v>
      </c>
      <c r="G1426" s="1">
        <v>2.0</v>
      </c>
      <c r="H1426" s="1">
        <v>6.0</v>
      </c>
      <c r="I1426" s="3" t="str">
        <f>VLOOKUP(B1426,Customers!A:J, 10,FALSE)</f>
        <v>Lavina Dejesus</v>
      </c>
      <c r="J1426" s="3" t="str">
        <f>VLOOKUP(B1426,Customers!A:J,8,FALSE)</f>
        <v>NY</v>
      </c>
      <c r="K1426" s="3" t="str">
        <f>VLOOKUP(B1426,Customers!A:J,7,FALSE)</f>
        <v>Newburgh</v>
      </c>
      <c r="L1426" s="3" t="str">
        <f>VLOOKUP(H1426,Staff!A:I,9,FALSE)</f>
        <v>Marcelene Boyer</v>
      </c>
      <c r="M1426" s="3" t="str">
        <f>VLOOKUP(G1426,Store!A:H,2,FALSE)</f>
        <v>Baldwin Bikes</v>
      </c>
      <c r="N1426" s="3" t="str">
        <f>VLOOKUP(G1426,Store!A:H,6,FALSE)</f>
        <v>Baldwin</v>
      </c>
      <c r="O1426" s="3" t="s">
        <v>16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">
        <v>1426.0</v>
      </c>
      <c r="B1427" s="1">
        <v>938.0</v>
      </c>
      <c r="C1427" s="1">
        <v>4.0</v>
      </c>
      <c r="D1427" s="4">
        <v>43166.0</v>
      </c>
      <c r="E1427" s="4">
        <v>43167.0</v>
      </c>
      <c r="F1427" s="4">
        <v>43169.0</v>
      </c>
      <c r="G1427" s="1">
        <v>2.0</v>
      </c>
      <c r="H1427" s="1">
        <v>6.0</v>
      </c>
      <c r="I1427" s="3" t="str">
        <f>VLOOKUP(B1427,Customers!A:J, 10,FALSE)</f>
        <v>Emory O'connor</v>
      </c>
      <c r="J1427" s="3" t="str">
        <f>VLOOKUP(B1427,Customers!A:J,8,FALSE)</f>
        <v>NY</v>
      </c>
      <c r="K1427" s="3" t="str">
        <f>VLOOKUP(B1427,Customers!A:J,7,FALSE)</f>
        <v>Rochester</v>
      </c>
      <c r="L1427" s="3" t="str">
        <f>VLOOKUP(H1427,Staff!A:I,9,FALSE)</f>
        <v>Marcelene Boyer</v>
      </c>
      <c r="M1427" s="3" t="str">
        <f>VLOOKUP(G1427,Store!A:H,2,FALSE)</f>
        <v>Baldwin Bikes</v>
      </c>
      <c r="N1427" s="3" t="str">
        <f>VLOOKUP(G1427,Store!A:H,6,FALSE)</f>
        <v>Baldwin</v>
      </c>
      <c r="O1427" s="3" t="s">
        <v>16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">
        <v>1427.0</v>
      </c>
      <c r="B1428" s="1">
        <v>999.0</v>
      </c>
      <c r="C1428" s="1">
        <v>4.0</v>
      </c>
      <c r="D1428" s="4">
        <v>43166.0</v>
      </c>
      <c r="E1428" s="4">
        <v>43167.0</v>
      </c>
      <c r="F1428" s="4">
        <v>43167.0</v>
      </c>
      <c r="G1428" s="1">
        <v>2.0</v>
      </c>
      <c r="H1428" s="1">
        <v>6.0</v>
      </c>
      <c r="I1428" s="3" t="str">
        <f>VLOOKUP(B1428,Customers!A:J, 10,FALSE)</f>
        <v>Latoya Johns</v>
      </c>
      <c r="J1428" s="3" t="str">
        <f>VLOOKUP(B1428,Customers!A:J,8,FALSE)</f>
        <v>NY</v>
      </c>
      <c r="K1428" s="3" t="str">
        <f>VLOOKUP(B1428,Customers!A:J,7,FALSE)</f>
        <v>Ballston Spa</v>
      </c>
      <c r="L1428" s="3" t="str">
        <f>VLOOKUP(H1428,Staff!A:I,9,FALSE)</f>
        <v>Marcelene Boyer</v>
      </c>
      <c r="M1428" s="3" t="str">
        <f>VLOOKUP(G1428,Store!A:H,2,FALSE)</f>
        <v>Baldwin Bikes</v>
      </c>
      <c r="N1428" s="3" t="str">
        <f>VLOOKUP(G1428,Store!A:H,6,FALSE)</f>
        <v>Baldwin</v>
      </c>
      <c r="O1428" s="3" t="s">
        <v>16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">
        <v>1428.0</v>
      </c>
      <c r="B1429" s="1">
        <v>195.0</v>
      </c>
      <c r="C1429" s="1">
        <v>4.0</v>
      </c>
      <c r="D1429" s="4">
        <v>43167.0</v>
      </c>
      <c r="E1429" s="4">
        <v>43169.0</v>
      </c>
      <c r="F1429" s="4">
        <v>43170.0</v>
      </c>
      <c r="G1429" s="1">
        <v>2.0</v>
      </c>
      <c r="H1429" s="1">
        <v>7.0</v>
      </c>
      <c r="I1429" s="3" t="str">
        <f>VLOOKUP(B1429,Customers!A:J, 10,FALSE)</f>
        <v>Addie Hahn</v>
      </c>
      <c r="J1429" s="3" t="str">
        <f>VLOOKUP(B1429,Customers!A:J,8,FALSE)</f>
        <v>NY</v>
      </c>
      <c r="K1429" s="3" t="str">
        <f>VLOOKUP(B1429,Customers!A:J,7,FALSE)</f>
        <v>Franklin Square</v>
      </c>
      <c r="L1429" s="3" t="str">
        <f>VLOOKUP(H1429,Staff!A:I,9,FALSE)</f>
        <v>Venita Daniel</v>
      </c>
      <c r="M1429" s="3" t="str">
        <f>VLOOKUP(G1429,Store!A:H,2,FALSE)</f>
        <v>Baldwin Bikes</v>
      </c>
      <c r="N1429" s="3" t="str">
        <f>VLOOKUP(G1429,Store!A:H,6,FALSE)</f>
        <v>Baldwin</v>
      </c>
      <c r="O1429" s="3" t="s">
        <v>16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">
        <v>1429.0</v>
      </c>
      <c r="B1430" s="1">
        <v>1116.0</v>
      </c>
      <c r="C1430" s="1">
        <v>4.0</v>
      </c>
      <c r="D1430" s="4">
        <v>43167.0</v>
      </c>
      <c r="E1430" s="4">
        <v>43168.0</v>
      </c>
      <c r="F1430" s="4">
        <v>43168.0</v>
      </c>
      <c r="G1430" s="1">
        <v>2.0</v>
      </c>
      <c r="H1430" s="1">
        <v>6.0</v>
      </c>
      <c r="I1430" s="3" t="str">
        <f>VLOOKUP(B1430,Customers!A:J, 10,FALSE)</f>
        <v>Patria Harper</v>
      </c>
      <c r="J1430" s="3" t="str">
        <f>VLOOKUP(B1430,Customers!A:J,8,FALSE)</f>
        <v>NY</v>
      </c>
      <c r="K1430" s="3" t="str">
        <f>VLOOKUP(B1430,Customers!A:J,7,FALSE)</f>
        <v>Astoria</v>
      </c>
      <c r="L1430" s="3" t="str">
        <f>VLOOKUP(H1430,Staff!A:I,9,FALSE)</f>
        <v>Marcelene Boyer</v>
      </c>
      <c r="M1430" s="3" t="str">
        <f>VLOOKUP(G1430,Store!A:H,2,FALSE)</f>
        <v>Baldwin Bikes</v>
      </c>
      <c r="N1430" s="3" t="str">
        <f>VLOOKUP(G1430,Store!A:H,6,FALSE)</f>
        <v>Baldwin</v>
      </c>
      <c r="O1430" s="3" t="s">
        <v>16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">
        <v>1430.0</v>
      </c>
      <c r="B1431" s="1">
        <v>1239.0</v>
      </c>
      <c r="C1431" s="1">
        <v>4.0</v>
      </c>
      <c r="D1431" s="4">
        <v>43169.0</v>
      </c>
      <c r="E1431" s="4">
        <v>43172.0</v>
      </c>
      <c r="F1431" s="4">
        <v>43170.0</v>
      </c>
      <c r="G1431" s="1">
        <v>2.0</v>
      </c>
      <c r="H1431" s="1">
        <v>7.0</v>
      </c>
      <c r="I1431" s="3" t="str">
        <f>VLOOKUP(B1431,Customers!A:J, 10,FALSE)</f>
        <v>Tara Maynard</v>
      </c>
      <c r="J1431" s="3" t="str">
        <f>VLOOKUP(B1431,Customers!A:J,8,FALSE)</f>
        <v>NY</v>
      </c>
      <c r="K1431" s="3" t="str">
        <f>VLOOKUP(B1431,Customers!A:J,7,FALSE)</f>
        <v>Lindenhurst</v>
      </c>
      <c r="L1431" s="3" t="str">
        <f>VLOOKUP(H1431,Staff!A:I,9,FALSE)</f>
        <v>Venita Daniel</v>
      </c>
      <c r="M1431" s="3" t="str">
        <f>VLOOKUP(G1431,Store!A:H,2,FALSE)</f>
        <v>Baldwin Bikes</v>
      </c>
      <c r="N1431" s="3" t="str">
        <f>VLOOKUP(G1431,Store!A:H,6,FALSE)</f>
        <v>Baldwin</v>
      </c>
      <c r="O1431" s="3" t="s">
        <v>16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">
        <v>1431.0</v>
      </c>
      <c r="B1432" s="1">
        <v>308.0</v>
      </c>
      <c r="C1432" s="1">
        <v>4.0</v>
      </c>
      <c r="D1432" s="4">
        <v>43170.0</v>
      </c>
      <c r="E1432" s="4">
        <v>43171.0</v>
      </c>
      <c r="F1432" s="4">
        <v>43173.0</v>
      </c>
      <c r="G1432" s="1">
        <v>2.0</v>
      </c>
      <c r="H1432" s="1">
        <v>6.0</v>
      </c>
      <c r="I1432" s="3" t="str">
        <f>VLOOKUP(B1432,Customers!A:J, 10,FALSE)</f>
        <v>Mazie Fernandez</v>
      </c>
      <c r="J1432" s="3" t="str">
        <f>VLOOKUP(B1432,Customers!A:J,8,FALSE)</f>
        <v>NY</v>
      </c>
      <c r="K1432" s="3" t="str">
        <f>VLOOKUP(B1432,Customers!A:J,7,FALSE)</f>
        <v>Webster</v>
      </c>
      <c r="L1432" s="3" t="str">
        <f>VLOOKUP(H1432,Staff!A:I,9,FALSE)</f>
        <v>Marcelene Boyer</v>
      </c>
      <c r="M1432" s="3" t="str">
        <f>VLOOKUP(G1432,Store!A:H,2,FALSE)</f>
        <v>Baldwin Bikes</v>
      </c>
      <c r="N1432" s="3" t="str">
        <f>VLOOKUP(G1432,Store!A:H,6,FALSE)</f>
        <v>Baldwin</v>
      </c>
      <c r="O1432" s="3" t="s">
        <v>16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">
        <v>1432.0</v>
      </c>
      <c r="B1433" s="1">
        <v>483.0</v>
      </c>
      <c r="C1433" s="1">
        <v>4.0</v>
      </c>
      <c r="D1433" s="4">
        <v>43170.0</v>
      </c>
      <c r="E1433" s="4">
        <v>43171.0</v>
      </c>
      <c r="F1433" s="4">
        <v>43173.0</v>
      </c>
      <c r="G1433" s="1">
        <v>2.0</v>
      </c>
      <c r="H1433" s="1">
        <v>6.0</v>
      </c>
      <c r="I1433" s="3" t="str">
        <f>VLOOKUP(B1433,Customers!A:J, 10,FALSE)</f>
        <v>Gayla Sims</v>
      </c>
      <c r="J1433" s="3" t="str">
        <f>VLOOKUP(B1433,Customers!A:J,8,FALSE)</f>
        <v>NY</v>
      </c>
      <c r="K1433" s="3" t="str">
        <f>VLOOKUP(B1433,Customers!A:J,7,FALSE)</f>
        <v>Lindenhurst</v>
      </c>
      <c r="L1433" s="3" t="str">
        <f>VLOOKUP(H1433,Staff!A:I,9,FALSE)</f>
        <v>Marcelene Boyer</v>
      </c>
      <c r="M1433" s="3" t="str">
        <f>VLOOKUP(G1433,Store!A:H,2,FALSE)</f>
        <v>Baldwin Bikes</v>
      </c>
      <c r="N1433" s="3" t="str">
        <f>VLOOKUP(G1433,Store!A:H,6,FALSE)</f>
        <v>Baldwin</v>
      </c>
      <c r="O1433" s="3" t="s">
        <v>16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">
        <v>1433.0</v>
      </c>
      <c r="B1434" s="1">
        <v>1142.0</v>
      </c>
      <c r="C1434" s="1">
        <v>4.0</v>
      </c>
      <c r="D1434" s="4">
        <v>43170.0</v>
      </c>
      <c r="E1434" s="4">
        <v>43172.0</v>
      </c>
      <c r="F1434" s="4">
        <v>43171.0</v>
      </c>
      <c r="G1434" s="1">
        <v>2.0</v>
      </c>
      <c r="H1434" s="1">
        <v>7.0</v>
      </c>
      <c r="I1434" s="3" t="str">
        <f>VLOOKUP(B1434,Customers!A:J, 10,FALSE)</f>
        <v>Britteny Schroeder</v>
      </c>
      <c r="J1434" s="3" t="str">
        <f>VLOOKUP(B1434,Customers!A:J,8,FALSE)</f>
        <v>NY</v>
      </c>
      <c r="K1434" s="3" t="str">
        <f>VLOOKUP(B1434,Customers!A:J,7,FALSE)</f>
        <v>Pittsford</v>
      </c>
      <c r="L1434" s="3" t="str">
        <f>VLOOKUP(H1434,Staff!A:I,9,FALSE)</f>
        <v>Venita Daniel</v>
      </c>
      <c r="M1434" s="3" t="str">
        <f>VLOOKUP(G1434,Store!A:H,2,FALSE)</f>
        <v>Baldwin Bikes</v>
      </c>
      <c r="N1434" s="3" t="str">
        <f>VLOOKUP(G1434,Store!A:H,6,FALSE)</f>
        <v>Baldwin</v>
      </c>
      <c r="O1434" s="3" t="s">
        <v>16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">
        <v>1434.0</v>
      </c>
      <c r="B1435" s="1">
        <v>595.0</v>
      </c>
      <c r="C1435" s="1">
        <v>4.0</v>
      </c>
      <c r="D1435" s="4">
        <v>43173.0</v>
      </c>
      <c r="E1435" s="4">
        <v>43175.0</v>
      </c>
      <c r="F1435" s="4">
        <v>43175.0</v>
      </c>
      <c r="G1435" s="1">
        <v>2.0</v>
      </c>
      <c r="H1435" s="1">
        <v>6.0</v>
      </c>
      <c r="I1435" s="3" t="str">
        <f>VLOOKUP(B1435,Customers!A:J, 10,FALSE)</f>
        <v>Frederica Rojas</v>
      </c>
      <c r="J1435" s="3" t="str">
        <f>VLOOKUP(B1435,Customers!A:J,8,FALSE)</f>
        <v>NY</v>
      </c>
      <c r="K1435" s="3" t="str">
        <f>VLOOKUP(B1435,Customers!A:J,7,FALSE)</f>
        <v>Ithaca</v>
      </c>
      <c r="L1435" s="3" t="str">
        <f>VLOOKUP(H1435,Staff!A:I,9,FALSE)</f>
        <v>Marcelene Boyer</v>
      </c>
      <c r="M1435" s="3" t="str">
        <f>VLOOKUP(G1435,Store!A:H,2,FALSE)</f>
        <v>Baldwin Bikes</v>
      </c>
      <c r="N1435" s="3" t="str">
        <f>VLOOKUP(G1435,Store!A:H,6,FALSE)</f>
        <v>Baldwin</v>
      </c>
      <c r="O1435" s="3" t="s">
        <v>16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">
        <v>1435.0</v>
      </c>
      <c r="B1436" s="1">
        <v>744.0</v>
      </c>
      <c r="C1436" s="1">
        <v>4.0</v>
      </c>
      <c r="D1436" s="4">
        <v>43173.0</v>
      </c>
      <c r="E1436" s="4">
        <v>43174.0</v>
      </c>
      <c r="F1436" s="4">
        <v>43175.0</v>
      </c>
      <c r="G1436" s="1">
        <v>2.0</v>
      </c>
      <c r="H1436" s="1">
        <v>6.0</v>
      </c>
      <c r="I1436" s="3" t="str">
        <f>VLOOKUP(B1436,Customers!A:J, 10,FALSE)</f>
        <v>Laurel Schultz</v>
      </c>
      <c r="J1436" s="3" t="str">
        <f>VLOOKUP(B1436,Customers!A:J,8,FALSE)</f>
        <v>NY</v>
      </c>
      <c r="K1436" s="3" t="str">
        <f>VLOOKUP(B1436,Customers!A:J,7,FALSE)</f>
        <v>Mount Vernon</v>
      </c>
      <c r="L1436" s="3" t="str">
        <f>VLOOKUP(H1436,Staff!A:I,9,FALSE)</f>
        <v>Marcelene Boyer</v>
      </c>
      <c r="M1436" s="3" t="str">
        <f>VLOOKUP(G1436,Store!A:H,2,FALSE)</f>
        <v>Baldwin Bikes</v>
      </c>
      <c r="N1436" s="3" t="str">
        <f>VLOOKUP(G1436,Store!A:H,6,FALSE)</f>
        <v>Baldwin</v>
      </c>
      <c r="O1436" s="3" t="s">
        <v>16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">
        <v>1436.0</v>
      </c>
      <c r="B1437" s="1">
        <v>1044.0</v>
      </c>
      <c r="C1437" s="1">
        <v>4.0</v>
      </c>
      <c r="D1437" s="4">
        <v>43173.0</v>
      </c>
      <c r="E1437" s="4">
        <v>43176.0</v>
      </c>
      <c r="F1437" s="4">
        <v>43175.0</v>
      </c>
      <c r="G1437" s="1">
        <v>2.0</v>
      </c>
      <c r="H1437" s="1">
        <v>6.0</v>
      </c>
      <c r="I1437" s="3" t="str">
        <f>VLOOKUP(B1437,Customers!A:J, 10,FALSE)</f>
        <v>Zenia Bruce</v>
      </c>
      <c r="J1437" s="3" t="str">
        <f>VLOOKUP(B1437,Customers!A:J,8,FALSE)</f>
        <v>NY</v>
      </c>
      <c r="K1437" s="3" t="str">
        <f>VLOOKUP(B1437,Customers!A:J,7,FALSE)</f>
        <v>Rosedale</v>
      </c>
      <c r="L1437" s="3" t="str">
        <f>VLOOKUP(H1437,Staff!A:I,9,FALSE)</f>
        <v>Marcelene Boyer</v>
      </c>
      <c r="M1437" s="3" t="str">
        <f>VLOOKUP(G1437,Store!A:H,2,FALSE)</f>
        <v>Baldwin Bikes</v>
      </c>
      <c r="N1437" s="3" t="str">
        <f>VLOOKUP(G1437,Store!A:H,6,FALSE)</f>
        <v>Baldwin</v>
      </c>
      <c r="O1437" s="3" t="s">
        <v>16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">
        <v>1437.0</v>
      </c>
      <c r="B1438" s="1">
        <v>518.0</v>
      </c>
      <c r="C1438" s="1">
        <v>4.0</v>
      </c>
      <c r="D1438" s="4">
        <v>43174.0</v>
      </c>
      <c r="E1438" s="4">
        <v>43175.0</v>
      </c>
      <c r="F1438" s="4">
        <v>43175.0</v>
      </c>
      <c r="G1438" s="1">
        <v>1.0</v>
      </c>
      <c r="H1438" s="1">
        <v>2.0</v>
      </c>
      <c r="I1438" s="3" t="str">
        <f>VLOOKUP(B1438,Customers!A:J, 10,FALSE)</f>
        <v>Homer Powers</v>
      </c>
      <c r="J1438" s="3" t="str">
        <f>VLOOKUP(B1438,Customers!A:J,8,FALSE)</f>
        <v>CA</v>
      </c>
      <c r="K1438" s="3" t="str">
        <f>VLOOKUP(B1438,Customers!A:J,7,FALSE)</f>
        <v>Palos Verdes Peninsula</v>
      </c>
      <c r="L1438" s="3" t="str">
        <f>VLOOKUP(H1438,Staff!A:I,9,FALSE)</f>
        <v>Mireya Copeland</v>
      </c>
      <c r="M1438" s="3" t="str">
        <f>VLOOKUP(G1438,Store!A:H,2,FALSE)</f>
        <v>Santa Cruz Bikes</v>
      </c>
      <c r="N1438" s="3" t="str">
        <f>VLOOKUP(G1438,Store!A:H,6,FALSE)</f>
        <v>Santa Cruz</v>
      </c>
      <c r="O1438" s="3" t="s">
        <v>15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">
        <v>1438.0</v>
      </c>
      <c r="B1439" s="1">
        <v>263.0</v>
      </c>
      <c r="C1439" s="1">
        <v>4.0</v>
      </c>
      <c r="D1439" s="4">
        <v>43174.0</v>
      </c>
      <c r="E1439" s="4">
        <v>43176.0</v>
      </c>
      <c r="F1439" s="4">
        <v>43175.0</v>
      </c>
      <c r="G1439" s="1">
        <v>2.0</v>
      </c>
      <c r="H1439" s="1">
        <v>6.0</v>
      </c>
      <c r="I1439" s="3" t="str">
        <f>VLOOKUP(B1439,Customers!A:J, 10,FALSE)</f>
        <v>Dortha Jarvis</v>
      </c>
      <c r="J1439" s="3" t="str">
        <f>VLOOKUP(B1439,Customers!A:J,8,FALSE)</f>
        <v>NY</v>
      </c>
      <c r="K1439" s="3" t="str">
        <f>VLOOKUP(B1439,Customers!A:J,7,FALSE)</f>
        <v>Oceanside</v>
      </c>
      <c r="L1439" s="3" t="str">
        <f>VLOOKUP(H1439,Staff!A:I,9,FALSE)</f>
        <v>Marcelene Boyer</v>
      </c>
      <c r="M1439" s="3" t="str">
        <f>VLOOKUP(G1439,Store!A:H,2,FALSE)</f>
        <v>Baldwin Bikes</v>
      </c>
      <c r="N1439" s="3" t="str">
        <f>VLOOKUP(G1439,Store!A:H,6,FALSE)</f>
        <v>Baldwin</v>
      </c>
      <c r="O1439" s="3" t="s">
        <v>16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">
        <v>1439.0</v>
      </c>
      <c r="B1440" s="1">
        <v>463.0</v>
      </c>
      <c r="C1440" s="1">
        <v>4.0</v>
      </c>
      <c r="D1440" s="4">
        <v>43174.0</v>
      </c>
      <c r="E1440" s="4">
        <v>43175.0</v>
      </c>
      <c r="F1440" s="4">
        <v>43176.0</v>
      </c>
      <c r="G1440" s="1">
        <v>2.0</v>
      </c>
      <c r="H1440" s="1">
        <v>7.0</v>
      </c>
      <c r="I1440" s="3" t="str">
        <f>VLOOKUP(B1440,Customers!A:J, 10,FALSE)</f>
        <v>Jerlene Rios</v>
      </c>
      <c r="J1440" s="3" t="str">
        <f>VLOOKUP(B1440,Customers!A:J,8,FALSE)</f>
        <v>NY</v>
      </c>
      <c r="K1440" s="3" t="str">
        <f>VLOOKUP(B1440,Customers!A:J,7,FALSE)</f>
        <v>Plainview</v>
      </c>
      <c r="L1440" s="3" t="str">
        <f>VLOOKUP(H1440,Staff!A:I,9,FALSE)</f>
        <v>Venita Daniel</v>
      </c>
      <c r="M1440" s="3" t="str">
        <f>VLOOKUP(G1440,Store!A:H,2,FALSE)</f>
        <v>Baldwin Bikes</v>
      </c>
      <c r="N1440" s="3" t="str">
        <f>VLOOKUP(G1440,Store!A:H,6,FALSE)</f>
        <v>Baldwin</v>
      </c>
      <c r="O1440" s="3" t="s">
        <v>16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">
        <v>1440.0</v>
      </c>
      <c r="B1441" s="1">
        <v>859.0</v>
      </c>
      <c r="C1441" s="1">
        <v>4.0</v>
      </c>
      <c r="D1441" s="4">
        <v>43174.0</v>
      </c>
      <c r="E1441" s="4">
        <v>43177.0</v>
      </c>
      <c r="F1441" s="4">
        <v>43175.0</v>
      </c>
      <c r="G1441" s="1">
        <v>3.0</v>
      </c>
      <c r="H1441" s="1">
        <v>8.0</v>
      </c>
      <c r="I1441" s="3" t="str">
        <f>VLOOKUP(B1441,Customers!A:J, 10,FALSE)</f>
        <v>Julianne Shannon</v>
      </c>
      <c r="J1441" s="3" t="str">
        <f>VLOOKUP(B1441,Customers!A:J,8,FALSE)</f>
        <v>TX</v>
      </c>
      <c r="K1441" s="3" t="str">
        <f>VLOOKUP(B1441,Customers!A:J,7,FALSE)</f>
        <v>Sugar Land</v>
      </c>
      <c r="L1441" s="3" t="str">
        <f>VLOOKUP(H1441,Staff!A:I,9,FALSE)</f>
        <v>Kali Vargas</v>
      </c>
      <c r="M1441" s="3" t="str">
        <f>VLOOKUP(G1441,Store!A:H,2,FALSE)</f>
        <v>Rowlett Bikes</v>
      </c>
      <c r="N1441" s="3" t="str">
        <f>VLOOKUP(G1441,Store!A:H,6,FALSE)</f>
        <v>Rowlett</v>
      </c>
      <c r="O1441" s="3" t="s">
        <v>17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">
        <v>1441.0</v>
      </c>
      <c r="B1442" s="1">
        <v>982.0</v>
      </c>
      <c r="C1442" s="1">
        <v>4.0</v>
      </c>
      <c r="D1442" s="4">
        <v>43174.0</v>
      </c>
      <c r="E1442" s="4">
        <v>43175.0</v>
      </c>
      <c r="F1442" s="4">
        <v>43177.0</v>
      </c>
      <c r="G1442" s="1">
        <v>3.0</v>
      </c>
      <c r="H1442" s="1">
        <v>8.0</v>
      </c>
      <c r="I1442" s="3" t="str">
        <f>VLOOKUP(B1442,Customers!A:J, 10,FALSE)</f>
        <v>Orval Hunter</v>
      </c>
      <c r="J1442" s="3" t="str">
        <f>VLOOKUP(B1442,Customers!A:J,8,FALSE)</f>
        <v>TX</v>
      </c>
      <c r="K1442" s="3" t="str">
        <f>VLOOKUP(B1442,Customers!A:J,7,FALSE)</f>
        <v>San Angelo</v>
      </c>
      <c r="L1442" s="3" t="str">
        <f>VLOOKUP(H1442,Staff!A:I,9,FALSE)</f>
        <v>Kali Vargas</v>
      </c>
      <c r="M1442" s="3" t="str">
        <f>VLOOKUP(G1442,Store!A:H,2,FALSE)</f>
        <v>Rowlett Bikes</v>
      </c>
      <c r="N1442" s="3" t="str">
        <f>VLOOKUP(G1442,Store!A:H,6,FALSE)</f>
        <v>Rowlett</v>
      </c>
      <c r="O1442" s="3" t="s">
        <v>17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">
        <v>1442.0</v>
      </c>
      <c r="B1443" s="1">
        <v>478.0</v>
      </c>
      <c r="C1443" s="1">
        <v>4.0</v>
      </c>
      <c r="D1443" s="4">
        <v>43175.0</v>
      </c>
      <c r="E1443" s="4">
        <v>43176.0</v>
      </c>
      <c r="F1443" s="4">
        <v>43176.0</v>
      </c>
      <c r="G1443" s="1">
        <v>2.0</v>
      </c>
      <c r="H1443" s="1">
        <v>7.0</v>
      </c>
      <c r="I1443" s="3" t="str">
        <f>VLOOKUP(B1443,Customers!A:J, 10,FALSE)</f>
        <v>Emmett Hahn</v>
      </c>
      <c r="J1443" s="3" t="str">
        <f>VLOOKUP(B1443,Customers!A:J,8,FALSE)</f>
        <v>NY</v>
      </c>
      <c r="K1443" s="3" t="str">
        <f>VLOOKUP(B1443,Customers!A:J,7,FALSE)</f>
        <v>Freeport</v>
      </c>
      <c r="L1443" s="3" t="str">
        <f>VLOOKUP(H1443,Staff!A:I,9,FALSE)</f>
        <v>Venita Daniel</v>
      </c>
      <c r="M1443" s="3" t="str">
        <f>VLOOKUP(G1443,Store!A:H,2,FALSE)</f>
        <v>Baldwin Bikes</v>
      </c>
      <c r="N1443" s="3" t="str">
        <f>VLOOKUP(G1443,Store!A:H,6,FALSE)</f>
        <v>Baldwin</v>
      </c>
      <c r="O1443" s="3" t="s">
        <v>16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">
        <v>1443.0</v>
      </c>
      <c r="B1444" s="1">
        <v>972.0</v>
      </c>
      <c r="C1444" s="1">
        <v>4.0</v>
      </c>
      <c r="D1444" s="4">
        <v>43175.0</v>
      </c>
      <c r="E1444" s="4">
        <v>43176.0</v>
      </c>
      <c r="F1444" s="4">
        <v>43176.0</v>
      </c>
      <c r="G1444" s="1">
        <v>2.0</v>
      </c>
      <c r="H1444" s="1">
        <v>7.0</v>
      </c>
      <c r="I1444" s="3" t="str">
        <f>VLOOKUP(B1444,Customers!A:J, 10,FALSE)</f>
        <v>Damian Mills</v>
      </c>
      <c r="J1444" s="3" t="str">
        <f>VLOOKUP(B1444,Customers!A:J,8,FALSE)</f>
        <v>NY</v>
      </c>
      <c r="K1444" s="3" t="str">
        <f>VLOOKUP(B1444,Customers!A:J,7,FALSE)</f>
        <v>Long Beach</v>
      </c>
      <c r="L1444" s="3" t="str">
        <f>VLOOKUP(H1444,Staff!A:I,9,FALSE)</f>
        <v>Venita Daniel</v>
      </c>
      <c r="M1444" s="3" t="str">
        <f>VLOOKUP(G1444,Store!A:H,2,FALSE)</f>
        <v>Baldwin Bikes</v>
      </c>
      <c r="N1444" s="3" t="str">
        <f>VLOOKUP(G1444,Store!A:H,6,FALSE)</f>
        <v>Baldwin</v>
      </c>
      <c r="O1444" s="3" t="s">
        <v>16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">
        <v>1444.0</v>
      </c>
      <c r="B1445" s="1">
        <v>1154.0</v>
      </c>
      <c r="C1445" s="1">
        <v>4.0</v>
      </c>
      <c r="D1445" s="4">
        <v>43175.0</v>
      </c>
      <c r="E1445" s="4">
        <v>43176.0</v>
      </c>
      <c r="F1445" s="4">
        <v>43178.0</v>
      </c>
      <c r="G1445" s="1">
        <v>2.0</v>
      </c>
      <c r="H1445" s="1">
        <v>6.0</v>
      </c>
      <c r="I1445" s="3" t="str">
        <f>VLOOKUP(B1445,Customers!A:J, 10,FALSE)</f>
        <v>Barry Albert</v>
      </c>
      <c r="J1445" s="3" t="str">
        <f>VLOOKUP(B1445,Customers!A:J,8,FALSE)</f>
        <v>NY</v>
      </c>
      <c r="K1445" s="3" t="str">
        <f>VLOOKUP(B1445,Customers!A:J,7,FALSE)</f>
        <v>Auburn</v>
      </c>
      <c r="L1445" s="3" t="str">
        <f>VLOOKUP(H1445,Staff!A:I,9,FALSE)</f>
        <v>Marcelene Boyer</v>
      </c>
      <c r="M1445" s="3" t="str">
        <f>VLOOKUP(G1445,Store!A:H,2,FALSE)</f>
        <v>Baldwin Bikes</v>
      </c>
      <c r="N1445" s="3" t="str">
        <f>VLOOKUP(G1445,Store!A:H,6,FALSE)</f>
        <v>Baldwin</v>
      </c>
      <c r="O1445" s="3" t="s">
        <v>16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">
        <v>1445.0</v>
      </c>
      <c r="B1446" s="1">
        <v>515.0</v>
      </c>
      <c r="C1446" s="1">
        <v>4.0</v>
      </c>
      <c r="D1446" s="4">
        <v>43176.0</v>
      </c>
      <c r="E1446" s="4">
        <v>43177.0</v>
      </c>
      <c r="F1446" s="4">
        <v>43179.0</v>
      </c>
      <c r="G1446" s="1">
        <v>2.0</v>
      </c>
      <c r="H1446" s="1">
        <v>7.0</v>
      </c>
      <c r="I1446" s="3" t="str">
        <f>VLOOKUP(B1446,Customers!A:J, 10,FALSE)</f>
        <v>Reita Dickson</v>
      </c>
      <c r="J1446" s="3" t="str">
        <f>VLOOKUP(B1446,Customers!A:J,8,FALSE)</f>
        <v>NY</v>
      </c>
      <c r="K1446" s="3" t="str">
        <f>VLOOKUP(B1446,Customers!A:J,7,FALSE)</f>
        <v>Scarsdale</v>
      </c>
      <c r="L1446" s="3" t="str">
        <f>VLOOKUP(H1446,Staff!A:I,9,FALSE)</f>
        <v>Venita Daniel</v>
      </c>
      <c r="M1446" s="3" t="str">
        <f>VLOOKUP(G1446,Store!A:H,2,FALSE)</f>
        <v>Baldwin Bikes</v>
      </c>
      <c r="N1446" s="3" t="str">
        <f>VLOOKUP(G1446,Store!A:H,6,FALSE)</f>
        <v>Baldwin</v>
      </c>
      <c r="O1446" s="3" t="s">
        <v>16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">
        <v>1446.0</v>
      </c>
      <c r="B1447" s="1">
        <v>820.0</v>
      </c>
      <c r="C1447" s="1">
        <v>4.0</v>
      </c>
      <c r="D1447" s="4">
        <v>43176.0</v>
      </c>
      <c r="E1447" s="4">
        <v>43177.0</v>
      </c>
      <c r="F1447" s="4">
        <v>43177.0</v>
      </c>
      <c r="G1447" s="1">
        <v>2.0</v>
      </c>
      <c r="H1447" s="1">
        <v>6.0</v>
      </c>
      <c r="I1447" s="3" t="str">
        <f>VLOOKUP(B1447,Customers!A:J, 10,FALSE)</f>
        <v>Sandy Mills</v>
      </c>
      <c r="J1447" s="3" t="str">
        <f>VLOOKUP(B1447,Customers!A:J,8,FALSE)</f>
        <v>NY</v>
      </c>
      <c r="K1447" s="3" t="str">
        <f>VLOOKUP(B1447,Customers!A:J,7,FALSE)</f>
        <v>Schenectady</v>
      </c>
      <c r="L1447" s="3" t="str">
        <f>VLOOKUP(H1447,Staff!A:I,9,FALSE)</f>
        <v>Marcelene Boyer</v>
      </c>
      <c r="M1447" s="3" t="str">
        <f>VLOOKUP(G1447,Store!A:H,2,FALSE)</f>
        <v>Baldwin Bikes</v>
      </c>
      <c r="N1447" s="3" t="str">
        <f>VLOOKUP(G1447,Store!A:H,6,FALSE)</f>
        <v>Baldwin</v>
      </c>
      <c r="O1447" s="3" t="s">
        <v>16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">
        <v>1447.0</v>
      </c>
      <c r="B1448" s="1">
        <v>1419.0</v>
      </c>
      <c r="C1448" s="1">
        <v>4.0</v>
      </c>
      <c r="D1448" s="4">
        <v>43177.0</v>
      </c>
      <c r="E1448" s="4">
        <v>43179.0</v>
      </c>
      <c r="F1448" s="4">
        <v>43179.0</v>
      </c>
      <c r="G1448" s="1">
        <v>1.0</v>
      </c>
      <c r="H1448" s="1">
        <v>3.0</v>
      </c>
      <c r="I1448" s="3" t="str">
        <f>VLOOKUP(B1448,Customers!A:J, 10,FALSE)</f>
        <v>Lurlene Cotton</v>
      </c>
      <c r="J1448" s="3" t="str">
        <f>VLOOKUP(B1448,Customers!A:J,8,FALSE)</f>
        <v>CA</v>
      </c>
      <c r="K1448" s="3" t="str">
        <f>VLOOKUP(B1448,Customers!A:J,7,FALSE)</f>
        <v>Pleasanton</v>
      </c>
      <c r="L1448" s="3" t="str">
        <f>VLOOKUP(H1448,Staff!A:I,9,FALSE)</f>
        <v>Genna Serrano</v>
      </c>
      <c r="M1448" s="3" t="str">
        <f>VLOOKUP(G1448,Store!A:H,2,FALSE)</f>
        <v>Santa Cruz Bikes</v>
      </c>
      <c r="N1448" s="3" t="str">
        <f>VLOOKUP(G1448,Store!A:H,6,FALSE)</f>
        <v>Santa Cruz</v>
      </c>
      <c r="O1448" s="3" t="s">
        <v>15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">
        <v>1448.0</v>
      </c>
      <c r="B1449" s="1">
        <v>228.0</v>
      </c>
      <c r="C1449" s="1">
        <v>4.0</v>
      </c>
      <c r="D1449" s="4">
        <v>43177.0</v>
      </c>
      <c r="E1449" s="4">
        <v>43178.0</v>
      </c>
      <c r="F1449" s="4">
        <v>43180.0</v>
      </c>
      <c r="G1449" s="1">
        <v>2.0</v>
      </c>
      <c r="H1449" s="1">
        <v>6.0</v>
      </c>
      <c r="I1449" s="3" t="str">
        <f>VLOOKUP(B1449,Customers!A:J, 10,FALSE)</f>
        <v>Whitney Estes</v>
      </c>
      <c r="J1449" s="3" t="str">
        <f>VLOOKUP(B1449,Customers!A:J,8,FALSE)</f>
        <v>NY</v>
      </c>
      <c r="K1449" s="3" t="str">
        <f>VLOOKUP(B1449,Customers!A:J,7,FALSE)</f>
        <v>Brentwood</v>
      </c>
      <c r="L1449" s="3" t="str">
        <f>VLOOKUP(H1449,Staff!A:I,9,FALSE)</f>
        <v>Marcelene Boyer</v>
      </c>
      <c r="M1449" s="3" t="str">
        <f>VLOOKUP(G1449,Store!A:H,2,FALSE)</f>
        <v>Baldwin Bikes</v>
      </c>
      <c r="N1449" s="3" t="str">
        <f>VLOOKUP(G1449,Store!A:H,6,FALSE)</f>
        <v>Baldwin</v>
      </c>
      <c r="O1449" s="3" t="s">
        <v>16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">
        <v>1449.0</v>
      </c>
      <c r="B1450" s="1">
        <v>330.0</v>
      </c>
      <c r="C1450" s="1">
        <v>4.0</v>
      </c>
      <c r="D1450" s="4">
        <v>43177.0</v>
      </c>
      <c r="E1450" s="4">
        <v>43178.0</v>
      </c>
      <c r="F1450" s="4">
        <v>43179.0</v>
      </c>
      <c r="G1450" s="1">
        <v>2.0</v>
      </c>
      <c r="H1450" s="1">
        <v>7.0</v>
      </c>
      <c r="I1450" s="3" t="str">
        <f>VLOOKUP(B1450,Customers!A:J, 10,FALSE)</f>
        <v>Sheba Knapp</v>
      </c>
      <c r="J1450" s="3" t="str">
        <f>VLOOKUP(B1450,Customers!A:J,8,FALSE)</f>
        <v>NY</v>
      </c>
      <c r="K1450" s="3" t="str">
        <f>VLOOKUP(B1450,Customers!A:J,7,FALSE)</f>
        <v>Woodside</v>
      </c>
      <c r="L1450" s="3" t="str">
        <f>VLOOKUP(H1450,Staff!A:I,9,FALSE)</f>
        <v>Venita Daniel</v>
      </c>
      <c r="M1450" s="3" t="str">
        <f>VLOOKUP(G1450,Store!A:H,2,FALSE)</f>
        <v>Baldwin Bikes</v>
      </c>
      <c r="N1450" s="3" t="str">
        <f>VLOOKUP(G1450,Store!A:H,6,FALSE)</f>
        <v>Baldwin</v>
      </c>
      <c r="O1450" s="3" t="s">
        <v>16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">
        <v>1450.0</v>
      </c>
      <c r="B1451" s="1">
        <v>296.0</v>
      </c>
      <c r="C1451" s="1">
        <v>4.0</v>
      </c>
      <c r="D1451" s="4">
        <v>43178.0</v>
      </c>
      <c r="E1451" s="4">
        <v>43179.0</v>
      </c>
      <c r="F1451" s="4">
        <v>43181.0</v>
      </c>
      <c r="G1451" s="1">
        <v>2.0</v>
      </c>
      <c r="H1451" s="1">
        <v>7.0</v>
      </c>
      <c r="I1451" s="3" t="str">
        <f>VLOOKUP(B1451,Customers!A:J, 10,FALSE)</f>
        <v>Sophia Mcmillan</v>
      </c>
      <c r="J1451" s="3" t="str">
        <f>VLOOKUP(B1451,Customers!A:J,8,FALSE)</f>
        <v>NY</v>
      </c>
      <c r="K1451" s="3" t="str">
        <f>VLOOKUP(B1451,Customers!A:J,7,FALSE)</f>
        <v>Uniondale</v>
      </c>
      <c r="L1451" s="3" t="str">
        <f>VLOOKUP(H1451,Staff!A:I,9,FALSE)</f>
        <v>Venita Daniel</v>
      </c>
      <c r="M1451" s="3" t="str">
        <f>VLOOKUP(G1451,Store!A:H,2,FALSE)</f>
        <v>Baldwin Bikes</v>
      </c>
      <c r="N1451" s="3" t="str">
        <f>VLOOKUP(G1451,Store!A:H,6,FALSE)</f>
        <v>Baldwin</v>
      </c>
      <c r="O1451" s="3" t="s">
        <v>16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">
        <v>1451.0</v>
      </c>
      <c r="B1452" s="1">
        <v>822.0</v>
      </c>
      <c r="C1452" s="1">
        <v>4.0</v>
      </c>
      <c r="D1452" s="4">
        <v>43178.0</v>
      </c>
      <c r="E1452" s="4">
        <v>43181.0</v>
      </c>
      <c r="F1452" s="4">
        <v>43179.0</v>
      </c>
      <c r="G1452" s="1">
        <v>2.0</v>
      </c>
      <c r="H1452" s="1">
        <v>6.0</v>
      </c>
      <c r="I1452" s="3" t="str">
        <f>VLOOKUP(B1452,Customers!A:J, 10,FALSE)</f>
        <v>Kristy Watkins</v>
      </c>
      <c r="J1452" s="3" t="str">
        <f>VLOOKUP(B1452,Customers!A:J,8,FALSE)</f>
        <v>NY</v>
      </c>
      <c r="K1452" s="3" t="str">
        <f>VLOOKUP(B1452,Customers!A:J,7,FALSE)</f>
        <v>Howard Beach</v>
      </c>
      <c r="L1452" s="3" t="str">
        <f>VLOOKUP(H1452,Staff!A:I,9,FALSE)</f>
        <v>Marcelene Boyer</v>
      </c>
      <c r="M1452" s="3" t="str">
        <f>VLOOKUP(G1452,Store!A:H,2,FALSE)</f>
        <v>Baldwin Bikes</v>
      </c>
      <c r="N1452" s="3" t="str">
        <f>VLOOKUP(G1452,Store!A:H,6,FALSE)</f>
        <v>Baldwin</v>
      </c>
      <c r="O1452" s="3" t="s">
        <v>16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">
        <v>1452.0</v>
      </c>
      <c r="B1453" s="1">
        <v>287.0</v>
      </c>
      <c r="C1453" s="1">
        <v>4.0</v>
      </c>
      <c r="D1453" s="4">
        <v>43179.0</v>
      </c>
      <c r="E1453" s="4">
        <v>43182.0</v>
      </c>
      <c r="F1453" s="4">
        <v>43182.0</v>
      </c>
      <c r="G1453" s="1">
        <v>1.0</v>
      </c>
      <c r="H1453" s="1">
        <v>3.0</v>
      </c>
      <c r="I1453" s="3" t="str">
        <f>VLOOKUP(B1453,Customers!A:J, 10,FALSE)</f>
        <v>Mireille Puckett</v>
      </c>
      <c r="J1453" s="3" t="str">
        <f>VLOOKUP(B1453,Customers!A:J,8,FALSE)</f>
        <v>CA</v>
      </c>
      <c r="K1453" s="3" t="str">
        <f>VLOOKUP(B1453,Customers!A:J,7,FALSE)</f>
        <v>Oxnard</v>
      </c>
      <c r="L1453" s="3" t="str">
        <f>VLOOKUP(H1453,Staff!A:I,9,FALSE)</f>
        <v>Genna Serrano</v>
      </c>
      <c r="M1453" s="3" t="str">
        <f>VLOOKUP(G1453,Store!A:H,2,FALSE)</f>
        <v>Santa Cruz Bikes</v>
      </c>
      <c r="N1453" s="3" t="str">
        <f>VLOOKUP(G1453,Store!A:H,6,FALSE)</f>
        <v>Santa Cruz</v>
      </c>
      <c r="O1453" s="3" t="s">
        <v>15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">
        <v>1453.0</v>
      </c>
      <c r="B1454" s="1">
        <v>601.0</v>
      </c>
      <c r="C1454" s="1">
        <v>4.0</v>
      </c>
      <c r="D1454" s="4">
        <v>43179.0</v>
      </c>
      <c r="E1454" s="4">
        <v>43182.0</v>
      </c>
      <c r="F1454" s="4">
        <v>43181.0</v>
      </c>
      <c r="G1454" s="1">
        <v>1.0</v>
      </c>
      <c r="H1454" s="1">
        <v>3.0</v>
      </c>
      <c r="I1454" s="3" t="str">
        <f>VLOOKUP(B1454,Customers!A:J, 10,FALSE)</f>
        <v>Leland Mcdowell</v>
      </c>
      <c r="J1454" s="3" t="str">
        <f>VLOOKUP(B1454,Customers!A:J,8,FALSE)</f>
        <v>CA</v>
      </c>
      <c r="K1454" s="3" t="str">
        <f>VLOOKUP(B1454,Customers!A:J,7,FALSE)</f>
        <v>Encino</v>
      </c>
      <c r="L1454" s="3" t="str">
        <f>VLOOKUP(H1454,Staff!A:I,9,FALSE)</f>
        <v>Genna Serrano</v>
      </c>
      <c r="M1454" s="3" t="str">
        <f>VLOOKUP(G1454,Store!A:H,2,FALSE)</f>
        <v>Santa Cruz Bikes</v>
      </c>
      <c r="N1454" s="3" t="str">
        <f>VLOOKUP(G1454,Store!A:H,6,FALSE)</f>
        <v>Santa Cruz</v>
      </c>
      <c r="O1454" s="3" t="s">
        <v>15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">
        <v>1454.0</v>
      </c>
      <c r="B1455" s="1">
        <v>395.0</v>
      </c>
      <c r="C1455" s="1">
        <v>4.0</v>
      </c>
      <c r="D1455" s="4">
        <v>43179.0</v>
      </c>
      <c r="E1455" s="4">
        <v>43180.0</v>
      </c>
      <c r="F1455" s="4">
        <v>43181.0</v>
      </c>
      <c r="G1455" s="1">
        <v>2.0</v>
      </c>
      <c r="H1455" s="1">
        <v>6.0</v>
      </c>
      <c r="I1455" s="3" t="str">
        <f>VLOOKUP(B1455,Customers!A:J, 10,FALSE)</f>
        <v>Fairy Robinson</v>
      </c>
      <c r="J1455" s="3" t="str">
        <f>VLOOKUP(B1455,Customers!A:J,8,FALSE)</f>
        <v>NY</v>
      </c>
      <c r="K1455" s="3" t="str">
        <f>VLOOKUP(B1455,Customers!A:J,7,FALSE)</f>
        <v>Liverpool</v>
      </c>
      <c r="L1455" s="3" t="str">
        <f>VLOOKUP(H1455,Staff!A:I,9,FALSE)</f>
        <v>Marcelene Boyer</v>
      </c>
      <c r="M1455" s="3" t="str">
        <f>VLOOKUP(G1455,Store!A:H,2,FALSE)</f>
        <v>Baldwin Bikes</v>
      </c>
      <c r="N1455" s="3" t="str">
        <f>VLOOKUP(G1455,Store!A:H,6,FALSE)</f>
        <v>Baldwin</v>
      </c>
      <c r="O1455" s="3" t="s">
        <v>16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">
        <v>1455.0</v>
      </c>
      <c r="B1456" s="1">
        <v>405.0</v>
      </c>
      <c r="C1456" s="1">
        <v>4.0</v>
      </c>
      <c r="D1456" s="4">
        <v>43179.0</v>
      </c>
      <c r="E1456" s="4">
        <v>43181.0</v>
      </c>
      <c r="F1456" s="4">
        <v>43180.0</v>
      </c>
      <c r="G1456" s="1">
        <v>2.0</v>
      </c>
      <c r="H1456" s="1">
        <v>6.0</v>
      </c>
      <c r="I1456" s="3" t="str">
        <f>VLOOKUP(B1456,Customers!A:J, 10,FALSE)</f>
        <v>Greta Page</v>
      </c>
      <c r="J1456" s="3" t="str">
        <f>VLOOKUP(B1456,Customers!A:J,8,FALSE)</f>
        <v>NY</v>
      </c>
      <c r="K1456" s="3" t="str">
        <f>VLOOKUP(B1456,Customers!A:J,7,FALSE)</f>
        <v>Commack</v>
      </c>
      <c r="L1456" s="3" t="str">
        <f>VLOOKUP(H1456,Staff!A:I,9,FALSE)</f>
        <v>Marcelene Boyer</v>
      </c>
      <c r="M1456" s="3" t="str">
        <f>VLOOKUP(G1456,Store!A:H,2,FALSE)</f>
        <v>Baldwin Bikes</v>
      </c>
      <c r="N1456" s="3" t="str">
        <f>VLOOKUP(G1456,Store!A:H,6,FALSE)</f>
        <v>Baldwin</v>
      </c>
      <c r="O1456" s="3" t="s">
        <v>16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">
        <v>1456.0</v>
      </c>
      <c r="B1457" s="1">
        <v>754.0</v>
      </c>
      <c r="C1457" s="1">
        <v>4.0</v>
      </c>
      <c r="D1457" s="4">
        <v>43179.0</v>
      </c>
      <c r="E1457" s="4">
        <v>43180.0</v>
      </c>
      <c r="F1457" s="4">
        <v>43182.0</v>
      </c>
      <c r="G1457" s="1">
        <v>2.0</v>
      </c>
      <c r="H1457" s="1">
        <v>7.0</v>
      </c>
      <c r="I1457" s="3" t="str">
        <f>VLOOKUP(B1457,Customers!A:J, 10,FALSE)</f>
        <v>Hue May</v>
      </c>
      <c r="J1457" s="3" t="str">
        <f>VLOOKUP(B1457,Customers!A:J,8,FALSE)</f>
        <v>NY</v>
      </c>
      <c r="K1457" s="3" t="str">
        <f>VLOOKUP(B1457,Customers!A:J,7,FALSE)</f>
        <v>Valley Stream</v>
      </c>
      <c r="L1457" s="3" t="str">
        <f>VLOOKUP(H1457,Staff!A:I,9,FALSE)</f>
        <v>Venita Daniel</v>
      </c>
      <c r="M1457" s="3" t="str">
        <f>VLOOKUP(G1457,Store!A:H,2,FALSE)</f>
        <v>Baldwin Bikes</v>
      </c>
      <c r="N1457" s="3" t="str">
        <f>VLOOKUP(G1457,Store!A:H,6,FALSE)</f>
        <v>Baldwin</v>
      </c>
      <c r="O1457" s="3" t="s">
        <v>16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">
        <v>1457.0</v>
      </c>
      <c r="B1458" s="1">
        <v>1411.0</v>
      </c>
      <c r="C1458" s="1">
        <v>4.0</v>
      </c>
      <c r="D1458" s="4">
        <v>43179.0</v>
      </c>
      <c r="E1458" s="4">
        <v>43182.0</v>
      </c>
      <c r="F1458" s="4">
        <v>43182.0</v>
      </c>
      <c r="G1458" s="1">
        <v>2.0</v>
      </c>
      <c r="H1458" s="1">
        <v>6.0</v>
      </c>
      <c r="I1458" s="3" t="str">
        <f>VLOOKUP(B1458,Customers!A:J, 10,FALSE)</f>
        <v>Shanda Stevenson</v>
      </c>
      <c r="J1458" s="3" t="str">
        <f>VLOOKUP(B1458,Customers!A:J,8,FALSE)</f>
        <v>NY</v>
      </c>
      <c r="K1458" s="3" t="str">
        <f>VLOOKUP(B1458,Customers!A:J,7,FALSE)</f>
        <v>Freeport</v>
      </c>
      <c r="L1458" s="3" t="str">
        <f>VLOOKUP(H1458,Staff!A:I,9,FALSE)</f>
        <v>Marcelene Boyer</v>
      </c>
      <c r="M1458" s="3" t="str">
        <f>VLOOKUP(G1458,Store!A:H,2,FALSE)</f>
        <v>Baldwin Bikes</v>
      </c>
      <c r="N1458" s="3" t="str">
        <f>VLOOKUP(G1458,Store!A:H,6,FALSE)</f>
        <v>Baldwin</v>
      </c>
      <c r="O1458" s="3" t="s">
        <v>16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">
        <v>1458.0</v>
      </c>
      <c r="B1459" s="1">
        <v>1029.0</v>
      </c>
      <c r="C1459" s="1">
        <v>4.0</v>
      </c>
      <c r="D1459" s="4">
        <v>43179.0</v>
      </c>
      <c r="E1459" s="4">
        <v>43181.0</v>
      </c>
      <c r="F1459" s="4">
        <v>43180.0</v>
      </c>
      <c r="G1459" s="1">
        <v>3.0</v>
      </c>
      <c r="H1459" s="1">
        <v>8.0</v>
      </c>
      <c r="I1459" s="3" t="str">
        <f>VLOOKUP(B1459,Customers!A:J, 10,FALSE)</f>
        <v>Ping Quinn</v>
      </c>
      <c r="J1459" s="3" t="str">
        <f>VLOOKUP(B1459,Customers!A:J,8,FALSE)</f>
        <v>TX</v>
      </c>
      <c r="K1459" s="3" t="str">
        <f>VLOOKUP(B1459,Customers!A:J,7,FALSE)</f>
        <v>Rowlett</v>
      </c>
      <c r="L1459" s="3" t="str">
        <f>VLOOKUP(H1459,Staff!A:I,9,FALSE)</f>
        <v>Kali Vargas</v>
      </c>
      <c r="M1459" s="3" t="str">
        <f>VLOOKUP(G1459,Store!A:H,2,FALSE)</f>
        <v>Rowlett Bikes</v>
      </c>
      <c r="N1459" s="3" t="str">
        <f>VLOOKUP(G1459,Store!A:H,6,FALSE)</f>
        <v>Rowlett</v>
      </c>
      <c r="O1459" s="3" t="s">
        <v>17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">
        <v>1459.0</v>
      </c>
      <c r="B1460" s="1">
        <v>9.0</v>
      </c>
      <c r="C1460" s="1">
        <v>4.0</v>
      </c>
      <c r="D1460" s="4">
        <v>43180.0</v>
      </c>
      <c r="E1460" s="4">
        <v>43181.0</v>
      </c>
      <c r="F1460" s="4">
        <v>43181.0</v>
      </c>
      <c r="G1460" s="1">
        <v>2.0</v>
      </c>
      <c r="H1460" s="1">
        <v>7.0</v>
      </c>
      <c r="I1460" s="3" t="str">
        <f>VLOOKUP(B1460,Customers!A:J, 10,FALSE)</f>
        <v>Genoveva Baldwin</v>
      </c>
      <c r="J1460" s="3" t="str">
        <f>VLOOKUP(B1460,Customers!A:J,8,FALSE)</f>
        <v>NY</v>
      </c>
      <c r="K1460" s="3" t="str">
        <f>VLOOKUP(B1460,Customers!A:J,7,FALSE)</f>
        <v>Port Washington</v>
      </c>
      <c r="L1460" s="3" t="str">
        <f>VLOOKUP(H1460,Staff!A:I,9,FALSE)</f>
        <v>Venita Daniel</v>
      </c>
      <c r="M1460" s="3" t="str">
        <f>VLOOKUP(G1460,Store!A:H,2,FALSE)</f>
        <v>Baldwin Bikes</v>
      </c>
      <c r="N1460" s="3" t="str">
        <f>VLOOKUP(G1460,Store!A:H,6,FALSE)</f>
        <v>Baldwin</v>
      </c>
      <c r="O1460" s="3" t="s">
        <v>16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">
        <v>1460.0</v>
      </c>
      <c r="B1461" s="1">
        <v>1131.0</v>
      </c>
      <c r="C1461" s="1">
        <v>4.0</v>
      </c>
      <c r="D1461" s="4">
        <v>43180.0</v>
      </c>
      <c r="E1461" s="4">
        <v>43182.0</v>
      </c>
      <c r="F1461" s="4">
        <v>43182.0</v>
      </c>
      <c r="G1461" s="1">
        <v>2.0</v>
      </c>
      <c r="H1461" s="1">
        <v>7.0</v>
      </c>
      <c r="I1461" s="3" t="str">
        <f>VLOOKUP(B1461,Customers!A:J, 10,FALSE)</f>
        <v>Desmond Rose</v>
      </c>
      <c r="J1461" s="3" t="str">
        <f>VLOOKUP(B1461,Customers!A:J,8,FALSE)</f>
        <v>NY</v>
      </c>
      <c r="K1461" s="3" t="str">
        <f>VLOOKUP(B1461,Customers!A:J,7,FALSE)</f>
        <v>Mount Vernon</v>
      </c>
      <c r="L1461" s="3" t="str">
        <f>VLOOKUP(H1461,Staff!A:I,9,FALSE)</f>
        <v>Venita Daniel</v>
      </c>
      <c r="M1461" s="3" t="str">
        <f>VLOOKUP(G1461,Store!A:H,2,FALSE)</f>
        <v>Baldwin Bikes</v>
      </c>
      <c r="N1461" s="3" t="str">
        <f>VLOOKUP(G1461,Store!A:H,6,FALSE)</f>
        <v>Baldwin</v>
      </c>
      <c r="O1461" s="3" t="s">
        <v>16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">
        <v>1461.0</v>
      </c>
      <c r="B1462" s="1">
        <v>139.0</v>
      </c>
      <c r="C1462" s="1">
        <v>4.0</v>
      </c>
      <c r="D1462" s="4">
        <v>43181.0</v>
      </c>
      <c r="E1462" s="4">
        <v>43184.0</v>
      </c>
      <c r="F1462" s="4">
        <v>43182.0</v>
      </c>
      <c r="G1462" s="1">
        <v>2.0</v>
      </c>
      <c r="H1462" s="1">
        <v>6.0</v>
      </c>
      <c r="I1462" s="3" t="str">
        <f>VLOOKUP(B1462,Customers!A:J, 10,FALSE)</f>
        <v>Wanita Davenport</v>
      </c>
      <c r="J1462" s="3" t="str">
        <f>VLOOKUP(B1462,Customers!A:J,8,FALSE)</f>
        <v>NY</v>
      </c>
      <c r="K1462" s="3" t="str">
        <f>VLOOKUP(B1462,Customers!A:J,7,FALSE)</f>
        <v>Spring Valley</v>
      </c>
      <c r="L1462" s="3" t="str">
        <f>VLOOKUP(H1462,Staff!A:I,9,FALSE)</f>
        <v>Marcelene Boyer</v>
      </c>
      <c r="M1462" s="3" t="str">
        <f>VLOOKUP(G1462,Store!A:H,2,FALSE)</f>
        <v>Baldwin Bikes</v>
      </c>
      <c r="N1462" s="3" t="str">
        <f>VLOOKUP(G1462,Store!A:H,6,FALSE)</f>
        <v>Baldwin</v>
      </c>
      <c r="O1462" s="3" t="s">
        <v>16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">
        <v>1462.0</v>
      </c>
      <c r="B1463" s="1">
        <v>1101.0</v>
      </c>
      <c r="C1463" s="1">
        <v>4.0</v>
      </c>
      <c r="D1463" s="4">
        <v>43181.0</v>
      </c>
      <c r="E1463" s="4">
        <v>43183.0</v>
      </c>
      <c r="F1463" s="4">
        <v>43183.0</v>
      </c>
      <c r="G1463" s="1">
        <v>2.0</v>
      </c>
      <c r="H1463" s="1">
        <v>6.0</v>
      </c>
      <c r="I1463" s="3" t="str">
        <f>VLOOKUP(B1463,Customers!A:J, 10,FALSE)</f>
        <v>Louise Flowers</v>
      </c>
      <c r="J1463" s="3" t="str">
        <f>VLOOKUP(B1463,Customers!A:J,8,FALSE)</f>
        <v>NY</v>
      </c>
      <c r="K1463" s="3" t="str">
        <f>VLOOKUP(B1463,Customers!A:J,7,FALSE)</f>
        <v>Depew</v>
      </c>
      <c r="L1463" s="3" t="str">
        <f>VLOOKUP(H1463,Staff!A:I,9,FALSE)</f>
        <v>Marcelene Boyer</v>
      </c>
      <c r="M1463" s="3" t="str">
        <f>VLOOKUP(G1463,Store!A:H,2,FALSE)</f>
        <v>Baldwin Bikes</v>
      </c>
      <c r="N1463" s="3" t="str">
        <f>VLOOKUP(G1463,Store!A:H,6,FALSE)</f>
        <v>Baldwin</v>
      </c>
      <c r="O1463" s="3" t="s">
        <v>16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">
        <v>1463.0</v>
      </c>
      <c r="B1464" s="1">
        <v>692.0</v>
      </c>
      <c r="C1464" s="1">
        <v>4.0</v>
      </c>
      <c r="D1464" s="4">
        <v>43182.0</v>
      </c>
      <c r="E1464" s="4">
        <v>43183.0</v>
      </c>
      <c r="F1464" s="4">
        <v>43183.0</v>
      </c>
      <c r="G1464" s="1">
        <v>2.0</v>
      </c>
      <c r="H1464" s="1">
        <v>7.0</v>
      </c>
      <c r="I1464" s="3" t="str">
        <f>VLOOKUP(B1464,Customers!A:J, 10,FALSE)</f>
        <v>Dorothea Chang</v>
      </c>
      <c r="J1464" s="3" t="str">
        <f>VLOOKUP(B1464,Customers!A:J,8,FALSE)</f>
        <v>NY</v>
      </c>
      <c r="K1464" s="3" t="str">
        <f>VLOOKUP(B1464,Customers!A:J,7,FALSE)</f>
        <v>Astoria</v>
      </c>
      <c r="L1464" s="3" t="str">
        <f>VLOOKUP(H1464,Staff!A:I,9,FALSE)</f>
        <v>Venita Daniel</v>
      </c>
      <c r="M1464" s="3" t="str">
        <f>VLOOKUP(G1464,Store!A:H,2,FALSE)</f>
        <v>Baldwin Bikes</v>
      </c>
      <c r="N1464" s="3" t="str">
        <f>VLOOKUP(G1464,Store!A:H,6,FALSE)</f>
        <v>Baldwin</v>
      </c>
      <c r="O1464" s="3" t="s">
        <v>16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">
        <v>1464.0</v>
      </c>
      <c r="B1465" s="1">
        <v>1279.0</v>
      </c>
      <c r="C1465" s="1">
        <v>4.0</v>
      </c>
      <c r="D1465" s="4">
        <v>43183.0</v>
      </c>
      <c r="E1465" s="4">
        <v>43184.0</v>
      </c>
      <c r="F1465" s="4">
        <v>43184.0</v>
      </c>
      <c r="G1465" s="1">
        <v>2.0</v>
      </c>
      <c r="H1465" s="1">
        <v>7.0</v>
      </c>
      <c r="I1465" s="3" t="str">
        <f>VLOOKUP(B1465,Customers!A:J, 10,FALSE)</f>
        <v>Stan Saunders</v>
      </c>
      <c r="J1465" s="3" t="str">
        <f>VLOOKUP(B1465,Customers!A:J,8,FALSE)</f>
        <v>NY</v>
      </c>
      <c r="K1465" s="3" t="str">
        <f>VLOOKUP(B1465,Customers!A:J,7,FALSE)</f>
        <v>Canandaigua</v>
      </c>
      <c r="L1465" s="3" t="str">
        <f>VLOOKUP(H1465,Staff!A:I,9,FALSE)</f>
        <v>Venita Daniel</v>
      </c>
      <c r="M1465" s="3" t="str">
        <f>VLOOKUP(G1465,Store!A:H,2,FALSE)</f>
        <v>Baldwin Bikes</v>
      </c>
      <c r="N1465" s="3" t="str">
        <f>VLOOKUP(G1465,Store!A:H,6,FALSE)</f>
        <v>Baldwin</v>
      </c>
      <c r="O1465" s="3" t="s">
        <v>16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">
        <v>1465.0</v>
      </c>
      <c r="B1466" s="1">
        <v>623.0</v>
      </c>
      <c r="C1466" s="1">
        <v>4.0</v>
      </c>
      <c r="D1466" s="4">
        <v>43184.0</v>
      </c>
      <c r="E1466" s="4">
        <v>43187.0</v>
      </c>
      <c r="F1466" s="4">
        <v>43187.0</v>
      </c>
      <c r="G1466" s="1">
        <v>2.0</v>
      </c>
      <c r="H1466" s="1">
        <v>7.0</v>
      </c>
      <c r="I1466" s="3" t="str">
        <f>VLOOKUP(B1466,Customers!A:J, 10,FALSE)</f>
        <v>Cayla Johnson</v>
      </c>
      <c r="J1466" s="3" t="str">
        <f>VLOOKUP(B1466,Customers!A:J,8,FALSE)</f>
        <v>NY</v>
      </c>
      <c r="K1466" s="3" t="str">
        <f>VLOOKUP(B1466,Customers!A:J,7,FALSE)</f>
        <v>Coram</v>
      </c>
      <c r="L1466" s="3" t="str">
        <f>VLOOKUP(H1466,Staff!A:I,9,FALSE)</f>
        <v>Venita Daniel</v>
      </c>
      <c r="M1466" s="3" t="str">
        <f>VLOOKUP(G1466,Store!A:H,2,FALSE)</f>
        <v>Baldwin Bikes</v>
      </c>
      <c r="N1466" s="3" t="str">
        <f>VLOOKUP(G1466,Store!A:H,6,FALSE)</f>
        <v>Baldwin</v>
      </c>
      <c r="O1466" s="3" t="s">
        <v>16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">
        <v>1466.0</v>
      </c>
      <c r="B1467" s="1">
        <v>738.0</v>
      </c>
      <c r="C1467" s="1">
        <v>4.0</v>
      </c>
      <c r="D1467" s="4">
        <v>43185.0</v>
      </c>
      <c r="E1467" s="4">
        <v>43188.0</v>
      </c>
      <c r="F1467" s="4">
        <v>43187.0</v>
      </c>
      <c r="G1467" s="1">
        <v>1.0</v>
      </c>
      <c r="H1467" s="1">
        <v>3.0</v>
      </c>
      <c r="I1467" s="3" t="str">
        <f>VLOOKUP(B1467,Customers!A:J, 10,FALSE)</f>
        <v>Fannie Jenkins</v>
      </c>
      <c r="J1467" s="3" t="str">
        <f>VLOOKUP(B1467,Customers!A:J,8,FALSE)</f>
        <v>CA</v>
      </c>
      <c r="K1467" s="3" t="str">
        <f>VLOOKUP(B1467,Customers!A:J,7,FALSE)</f>
        <v>Oxnard</v>
      </c>
      <c r="L1467" s="3" t="str">
        <f>VLOOKUP(H1467,Staff!A:I,9,FALSE)</f>
        <v>Genna Serrano</v>
      </c>
      <c r="M1467" s="3" t="str">
        <f>VLOOKUP(G1467,Store!A:H,2,FALSE)</f>
        <v>Santa Cruz Bikes</v>
      </c>
      <c r="N1467" s="3" t="str">
        <f>VLOOKUP(G1467,Store!A:H,6,FALSE)</f>
        <v>Santa Cruz</v>
      </c>
      <c r="O1467" s="3" t="s">
        <v>15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">
        <v>1467.0</v>
      </c>
      <c r="B1468" s="1">
        <v>152.0</v>
      </c>
      <c r="C1468" s="1">
        <v>4.0</v>
      </c>
      <c r="D1468" s="4">
        <v>43185.0</v>
      </c>
      <c r="E1468" s="4">
        <v>43186.0</v>
      </c>
      <c r="F1468" s="4">
        <v>43188.0</v>
      </c>
      <c r="G1468" s="1">
        <v>2.0</v>
      </c>
      <c r="H1468" s="1">
        <v>7.0</v>
      </c>
      <c r="I1468" s="3" t="str">
        <f>VLOOKUP(B1468,Customers!A:J, 10,FALSE)</f>
        <v>Katherina Odom</v>
      </c>
      <c r="J1468" s="3" t="str">
        <f>VLOOKUP(B1468,Customers!A:J,8,FALSE)</f>
        <v>NY</v>
      </c>
      <c r="K1468" s="3" t="str">
        <f>VLOOKUP(B1468,Customers!A:J,7,FALSE)</f>
        <v>Plainview</v>
      </c>
      <c r="L1468" s="3" t="str">
        <f>VLOOKUP(H1468,Staff!A:I,9,FALSE)</f>
        <v>Venita Daniel</v>
      </c>
      <c r="M1468" s="3" t="str">
        <f>VLOOKUP(G1468,Store!A:H,2,FALSE)</f>
        <v>Baldwin Bikes</v>
      </c>
      <c r="N1468" s="3" t="str">
        <f>VLOOKUP(G1468,Store!A:H,6,FALSE)</f>
        <v>Baldwin</v>
      </c>
      <c r="O1468" s="3" t="s">
        <v>16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">
        <v>1468.0</v>
      </c>
      <c r="B1469" s="1">
        <v>3.0</v>
      </c>
      <c r="C1469" s="1">
        <v>4.0</v>
      </c>
      <c r="D1469" s="4">
        <v>43186.0</v>
      </c>
      <c r="E1469" s="4">
        <v>43189.0</v>
      </c>
      <c r="F1469" s="4">
        <v>43188.0</v>
      </c>
      <c r="G1469" s="1">
        <v>1.0</v>
      </c>
      <c r="H1469" s="1">
        <v>2.0</v>
      </c>
      <c r="I1469" s="3" t="str">
        <f>VLOOKUP(B1469,Customers!A:J, 10,FALSE)</f>
        <v>Tameka Fisher</v>
      </c>
      <c r="J1469" s="3" t="str">
        <f>VLOOKUP(B1469,Customers!A:J,8,FALSE)</f>
        <v>CA</v>
      </c>
      <c r="K1469" s="3" t="str">
        <f>VLOOKUP(B1469,Customers!A:J,7,FALSE)</f>
        <v>Redondo Beach</v>
      </c>
      <c r="L1469" s="3" t="str">
        <f>VLOOKUP(H1469,Staff!A:I,9,FALSE)</f>
        <v>Mireya Copeland</v>
      </c>
      <c r="M1469" s="3" t="str">
        <f>VLOOKUP(G1469,Store!A:H,2,FALSE)</f>
        <v>Santa Cruz Bikes</v>
      </c>
      <c r="N1469" s="3" t="str">
        <f>VLOOKUP(G1469,Store!A:H,6,FALSE)</f>
        <v>Santa Cruz</v>
      </c>
      <c r="O1469" s="3" t="s">
        <v>15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">
        <v>1469.0</v>
      </c>
      <c r="B1470" s="1">
        <v>1135.0</v>
      </c>
      <c r="C1470" s="1">
        <v>4.0</v>
      </c>
      <c r="D1470" s="4">
        <v>43186.0</v>
      </c>
      <c r="E1470" s="4">
        <v>43187.0</v>
      </c>
      <c r="F1470" s="4">
        <v>43189.0</v>
      </c>
      <c r="G1470" s="1">
        <v>3.0</v>
      </c>
      <c r="H1470" s="1">
        <v>8.0</v>
      </c>
      <c r="I1470" s="3" t="str">
        <f>VLOOKUP(B1470,Customers!A:J, 10,FALSE)</f>
        <v>Alisia Albert</v>
      </c>
      <c r="J1470" s="3" t="str">
        <f>VLOOKUP(B1470,Customers!A:J,8,FALSE)</f>
        <v>TX</v>
      </c>
      <c r="K1470" s="3" t="str">
        <f>VLOOKUP(B1470,Customers!A:J,7,FALSE)</f>
        <v>Garland</v>
      </c>
      <c r="L1470" s="3" t="str">
        <f>VLOOKUP(H1470,Staff!A:I,9,FALSE)</f>
        <v>Kali Vargas</v>
      </c>
      <c r="M1470" s="3" t="str">
        <f>VLOOKUP(G1470,Store!A:H,2,FALSE)</f>
        <v>Rowlett Bikes</v>
      </c>
      <c r="N1470" s="3" t="str">
        <f>VLOOKUP(G1470,Store!A:H,6,FALSE)</f>
        <v>Rowlett</v>
      </c>
      <c r="O1470" s="3" t="s">
        <v>17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">
        <v>1470.0</v>
      </c>
      <c r="B1471" s="1">
        <v>505.0</v>
      </c>
      <c r="C1471" s="1">
        <v>4.0</v>
      </c>
      <c r="D1471" s="4">
        <v>43187.0</v>
      </c>
      <c r="E1471" s="4">
        <v>43190.0</v>
      </c>
      <c r="F1471" s="4">
        <v>43190.0</v>
      </c>
      <c r="G1471" s="1">
        <v>2.0</v>
      </c>
      <c r="H1471" s="1">
        <v>7.0</v>
      </c>
      <c r="I1471" s="3" t="str">
        <f>VLOOKUP(B1471,Customers!A:J, 10,FALSE)</f>
        <v>Wilda Petersen</v>
      </c>
      <c r="J1471" s="3" t="str">
        <f>VLOOKUP(B1471,Customers!A:J,8,FALSE)</f>
        <v>NY</v>
      </c>
      <c r="K1471" s="3" t="str">
        <f>VLOOKUP(B1471,Customers!A:J,7,FALSE)</f>
        <v>Jamaica</v>
      </c>
      <c r="L1471" s="3" t="str">
        <f>VLOOKUP(H1471,Staff!A:I,9,FALSE)</f>
        <v>Venita Daniel</v>
      </c>
      <c r="M1471" s="3" t="str">
        <f>VLOOKUP(G1471,Store!A:H,2,FALSE)</f>
        <v>Baldwin Bikes</v>
      </c>
      <c r="N1471" s="3" t="str">
        <f>VLOOKUP(G1471,Store!A:H,6,FALSE)</f>
        <v>Baldwin</v>
      </c>
      <c r="O1471" s="3" t="s">
        <v>16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">
        <v>1471.0</v>
      </c>
      <c r="B1472" s="1">
        <v>1310.0</v>
      </c>
      <c r="C1472" s="1">
        <v>4.0</v>
      </c>
      <c r="D1472" s="4">
        <v>43187.0</v>
      </c>
      <c r="E1472" s="4">
        <v>43189.0</v>
      </c>
      <c r="F1472" s="4">
        <v>43188.0</v>
      </c>
      <c r="G1472" s="1">
        <v>2.0</v>
      </c>
      <c r="H1472" s="1">
        <v>7.0</v>
      </c>
      <c r="I1472" s="3" t="str">
        <f>VLOOKUP(B1472,Customers!A:J, 10,FALSE)</f>
        <v>Emanuel Mckee</v>
      </c>
      <c r="J1472" s="3" t="str">
        <f>VLOOKUP(B1472,Customers!A:J,8,FALSE)</f>
        <v>NY</v>
      </c>
      <c r="K1472" s="3" t="str">
        <f>VLOOKUP(B1472,Customers!A:J,7,FALSE)</f>
        <v>Schenectady</v>
      </c>
      <c r="L1472" s="3" t="str">
        <f>VLOOKUP(H1472,Staff!A:I,9,FALSE)</f>
        <v>Venita Daniel</v>
      </c>
      <c r="M1472" s="3" t="str">
        <f>VLOOKUP(G1472,Store!A:H,2,FALSE)</f>
        <v>Baldwin Bikes</v>
      </c>
      <c r="N1472" s="3" t="str">
        <f>VLOOKUP(G1472,Store!A:H,6,FALSE)</f>
        <v>Baldwin</v>
      </c>
      <c r="O1472" s="3" t="s">
        <v>16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">
        <v>1472.0</v>
      </c>
      <c r="B1473" s="1">
        <v>114.0</v>
      </c>
      <c r="C1473" s="1">
        <v>4.0</v>
      </c>
      <c r="D1473" s="4">
        <v>43188.0</v>
      </c>
      <c r="E1473" s="4">
        <v>43189.0</v>
      </c>
      <c r="F1473" s="4">
        <v>43190.0</v>
      </c>
      <c r="G1473" s="1">
        <v>2.0</v>
      </c>
      <c r="H1473" s="1">
        <v>6.0</v>
      </c>
      <c r="I1473" s="3" t="str">
        <f>VLOOKUP(B1473,Customers!A:J, 10,FALSE)</f>
        <v>Thalia Horne</v>
      </c>
      <c r="J1473" s="3" t="str">
        <f>VLOOKUP(B1473,Customers!A:J,8,FALSE)</f>
        <v>NY</v>
      </c>
      <c r="K1473" s="3" t="str">
        <f>VLOOKUP(B1473,Customers!A:J,7,FALSE)</f>
        <v>Amityville</v>
      </c>
      <c r="L1473" s="3" t="str">
        <f>VLOOKUP(H1473,Staff!A:I,9,FALSE)</f>
        <v>Marcelene Boyer</v>
      </c>
      <c r="M1473" s="3" t="str">
        <f>VLOOKUP(G1473,Store!A:H,2,FALSE)</f>
        <v>Baldwin Bikes</v>
      </c>
      <c r="N1473" s="3" t="str">
        <f>VLOOKUP(G1473,Store!A:H,6,FALSE)</f>
        <v>Baldwin</v>
      </c>
      <c r="O1473" s="3" t="s">
        <v>16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">
        <v>1473.0</v>
      </c>
      <c r="B1474" s="1">
        <v>302.0</v>
      </c>
      <c r="C1474" s="1">
        <v>4.0</v>
      </c>
      <c r="D1474" s="4">
        <v>43189.0</v>
      </c>
      <c r="E1474" s="4">
        <v>43191.0</v>
      </c>
      <c r="F1474" s="4">
        <v>43192.0</v>
      </c>
      <c r="G1474" s="1">
        <v>1.0</v>
      </c>
      <c r="H1474" s="1">
        <v>2.0</v>
      </c>
      <c r="I1474" s="3" t="str">
        <f>VLOOKUP(B1474,Customers!A:J, 10,FALSE)</f>
        <v>Hayden Cross</v>
      </c>
      <c r="J1474" s="3" t="str">
        <f>VLOOKUP(B1474,Customers!A:J,8,FALSE)</f>
        <v>CA</v>
      </c>
      <c r="K1474" s="3" t="str">
        <f>VLOOKUP(B1474,Customers!A:J,7,FALSE)</f>
        <v>Apple Valley</v>
      </c>
      <c r="L1474" s="3" t="str">
        <f>VLOOKUP(H1474,Staff!A:I,9,FALSE)</f>
        <v>Mireya Copeland</v>
      </c>
      <c r="M1474" s="3" t="str">
        <f>VLOOKUP(G1474,Store!A:H,2,FALSE)</f>
        <v>Santa Cruz Bikes</v>
      </c>
      <c r="N1474" s="3" t="str">
        <f>VLOOKUP(G1474,Store!A:H,6,FALSE)</f>
        <v>Santa Cruz</v>
      </c>
      <c r="O1474" s="3" t="s">
        <v>15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">
        <v>1474.0</v>
      </c>
      <c r="B1475" s="1">
        <v>816.0</v>
      </c>
      <c r="C1475" s="1">
        <v>4.0</v>
      </c>
      <c r="D1475" s="4">
        <v>43189.0</v>
      </c>
      <c r="E1475" s="4">
        <v>43191.0</v>
      </c>
      <c r="F1475" s="4">
        <v>43192.0</v>
      </c>
      <c r="G1475" s="1">
        <v>1.0</v>
      </c>
      <c r="H1475" s="1">
        <v>3.0</v>
      </c>
      <c r="I1475" s="3" t="str">
        <f>VLOOKUP(B1475,Customers!A:J, 10,FALSE)</f>
        <v>Marshall Johnson</v>
      </c>
      <c r="J1475" s="3" t="str">
        <f>VLOOKUP(B1475,Customers!A:J,8,FALSE)</f>
        <v>CA</v>
      </c>
      <c r="K1475" s="3" t="str">
        <f>VLOOKUP(B1475,Customers!A:J,7,FALSE)</f>
        <v>Vista</v>
      </c>
      <c r="L1475" s="3" t="str">
        <f>VLOOKUP(H1475,Staff!A:I,9,FALSE)</f>
        <v>Genna Serrano</v>
      </c>
      <c r="M1475" s="3" t="str">
        <f>VLOOKUP(G1475,Store!A:H,2,FALSE)</f>
        <v>Santa Cruz Bikes</v>
      </c>
      <c r="N1475" s="3" t="str">
        <f>VLOOKUP(G1475,Store!A:H,6,FALSE)</f>
        <v>Santa Cruz</v>
      </c>
      <c r="O1475" s="3" t="s">
        <v>15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">
        <v>1475.0</v>
      </c>
      <c r="B1476" s="1">
        <v>112.0</v>
      </c>
      <c r="C1476" s="1">
        <v>4.0</v>
      </c>
      <c r="D1476" s="4">
        <v>43189.0</v>
      </c>
      <c r="E1476" s="4">
        <v>43191.0</v>
      </c>
      <c r="F1476" s="4">
        <v>43190.0</v>
      </c>
      <c r="G1476" s="1">
        <v>2.0</v>
      </c>
      <c r="H1476" s="1">
        <v>6.0</v>
      </c>
      <c r="I1476" s="3" t="str">
        <f>VLOOKUP(B1476,Customers!A:J, 10,FALSE)</f>
        <v>Yuk Vega</v>
      </c>
      <c r="J1476" s="3" t="str">
        <f>VLOOKUP(B1476,Customers!A:J,8,FALSE)</f>
        <v>NY</v>
      </c>
      <c r="K1476" s="3" t="str">
        <f>VLOOKUP(B1476,Customers!A:J,7,FALSE)</f>
        <v>West Hempstead</v>
      </c>
      <c r="L1476" s="3" t="str">
        <f>VLOOKUP(H1476,Staff!A:I,9,FALSE)</f>
        <v>Marcelene Boyer</v>
      </c>
      <c r="M1476" s="3" t="str">
        <f>VLOOKUP(G1476,Store!A:H,2,FALSE)</f>
        <v>Baldwin Bikes</v>
      </c>
      <c r="N1476" s="3" t="str">
        <f>VLOOKUP(G1476,Store!A:H,6,FALSE)</f>
        <v>Baldwin</v>
      </c>
      <c r="O1476" s="3" t="s">
        <v>16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">
        <v>1476.0</v>
      </c>
      <c r="B1477" s="1">
        <v>35.0</v>
      </c>
      <c r="C1477" s="1">
        <v>4.0</v>
      </c>
      <c r="D1477" s="4">
        <v>43190.0</v>
      </c>
      <c r="E1477" s="4">
        <v>43191.0</v>
      </c>
      <c r="F1477" s="4">
        <v>43191.0</v>
      </c>
      <c r="G1477" s="1">
        <v>2.0</v>
      </c>
      <c r="H1477" s="1">
        <v>7.0</v>
      </c>
      <c r="I1477" s="3" t="str">
        <f>VLOOKUP(B1477,Customers!A:J, 10,FALSE)</f>
        <v>Guillermina Noble</v>
      </c>
      <c r="J1477" s="3" t="str">
        <f>VLOOKUP(B1477,Customers!A:J,8,FALSE)</f>
        <v>NY</v>
      </c>
      <c r="K1477" s="3" t="str">
        <f>VLOOKUP(B1477,Customers!A:J,7,FALSE)</f>
        <v>Baldwinsville</v>
      </c>
      <c r="L1477" s="3" t="str">
        <f>VLOOKUP(H1477,Staff!A:I,9,FALSE)</f>
        <v>Venita Daniel</v>
      </c>
      <c r="M1477" s="3" t="str">
        <f>VLOOKUP(G1477,Store!A:H,2,FALSE)</f>
        <v>Baldwin Bikes</v>
      </c>
      <c r="N1477" s="3" t="str">
        <f>VLOOKUP(G1477,Store!A:H,6,FALSE)</f>
        <v>Baldwin</v>
      </c>
      <c r="O1477" s="3" t="s">
        <v>16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">
        <v>1477.0</v>
      </c>
      <c r="B1478" s="1">
        <v>180.0</v>
      </c>
      <c r="C1478" s="1">
        <v>4.0</v>
      </c>
      <c r="D1478" s="4">
        <v>43190.0</v>
      </c>
      <c r="E1478" s="4">
        <v>43193.0</v>
      </c>
      <c r="F1478" s="4">
        <v>43191.0</v>
      </c>
      <c r="G1478" s="1">
        <v>2.0</v>
      </c>
      <c r="H1478" s="1">
        <v>6.0</v>
      </c>
      <c r="I1478" s="3" t="str">
        <f>VLOOKUP(B1478,Customers!A:J, 10,FALSE)</f>
        <v>Karey Steele</v>
      </c>
      <c r="J1478" s="3" t="str">
        <f>VLOOKUP(B1478,Customers!A:J,8,FALSE)</f>
        <v>NY</v>
      </c>
      <c r="K1478" s="3" t="str">
        <f>VLOOKUP(B1478,Customers!A:J,7,FALSE)</f>
        <v>Farmingdale</v>
      </c>
      <c r="L1478" s="3" t="str">
        <f>VLOOKUP(H1478,Staff!A:I,9,FALSE)</f>
        <v>Marcelene Boyer</v>
      </c>
      <c r="M1478" s="3" t="str">
        <f>VLOOKUP(G1478,Store!A:H,2,FALSE)</f>
        <v>Baldwin Bikes</v>
      </c>
      <c r="N1478" s="3" t="str">
        <f>VLOOKUP(G1478,Store!A:H,6,FALSE)</f>
        <v>Baldwin</v>
      </c>
      <c r="O1478" s="3" t="s">
        <v>16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">
        <v>1478.0</v>
      </c>
      <c r="B1479" s="1">
        <v>392.0</v>
      </c>
      <c r="C1479" s="1">
        <v>4.0</v>
      </c>
      <c r="D1479" s="4">
        <v>43190.0</v>
      </c>
      <c r="E1479" s="4">
        <v>43192.0</v>
      </c>
      <c r="F1479" s="4">
        <v>43192.0</v>
      </c>
      <c r="G1479" s="1">
        <v>2.0</v>
      </c>
      <c r="H1479" s="1">
        <v>6.0</v>
      </c>
      <c r="I1479" s="3" t="str">
        <f>VLOOKUP(B1479,Customers!A:J, 10,FALSE)</f>
        <v>Cyndi Bush</v>
      </c>
      <c r="J1479" s="3" t="str">
        <f>VLOOKUP(B1479,Customers!A:J,8,FALSE)</f>
        <v>NY</v>
      </c>
      <c r="K1479" s="3" t="str">
        <f>VLOOKUP(B1479,Customers!A:J,7,FALSE)</f>
        <v>Elmhurst</v>
      </c>
      <c r="L1479" s="3" t="str">
        <f>VLOOKUP(H1479,Staff!A:I,9,FALSE)</f>
        <v>Marcelene Boyer</v>
      </c>
      <c r="M1479" s="3" t="str">
        <f>VLOOKUP(G1479,Store!A:H,2,FALSE)</f>
        <v>Baldwin Bikes</v>
      </c>
      <c r="N1479" s="3" t="str">
        <f>VLOOKUP(G1479,Store!A:H,6,FALSE)</f>
        <v>Baldwin</v>
      </c>
      <c r="O1479" s="3" t="s">
        <v>16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">
        <v>1479.0</v>
      </c>
      <c r="B1480" s="1">
        <v>23.0</v>
      </c>
      <c r="C1480" s="1">
        <v>2.0</v>
      </c>
      <c r="D1480" s="4">
        <v>43191.0</v>
      </c>
      <c r="E1480" s="4">
        <v>43191.0</v>
      </c>
      <c r="F1480" s="1" t="s">
        <v>18</v>
      </c>
      <c r="G1480" s="1">
        <v>2.0</v>
      </c>
      <c r="H1480" s="1">
        <v>7.0</v>
      </c>
      <c r="I1480" s="3" t="str">
        <f>VLOOKUP(B1480,Customers!A:J, 10,FALSE)</f>
        <v>Kaylee English</v>
      </c>
      <c r="J1480" s="3" t="str">
        <f>VLOOKUP(B1480,Customers!A:J,8,FALSE)</f>
        <v>NY</v>
      </c>
      <c r="K1480" s="3" t="str">
        <f>VLOOKUP(B1480,Customers!A:J,7,FALSE)</f>
        <v>Hollis</v>
      </c>
      <c r="L1480" s="3" t="str">
        <f>VLOOKUP(H1480,Staff!A:I,9,FALSE)</f>
        <v>Venita Daniel</v>
      </c>
      <c r="M1480" s="3" t="str">
        <f>VLOOKUP(G1480,Store!A:H,2,FALSE)</f>
        <v>Baldwin Bikes</v>
      </c>
      <c r="N1480" s="3" t="str">
        <f>VLOOKUP(G1480,Store!A:H,6,FALSE)</f>
        <v>Baldwin</v>
      </c>
      <c r="O1480" s="3" t="s">
        <v>16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">
        <v>1480.0</v>
      </c>
      <c r="B1481" s="1">
        <v>27.0</v>
      </c>
      <c r="C1481" s="1">
        <v>2.0</v>
      </c>
      <c r="D1481" s="4">
        <v>43191.0</v>
      </c>
      <c r="E1481" s="4">
        <v>43191.0</v>
      </c>
      <c r="F1481" s="1" t="s">
        <v>18</v>
      </c>
      <c r="G1481" s="1">
        <v>2.0</v>
      </c>
      <c r="H1481" s="1">
        <v>7.0</v>
      </c>
      <c r="I1481" s="3" t="str">
        <f>VLOOKUP(B1481,Customers!A:J, 10,FALSE)</f>
        <v>Santos Valencia</v>
      </c>
      <c r="J1481" s="3" t="str">
        <f>VLOOKUP(B1481,Customers!A:J,8,FALSE)</f>
        <v>NY</v>
      </c>
      <c r="K1481" s="3" t="str">
        <f>VLOOKUP(B1481,Customers!A:J,7,FALSE)</f>
        <v>Sunnyside</v>
      </c>
      <c r="L1481" s="3" t="str">
        <f>VLOOKUP(H1481,Staff!A:I,9,FALSE)</f>
        <v>Venita Daniel</v>
      </c>
      <c r="M1481" s="3" t="str">
        <f>VLOOKUP(G1481,Store!A:H,2,FALSE)</f>
        <v>Baldwin Bikes</v>
      </c>
      <c r="N1481" s="3" t="str">
        <f>VLOOKUP(G1481,Store!A:H,6,FALSE)</f>
        <v>Baldwin</v>
      </c>
      <c r="O1481" s="3" t="s">
        <v>16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">
        <v>1481.0</v>
      </c>
      <c r="B1482" s="1">
        <v>62.0</v>
      </c>
      <c r="C1482" s="1">
        <v>1.0</v>
      </c>
      <c r="D1482" s="4">
        <v>43191.0</v>
      </c>
      <c r="E1482" s="4">
        <v>43191.0</v>
      </c>
      <c r="F1482" s="1" t="s">
        <v>18</v>
      </c>
      <c r="G1482" s="1">
        <v>2.0</v>
      </c>
      <c r="H1482" s="1">
        <v>6.0</v>
      </c>
      <c r="I1482" s="3" t="str">
        <f>VLOOKUP(B1482,Customers!A:J, 10,FALSE)</f>
        <v>Alica Hunter</v>
      </c>
      <c r="J1482" s="3" t="str">
        <f>VLOOKUP(B1482,Customers!A:J,8,FALSE)</f>
        <v>NY</v>
      </c>
      <c r="K1482" s="3" t="str">
        <f>VLOOKUP(B1482,Customers!A:J,7,FALSE)</f>
        <v>East Elmhurst</v>
      </c>
      <c r="L1482" s="3" t="str">
        <f>VLOOKUP(H1482,Staff!A:I,9,FALSE)</f>
        <v>Marcelene Boyer</v>
      </c>
      <c r="M1482" s="3" t="str">
        <f>VLOOKUP(G1482,Store!A:H,2,FALSE)</f>
        <v>Baldwin Bikes</v>
      </c>
      <c r="N1482" s="3" t="str">
        <f>VLOOKUP(G1482,Store!A:H,6,FALSE)</f>
        <v>Baldwin</v>
      </c>
      <c r="O1482" s="3" t="s">
        <v>16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">
        <v>1482.0</v>
      </c>
      <c r="B1483" s="1">
        <v>94.0</v>
      </c>
      <c r="C1483" s="1">
        <v>1.0</v>
      </c>
      <c r="D1483" s="4">
        <v>43191.0</v>
      </c>
      <c r="E1483" s="4">
        <v>43191.0</v>
      </c>
      <c r="F1483" s="1" t="s">
        <v>18</v>
      </c>
      <c r="G1483" s="1">
        <v>2.0</v>
      </c>
      <c r="H1483" s="1">
        <v>7.0</v>
      </c>
      <c r="I1483" s="3" t="str">
        <f>VLOOKUP(B1483,Customers!A:J, 10,FALSE)</f>
        <v>Sharyn Hopkins</v>
      </c>
      <c r="J1483" s="3" t="str">
        <f>VLOOKUP(B1483,Customers!A:J,8,FALSE)</f>
        <v>NY</v>
      </c>
      <c r="K1483" s="3" t="str">
        <f>VLOOKUP(B1483,Customers!A:J,7,FALSE)</f>
        <v>Baldwinsville</v>
      </c>
      <c r="L1483" s="3" t="str">
        <f>VLOOKUP(H1483,Staff!A:I,9,FALSE)</f>
        <v>Venita Daniel</v>
      </c>
      <c r="M1483" s="3" t="str">
        <f>VLOOKUP(G1483,Store!A:H,2,FALSE)</f>
        <v>Baldwin Bikes</v>
      </c>
      <c r="N1483" s="3" t="str">
        <f>VLOOKUP(G1483,Store!A:H,6,FALSE)</f>
        <v>Baldwin</v>
      </c>
      <c r="O1483" s="3" t="s">
        <v>16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">
        <v>1483.0</v>
      </c>
      <c r="B1484" s="1">
        <v>15.0</v>
      </c>
      <c r="C1484" s="1">
        <v>1.0</v>
      </c>
      <c r="D1484" s="4">
        <v>43192.0</v>
      </c>
      <c r="E1484" s="4">
        <v>43192.0</v>
      </c>
      <c r="F1484" s="1" t="s">
        <v>18</v>
      </c>
      <c r="G1484" s="1">
        <v>2.0</v>
      </c>
      <c r="H1484" s="1">
        <v>7.0</v>
      </c>
      <c r="I1484" s="3" t="str">
        <f>VLOOKUP(B1484,Customers!A:J, 10,FALSE)</f>
        <v>Linnie Branch</v>
      </c>
      <c r="J1484" s="3" t="str">
        <f>VLOOKUP(B1484,Customers!A:J,8,FALSE)</f>
        <v>NY</v>
      </c>
      <c r="K1484" s="3" t="str">
        <f>VLOOKUP(B1484,Customers!A:J,7,FALSE)</f>
        <v>Plattsburgh</v>
      </c>
      <c r="L1484" s="3" t="str">
        <f>VLOOKUP(H1484,Staff!A:I,9,FALSE)</f>
        <v>Venita Daniel</v>
      </c>
      <c r="M1484" s="3" t="str">
        <f>VLOOKUP(G1484,Store!A:H,2,FALSE)</f>
        <v>Baldwin Bikes</v>
      </c>
      <c r="N1484" s="3" t="str">
        <f>VLOOKUP(G1484,Store!A:H,6,FALSE)</f>
        <v>Baldwin</v>
      </c>
      <c r="O1484" s="3" t="s">
        <v>16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">
        <v>1484.0</v>
      </c>
      <c r="B1485" s="1">
        <v>35.0</v>
      </c>
      <c r="C1485" s="1">
        <v>2.0</v>
      </c>
      <c r="D1485" s="4">
        <v>43192.0</v>
      </c>
      <c r="E1485" s="4">
        <v>43192.0</v>
      </c>
      <c r="F1485" s="1" t="s">
        <v>18</v>
      </c>
      <c r="G1485" s="1">
        <v>2.0</v>
      </c>
      <c r="H1485" s="1">
        <v>6.0</v>
      </c>
      <c r="I1485" s="3" t="str">
        <f>VLOOKUP(B1485,Customers!A:J, 10,FALSE)</f>
        <v>Guillermina Noble</v>
      </c>
      <c r="J1485" s="3" t="str">
        <f>VLOOKUP(B1485,Customers!A:J,8,FALSE)</f>
        <v>NY</v>
      </c>
      <c r="K1485" s="3" t="str">
        <f>VLOOKUP(B1485,Customers!A:J,7,FALSE)</f>
        <v>Baldwinsville</v>
      </c>
      <c r="L1485" s="3" t="str">
        <f>VLOOKUP(H1485,Staff!A:I,9,FALSE)</f>
        <v>Marcelene Boyer</v>
      </c>
      <c r="M1485" s="3" t="str">
        <f>VLOOKUP(G1485,Store!A:H,2,FALSE)</f>
        <v>Baldwin Bikes</v>
      </c>
      <c r="N1485" s="3" t="str">
        <f>VLOOKUP(G1485,Store!A:H,6,FALSE)</f>
        <v>Baldwin</v>
      </c>
      <c r="O1485" s="3" t="s">
        <v>16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">
        <v>1485.0</v>
      </c>
      <c r="B1486" s="1">
        <v>51.0</v>
      </c>
      <c r="C1486" s="1">
        <v>2.0</v>
      </c>
      <c r="D1486" s="4">
        <v>43192.0</v>
      </c>
      <c r="E1486" s="4">
        <v>43192.0</v>
      </c>
      <c r="F1486" s="1" t="s">
        <v>18</v>
      </c>
      <c r="G1486" s="1">
        <v>2.0</v>
      </c>
      <c r="H1486" s="1">
        <v>7.0</v>
      </c>
      <c r="I1486" s="3" t="str">
        <f>VLOOKUP(B1486,Customers!A:J, 10,FALSE)</f>
        <v>Gertrud Rhodes</v>
      </c>
      <c r="J1486" s="3" t="str">
        <f>VLOOKUP(B1486,Customers!A:J,8,FALSE)</f>
        <v>NY</v>
      </c>
      <c r="K1486" s="3" t="str">
        <f>VLOOKUP(B1486,Customers!A:J,7,FALSE)</f>
        <v>Merrick</v>
      </c>
      <c r="L1486" s="3" t="str">
        <f>VLOOKUP(H1486,Staff!A:I,9,FALSE)</f>
        <v>Venita Daniel</v>
      </c>
      <c r="M1486" s="3" t="str">
        <f>VLOOKUP(G1486,Store!A:H,2,FALSE)</f>
        <v>Baldwin Bikes</v>
      </c>
      <c r="N1486" s="3" t="str">
        <f>VLOOKUP(G1486,Store!A:H,6,FALSE)</f>
        <v>Baldwin</v>
      </c>
      <c r="O1486" s="3" t="s">
        <v>16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">
        <v>1486.0</v>
      </c>
      <c r="B1487" s="1">
        <v>84.0</v>
      </c>
      <c r="C1487" s="1">
        <v>2.0</v>
      </c>
      <c r="D1487" s="4">
        <v>43192.0</v>
      </c>
      <c r="E1487" s="4">
        <v>43192.0</v>
      </c>
      <c r="F1487" s="1" t="s">
        <v>18</v>
      </c>
      <c r="G1487" s="1">
        <v>2.0</v>
      </c>
      <c r="H1487" s="1">
        <v>7.0</v>
      </c>
      <c r="I1487" s="3" t="str">
        <f>VLOOKUP(B1487,Customers!A:J, 10,FALSE)</f>
        <v>Armand Whitehead</v>
      </c>
      <c r="J1487" s="3" t="str">
        <f>VLOOKUP(B1487,Customers!A:J,8,FALSE)</f>
        <v>NY</v>
      </c>
      <c r="K1487" s="3" t="str">
        <f>VLOOKUP(B1487,Customers!A:J,7,FALSE)</f>
        <v>Lindenhurst</v>
      </c>
      <c r="L1487" s="3" t="str">
        <f>VLOOKUP(H1487,Staff!A:I,9,FALSE)</f>
        <v>Venita Daniel</v>
      </c>
      <c r="M1487" s="3" t="str">
        <f>VLOOKUP(G1487,Store!A:H,2,FALSE)</f>
        <v>Baldwin Bikes</v>
      </c>
      <c r="N1487" s="3" t="str">
        <f>VLOOKUP(G1487,Store!A:H,6,FALSE)</f>
        <v>Baldwin</v>
      </c>
      <c r="O1487" s="3" t="s">
        <v>16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">
        <v>1487.0</v>
      </c>
      <c r="B1488" s="1">
        <v>33.0</v>
      </c>
      <c r="C1488" s="1">
        <v>1.0</v>
      </c>
      <c r="D1488" s="4">
        <v>43193.0</v>
      </c>
      <c r="E1488" s="4">
        <v>43193.0</v>
      </c>
      <c r="F1488" s="1" t="s">
        <v>18</v>
      </c>
      <c r="G1488" s="1">
        <v>1.0</v>
      </c>
      <c r="H1488" s="1">
        <v>3.0</v>
      </c>
      <c r="I1488" s="3" t="str">
        <f>VLOOKUP(B1488,Customers!A:J, 10,FALSE)</f>
        <v>Deloris Burke</v>
      </c>
      <c r="J1488" s="3" t="str">
        <f>VLOOKUP(B1488,Customers!A:J,8,FALSE)</f>
        <v>CA</v>
      </c>
      <c r="K1488" s="3" t="str">
        <f>VLOOKUP(B1488,Customers!A:J,7,FALSE)</f>
        <v>Palos Verdes Peninsula</v>
      </c>
      <c r="L1488" s="3" t="str">
        <f>VLOOKUP(H1488,Staff!A:I,9,FALSE)</f>
        <v>Genna Serrano</v>
      </c>
      <c r="M1488" s="3" t="str">
        <f>VLOOKUP(G1488,Store!A:H,2,FALSE)</f>
        <v>Santa Cruz Bikes</v>
      </c>
      <c r="N1488" s="3" t="str">
        <f>VLOOKUP(G1488,Store!A:H,6,FALSE)</f>
        <v>Santa Cruz</v>
      </c>
      <c r="O1488" s="3" t="s">
        <v>15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">
        <v>1488.0</v>
      </c>
      <c r="B1489" s="1">
        <v>181.0</v>
      </c>
      <c r="C1489" s="1">
        <v>2.0</v>
      </c>
      <c r="D1489" s="4">
        <v>43193.0</v>
      </c>
      <c r="E1489" s="4">
        <v>43193.0</v>
      </c>
      <c r="F1489" s="1" t="s">
        <v>18</v>
      </c>
      <c r="G1489" s="1">
        <v>1.0</v>
      </c>
      <c r="H1489" s="1">
        <v>3.0</v>
      </c>
      <c r="I1489" s="3" t="str">
        <f>VLOOKUP(B1489,Customers!A:J, 10,FALSE)</f>
        <v>Olevia Pitts</v>
      </c>
      <c r="J1489" s="3" t="str">
        <f>VLOOKUP(B1489,Customers!A:J,8,FALSE)</f>
        <v>CA</v>
      </c>
      <c r="K1489" s="3" t="str">
        <f>VLOOKUP(B1489,Customers!A:J,7,FALSE)</f>
        <v>Redondo Beach</v>
      </c>
      <c r="L1489" s="3" t="str">
        <f>VLOOKUP(H1489,Staff!A:I,9,FALSE)</f>
        <v>Genna Serrano</v>
      </c>
      <c r="M1489" s="3" t="str">
        <f>VLOOKUP(G1489,Store!A:H,2,FALSE)</f>
        <v>Santa Cruz Bikes</v>
      </c>
      <c r="N1489" s="3" t="str">
        <f>VLOOKUP(G1489,Store!A:H,6,FALSE)</f>
        <v>Santa Cruz</v>
      </c>
      <c r="O1489" s="3" t="s">
        <v>15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">
        <v>1489.0</v>
      </c>
      <c r="B1490" s="1">
        <v>194.0</v>
      </c>
      <c r="C1490" s="1">
        <v>1.0</v>
      </c>
      <c r="D1490" s="4">
        <v>43193.0</v>
      </c>
      <c r="E1490" s="4">
        <v>43193.0</v>
      </c>
      <c r="F1490" s="1" t="s">
        <v>18</v>
      </c>
      <c r="G1490" s="1">
        <v>1.0</v>
      </c>
      <c r="H1490" s="1">
        <v>3.0</v>
      </c>
      <c r="I1490" s="3" t="str">
        <f>VLOOKUP(B1490,Customers!A:J, 10,FALSE)</f>
        <v>Dorine Roberson</v>
      </c>
      <c r="J1490" s="3" t="str">
        <f>VLOOKUP(B1490,Customers!A:J,8,FALSE)</f>
        <v>CA</v>
      </c>
      <c r="K1490" s="3" t="str">
        <f>VLOOKUP(B1490,Customers!A:J,7,FALSE)</f>
        <v>Santa Cruz</v>
      </c>
      <c r="L1490" s="3" t="str">
        <f>VLOOKUP(H1490,Staff!A:I,9,FALSE)</f>
        <v>Genna Serrano</v>
      </c>
      <c r="M1490" s="3" t="str">
        <f>VLOOKUP(G1490,Store!A:H,2,FALSE)</f>
        <v>Santa Cruz Bikes</v>
      </c>
      <c r="N1490" s="3" t="str">
        <f>VLOOKUP(G1490,Store!A:H,6,FALSE)</f>
        <v>Santa Cruz</v>
      </c>
      <c r="O1490" s="3" t="s">
        <v>15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">
        <v>1490.0</v>
      </c>
      <c r="B1491" s="1">
        <v>217.0</v>
      </c>
      <c r="C1491" s="1">
        <v>2.0</v>
      </c>
      <c r="D1491" s="4">
        <v>43193.0</v>
      </c>
      <c r="E1491" s="4">
        <v>43193.0</v>
      </c>
      <c r="F1491" s="1" t="s">
        <v>18</v>
      </c>
      <c r="G1491" s="1">
        <v>1.0</v>
      </c>
      <c r="H1491" s="1">
        <v>3.0</v>
      </c>
      <c r="I1491" s="3" t="str">
        <f>VLOOKUP(B1491,Customers!A:J, 10,FALSE)</f>
        <v>Carline Collier</v>
      </c>
      <c r="J1491" s="3" t="str">
        <f>VLOOKUP(B1491,Customers!A:J,8,FALSE)</f>
        <v>CA</v>
      </c>
      <c r="K1491" s="3" t="str">
        <f>VLOOKUP(B1491,Customers!A:J,7,FALSE)</f>
        <v>Fresno</v>
      </c>
      <c r="L1491" s="3" t="str">
        <f>VLOOKUP(H1491,Staff!A:I,9,FALSE)</f>
        <v>Genna Serrano</v>
      </c>
      <c r="M1491" s="3" t="str">
        <f>VLOOKUP(G1491,Store!A:H,2,FALSE)</f>
        <v>Santa Cruz Bikes</v>
      </c>
      <c r="N1491" s="3" t="str">
        <f>VLOOKUP(G1491,Store!A:H,6,FALSE)</f>
        <v>Santa Cruz</v>
      </c>
      <c r="O1491" s="3" t="s">
        <v>15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">
        <v>1491.0</v>
      </c>
      <c r="B1492" s="1">
        <v>82.0</v>
      </c>
      <c r="C1492" s="1">
        <v>1.0</v>
      </c>
      <c r="D1492" s="4">
        <v>43194.0</v>
      </c>
      <c r="E1492" s="4">
        <v>43194.0</v>
      </c>
      <c r="F1492" s="1" t="s">
        <v>18</v>
      </c>
      <c r="G1492" s="1">
        <v>1.0</v>
      </c>
      <c r="H1492" s="1">
        <v>3.0</v>
      </c>
      <c r="I1492" s="3" t="str">
        <f>VLOOKUP(B1492,Customers!A:J, 10,FALSE)</f>
        <v>Lizzie Joyner</v>
      </c>
      <c r="J1492" s="3" t="str">
        <f>VLOOKUP(B1492,Customers!A:J,8,FALSE)</f>
        <v>CA</v>
      </c>
      <c r="K1492" s="3" t="str">
        <f>VLOOKUP(B1492,Customers!A:J,7,FALSE)</f>
        <v>Coachella</v>
      </c>
      <c r="L1492" s="3" t="str">
        <f>VLOOKUP(H1492,Staff!A:I,9,FALSE)</f>
        <v>Genna Serrano</v>
      </c>
      <c r="M1492" s="3" t="str">
        <f>VLOOKUP(G1492,Store!A:H,2,FALSE)</f>
        <v>Santa Cruz Bikes</v>
      </c>
      <c r="N1492" s="3" t="str">
        <f>VLOOKUP(G1492,Store!A:H,6,FALSE)</f>
        <v>Santa Cruz</v>
      </c>
      <c r="O1492" s="3" t="s">
        <v>15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">
        <v>1492.0</v>
      </c>
      <c r="B1493" s="1">
        <v>41.0</v>
      </c>
      <c r="C1493" s="1">
        <v>1.0</v>
      </c>
      <c r="D1493" s="4">
        <v>43194.0</v>
      </c>
      <c r="E1493" s="4">
        <v>43194.0</v>
      </c>
      <c r="F1493" s="1" t="s">
        <v>18</v>
      </c>
      <c r="G1493" s="1">
        <v>2.0</v>
      </c>
      <c r="H1493" s="1">
        <v>7.0</v>
      </c>
      <c r="I1493" s="3" t="str">
        <f>VLOOKUP(B1493,Customers!A:J, 10,FALSE)</f>
        <v>Kathie Freeman</v>
      </c>
      <c r="J1493" s="3" t="str">
        <f>VLOOKUP(B1493,Customers!A:J,8,FALSE)</f>
        <v>NY</v>
      </c>
      <c r="K1493" s="3" t="str">
        <f>VLOOKUP(B1493,Customers!A:J,7,FALSE)</f>
        <v>Queensbury</v>
      </c>
      <c r="L1493" s="3" t="str">
        <f>VLOOKUP(H1493,Staff!A:I,9,FALSE)</f>
        <v>Venita Daniel</v>
      </c>
      <c r="M1493" s="3" t="str">
        <f>VLOOKUP(G1493,Store!A:H,2,FALSE)</f>
        <v>Baldwin Bikes</v>
      </c>
      <c r="N1493" s="3" t="str">
        <f>VLOOKUP(G1493,Store!A:H,6,FALSE)</f>
        <v>Baldwin</v>
      </c>
      <c r="O1493" s="3" t="s">
        <v>16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">
        <v>1493.0</v>
      </c>
      <c r="B1494" s="1">
        <v>64.0</v>
      </c>
      <c r="C1494" s="1">
        <v>2.0</v>
      </c>
      <c r="D1494" s="4">
        <v>43194.0</v>
      </c>
      <c r="E1494" s="4">
        <v>43194.0</v>
      </c>
      <c r="F1494" s="1" t="s">
        <v>18</v>
      </c>
      <c r="G1494" s="1">
        <v>3.0</v>
      </c>
      <c r="H1494" s="1">
        <v>8.0</v>
      </c>
      <c r="I1494" s="3" t="str">
        <f>VLOOKUP(B1494,Customers!A:J, 10,FALSE)</f>
        <v>Bobbie Foster</v>
      </c>
      <c r="J1494" s="3" t="str">
        <f>VLOOKUP(B1494,Customers!A:J,8,FALSE)</f>
        <v>TX</v>
      </c>
      <c r="K1494" s="3" t="str">
        <f>VLOOKUP(B1494,Customers!A:J,7,FALSE)</f>
        <v>Desoto</v>
      </c>
      <c r="L1494" s="3" t="str">
        <f>VLOOKUP(H1494,Staff!A:I,9,FALSE)</f>
        <v>Kali Vargas</v>
      </c>
      <c r="M1494" s="3" t="str">
        <f>VLOOKUP(G1494,Store!A:H,2,FALSE)</f>
        <v>Rowlett Bikes</v>
      </c>
      <c r="N1494" s="3" t="str">
        <f>VLOOKUP(G1494,Store!A:H,6,FALSE)</f>
        <v>Rowlett</v>
      </c>
      <c r="O1494" s="3" t="s">
        <v>17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">
        <v>1494.0</v>
      </c>
      <c r="B1495" s="1">
        <v>69.0</v>
      </c>
      <c r="C1495" s="1">
        <v>2.0</v>
      </c>
      <c r="D1495" s="4">
        <v>43195.0</v>
      </c>
      <c r="E1495" s="4">
        <v>43195.0</v>
      </c>
      <c r="F1495" s="1" t="s">
        <v>18</v>
      </c>
      <c r="G1495" s="1">
        <v>1.0</v>
      </c>
      <c r="H1495" s="1">
        <v>3.0</v>
      </c>
      <c r="I1495" s="3" t="str">
        <f>VLOOKUP(B1495,Customers!A:J, 10,FALSE)</f>
        <v>Katelin Kennedy</v>
      </c>
      <c r="J1495" s="3" t="str">
        <f>VLOOKUP(B1495,Customers!A:J,8,FALSE)</f>
        <v>CA</v>
      </c>
      <c r="K1495" s="3" t="str">
        <f>VLOOKUP(B1495,Customers!A:J,7,FALSE)</f>
        <v>Rocklin</v>
      </c>
      <c r="L1495" s="3" t="str">
        <f>VLOOKUP(H1495,Staff!A:I,9,FALSE)</f>
        <v>Genna Serrano</v>
      </c>
      <c r="M1495" s="3" t="str">
        <f>VLOOKUP(G1495,Store!A:H,2,FALSE)</f>
        <v>Santa Cruz Bikes</v>
      </c>
      <c r="N1495" s="3" t="str">
        <f>VLOOKUP(G1495,Store!A:H,6,FALSE)</f>
        <v>Santa Cruz</v>
      </c>
      <c r="O1495" s="3" t="s">
        <v>15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">
        <v>1495.0</v>
      </c>
      <c r="B1496" s="1">
        <v>86.0</v>
      </c>
      <c r="C1496" s="1">
        <v>2.0</v>
      </c>
      <c r="D1496" s="4">
        <v>43195.0</v>
      </c>
      <c r="E1496" s="4">
        <v>43195.0</v>
      </c>
      <c r="F1496" s="1" t="s">
        <v>18</v>
      </c>
      <c r="G1496" s="1">
        <v>2.0</v>
      </c>
      <c r="H1496" s="1">
        <v>7.0</v>
      </c>
      <c r="I1496" s="3" t="str">
        <f>VLOOKUP(B1496,Customers!A:J, 10,FALSE)</f>
        <v>Lissa Vargas</v>
      </c>
      <c r="J1496" s="3" t="str">
        <f>VLOOKUP(B1496,Customers!A:J,8,FALSE)</f>
        <v>NY</v>
      </c>
      <c r="K1496" s="3" t="str">
        <f>VLOOKUP(B1496,Customers!A:J,7,FALSE)</f>
        <v>Oswego</v>
      </c>
      <c r="L1496" s="3" t="str">
        <f>VLOOKUP(H1496,Staff!A:I,9,FALSE)</f>
        <v>Venita Daniel</v>
      </c>
      <c r="M1496" s="3" t="str">
        <f>VLOOKUP(G1496,Store!A:H,2,FALSE)</f>
        <v>Baldwin Bikes</v>
      </c>
      <c r="N1496" s="3" t="str">
        <f>VLOOKUP(G1496,Store!A:H,6,FALSE)</f>
        <v>Baldwin</v>
      </c>
      <c r="O1496" s="3" t="s">
        <v>16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">
        <v>1496.0</v>
      </c>
      <c r="B1497" s="1">
        <v>3.0</v>
      </c>
      <c r="C1497" s="1">
        <v>1.0</v>
      </c>
      <c r="D1497" s="4">
        <v>43196.0</v>
      </c>
      <c r="E1497" s="4">
        <v>43196.0</v>
      </c>
      <c r="F1497" s="1" t="s">
        <v>18</v>
      </c>
      <c r="G1497" s="1">
        <v>1.0</v>
      </c>
      <c r="H1497" s="1">
        <v>3.0</v>
      </c>
      <c r="I1497" s="3" t="str">
        <f>VLOOKUP(B1497,Customers!A:J, 10,FALSE)</f>
        <v>Tameka Fisher</v>
      </c>
      <c r="J1497" s="3" t="str">
        <f>VLOOKUP(B1497,Customers!A:J,8,FALSE)</f>
        <v>CA</v>
      </c>
      <c r="K1497" s="3" t="str">
        <f>VLOOKUP(B1497,Customers!A:J,7,FALSE)</f>
        <v>Redondo Beach</v>
      </c>
      <c r="L1497" s="3" t="str">
        <f>VLOOKUP(H1497,Staff!A:I,9,FALSE)</f>
        <v>Genna Serrano</v>
      </c>
      <c r="M1497" s="3" t="str">
        <f>VLOOKUP(G1497,Store!A:H,2,FALSE)</f>
        <v>Santa Cruz Bikes</v>
      </c>
      <c r="N1497" s="3" t="str">
        <f>VLOOKUP(G1497,Store!A:H,6,FALSE)</f>
        <v>Santa Cruz</v>
      </c>
      <c r="O1497" s="3" t="s">
        <v>15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">
        <v>1497.0</v>
      </c>
      <c r="B1498" s="1">
        <v>31.0</v>
      </c>
      <c r="C1498" s="1">
        <v>2.0</v>
      </c>
      <c r="D1498" s="4">
        <v>43196.0</v>
      </c>
      <c r="E1498" s="4">
        <v>43196.0</v>
      </c>
      <c r="F1498" s="1" t="s">
        <v>18</v>
      </c>
      <c r="G1498" s="1">
        <v>1.0</v>
      </c>
      <c r="H1498" s="1">
        <v>2.0</v>
      </c>
      <c r="I1498" s="3" t="str">
        <f>VLOOKUP(B1498,Customers!A:J, 10,FALSE)</f>
        <v>Williemae Holloway</v>
      </c>
      <c r="J1498" s="3" t="str">
        <f>VLOOKUP(B1498,Customers!A:J,8,FALSE)</f>
        <v>CA</v>
      </c>
      <c r="K1498" s="3" t="str">
        <f>VLOOKUP(B1498,Customers!A:J,7,FALSE)</f>
        <v>Oakland</v>
      </c>
      <c r="L1498" s="3" t="str">
        <f>VLOOKUP(H1498,Staff!A:I,9,FALSE)</f>
        <v>Mireya Copeland</v>
      </c>
      <c r="M1498" s="3" t="str">
        <f>VLOOKUP(G1498,Store!A:H,2,FALSE)</f>
        <v>Santa Cruz Bikes</v>
      </c>
      <c r="N1498" s="3" t="str">
        <f>VLOOKUP(G1498,Store!A:H,6,FALSE)</f>
        <v>Santa Cruz</v>
      </c>
      <c r="O1498" s="3" t="s">
        <v>15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">
        <v>1498.0</v>
      </c>
      <c r="B1499" s="1">
        <v>81.0</v>
      </c>
      <c r="C1499" s="1">
        <v>1.0</v>
      </c>
      <c r="D1499" s="4">
        <v>43196.0</v>
      </c>
      <c r="E1499" s="4">
        <v>43196.0</v>
      </c>
      <c r="F1499" s="1" t="s">
        <v>18</v>
      </c>
      <c r="G1499" s="1">
        <v>1.0</v>
      </c>
      <c r="H1499" s="1">
        <v>2.0</v>
      </c>
      <c r="I1499" s="3" t="str">
        <f>VLOOKUP(B1499,Customers!A:J, 10,FALSE)</f>
        <v>Zina Bonner</v>
      </c>
      <c r="J1499" s="3" t="str">
        <f>VLOOKUP(B1499,Customers!A:J,8,FALSE)</f>
        <v>CA</v>
      </c>
      <c r="K1499" s="3" t="str">
        <f>VLOOKUP(B1499,Customers!A:J,7,FALSE)</f>
        <v>San Lorenzo</v>
      </c>
      <c r="L1499" s="3" t="str">
        <f>VLOOKUP(H1499,Staff!A:I,9,FALSE)</f>
        <v>Mireya Copeland</v>
      </c>
      <c r="M1499" s="3" t="str">
        <f>VLOOKUP(G1499,Store!A:H,2,FALSE)</f>
        <v>Santa Cruz Bikes</v>
      </c>
      <c r="N1499" s="3" t="str">
        <f>VLOOKUP(G1499,Store!A:H,6,FALSE)</f>
        <v>Santa Cruz</v>
      </c>
      <c r="O1499" s="3" t="s">
        <v>15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">
        <v>1499.0</v>
      </c>
      <c r="B1500" s="1">
        <v>120.0</v>
      </c>
      <c r="C1500" s="1">
        <v>2.0</v>
      </c>
      <c r="D1500" s="4">
        <v>43196.0</v>
      </c>
      <c r="E1500" s="4">
        <v>43196.0</v>
      </c>
      <c r="F1500" s="1" t="s">
        <v>18</v>
      </c>
      <c r="G1500" s="1">
        <v>1.0</v>
      </c>
      <c r="H1500" s="1">
        <v>2.0</v>
      </c>
      <c r="I1500" s="3" t="str">
        <f>VLOOKUP(B1500,Customers!A:J, 10,FALSE)</f>
        <v>Luz House</v>
      </c>
      <c r="J1500" s="3" t="str">
        <f>VLOOKUP(B1500,Customers!A:J,8,FALSE)</f>
        <v>CA</v>
      </c>
      <c r="K1500" s="3" t="str">
        <f>VLOOKUP(B1500,Customers!A:J,7,FALSE)</f>
        <v>Fresno</v>
      </c>
      <c r="L1500" s="3" t="str">
        <f>VLOOKUP(H1500,Staff!A:I,9,FALSE)</f>
        <v>Mireya Copeland</v>
      </c>
      <c r="M1500" s="3" t="str">
        <f>VLOOKUP(G1500,Store!A:H,2,FALSE)</f>
        <v>Santa Cruz Bikes</v>
      </c>
      <c r="N1500" s="3" t="str">
        <f>VLOOKUP(G1500,Store!A:H,6,FALSE)</f>
        <v>Santa Cruz</v>
      </c>
      <c r="O1500" s="3" t="s">
        <v>15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">
        <v>1500.0</v>
      </c>
      <c r="B1501" s="1">
        <v>151.0</v>
      </c>
      <c r="C1501" s="1">
        <v>2.0</v>
      </c>
      <c r="D1501" s="4">
        <v>43196.0</v>
      </c>
      <c r="E1501" s="4">
        <v>43196.0</v>
      </c>
      <c r="F1501" s="1" t="s">
        <v>18</v>
      </c>
      <c r="G1501" s="1">
        <v>1.0</v>
      </c>
      <c r="H1501" s="1">
        <v>3.0</v>
      </c>
      <c r="I1501" s="3" t="str">
        <f>VLOOKUP(B1501,Customers!A:J, 10,FALSE)</f>
        <v>Joesph Delacruz</v>
      </c>
      <c r="J1501" s="3" t="str">
        <f>VLOOKUP(B1501,Customers!A:J,8,FALSE)</f>
        <v>CA</v>
      </c>
      <c r="K1501" s="3" t="str">
        <f>VLOOKUP(B1501,Customers!A:J,7,FALSE)</f>
        <v>Atwater</v>
      </c>
      <c r="L1501" s="3" t="str">
        <f>VLOOKUP(H1501,Staff!A:I,9,FALSE)</f>
        <v>Genna Serrano</v>
      </c>
      <c r="M1501" s="3" t="str">
        <f>VLOOKUP(G1501,Store!A:H,2,FALSE)</f>
        <v>Santa Cruz Bikes</v>
      </c>
      <c r="N1501" s="3" t="str">
        <f>VLOOKUP(G1501,Store!A:H,6,FALSE)</f>
        <v>Santa Cruz</v>
      </c>
      <c r="O1501" s="3" t="s">
        <v>15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">
        <v>1501.0</v>
      </c>
      <c r="B1502" s="1">
        <v>52.0</v>
      </c>
      <c r="C1502" s="1">
        <v>1.0</v>
      </c>
      <c r="D1502" s="4">
        <v>43196.0</v>
      </c>
      <c r="E1502" s="4">
        <v>43196.0</v>
      </c>
      <c r="F1502" s="1" t="s">
        <v>18</v>
      </c>
      <c r="G1502" s="1">
        <v>2.0</v>
      </c>
      <c r="H1502" s="1">
        <v>6.0</v>
      </c>
      <c r="I1502" s="3" t="str">
        <f>VLOOKUP(B1502,Customers!A:J, 10,FALSE)</f>
        <v>Tu Ramirez</v>
      </c>
      <c r="J1502" s="3" t="str">
        <f>VLOOKUP(B1502,Customers!A:J,8,FALSE)</f>
        <v>NY</v>
      </c>
      <c r="K1502" s="3" t="str">
        <f>VLOOKUP(B1502,Customers!A:J,7,FALSE)</f>
        <v>East Elmhurst</v>
      </c>
      <c r="L1502" s="3" t="str">
        <f>VLOOKUP(H1502,Staff!A:I,9,FALSE)</f>
        <v>Marcelene Boyer</v>
      </c>
      <c r="M1502" s="3" t="str">
        <f>VLOOKUP(G1502,Store!A:H,2,FALSE)</f>
        <v>Baldwin Bikes</v>
      </c>
      <c r="N1502" s="3" t="str">
        <f>VLOOKUP(G1502,Store!A:H,6,FALSE)</f>
        <v>Baldwin</v>
      </c>
      <c r="O1502" s="3" t="s">
        <v>16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">
        <v>1502.0</v>
      </c>
      <c r="B1503" s="1">
        <v>83.0</v>
      </c>
      <c r="C1503" s="1">
        <v>2.0</v>
      </c>
      <c r="D1503" s="4">
        <v>43196.0</v>
      </c>
      <c r="E1503" s="4">
        <v>43196.0</v>
      </c>
      <c r="F1503" s="1" t="s">
        <v>18</v>
      </c>
      <c r="G1503" s="1">
        <v>2.0</v>
      </c>
      <c r="H1503" s="1">
        <v>6.0</v>
      </c>
      <c r="I1503" s="3" t="str">
        <f>VLOOKUP(B1503,Customers!A:J, 10,FALSE)</f>
        <v>Tiesha Daniel</v>
      </c>
      <c r="J1503" s="3" t="str">
        <f>VLOOKUP(B1503,Customers!A:J,8,FALSE)</f>
        <v>NY</v>
      </c>
      <c r="K1503" s="3" t="str">
        <f>VLOOKUP(B1503,Customers!A:J,7,FALSE)</f>
        <v>Scarsdale</v>
      </c>
      <c r="L1503" s="3" t="str">
        <f>VLOOKUP(H1503,Staff!A:I,9,FALSE)</f>
        <v>Marcelene Boyer</v>
      </c>
      <c r="M1503" s="3" t="str">
        <f>VLOOKUP(G1503,Store!A:H,2,FALSE)</f>
        <v>Baldwin Bikes</v>
      </c>
      <c r="N1503" s="3" t="str">
        <f>VLOOKUP(G1503,Store!A:H,6,FALSE)</f>
        <v>Baldwin</v>
      </c>
      <c r="O1503" s="3" t="s">
        <v>16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">
        <v>1503.0</v>
      </c>
      <c r="B1504" s="1">
        <v>208.0</v>
      </c>
      <c r="C1504" s="1">
        <v>2.0</v>
      </c>
      <c r="D1504" s="4">
        <v>43197.0</v>
      </c>
      <c r="E1504" s="4">
        <v>43197.0</v>
      </c>
      <c r="F1504" s="1" t="s">
        <v>18</v>
      </c>
      <c r="G1504" s="1">
        <v>1.0</v>
      </c>
      <c r="H1504" s="1">
        <v>3.0</v>
      </c>
      <c r="I1504" s="3" t="str">
        <f>VLOOKUP(B1504,Customers!A:J, 10,FALSE)</f>
        <v>Denis Logan</v>
      </c>
      <c r="J1504" s="3" t="str">
        <f>VLOOKUP(B1504,Customers!A:J,8,FALSE)</f>
        <v>CA</v>
      </c>
      <c r="K1504" s="3" t="str">
        <f>VLOOKUP(B1504,Customers!A:J,7,FALSE)</f>
        <v>Ridgecrest</v>
      </c>
      <c r="L1504" s="3" t="str">
        <f>VLOOKUP(H1504,Staff!A:I,9,FALSE)</f>
        <v>Genna Serrano</v>
      </c>
      <c r="M1504" s="3" t="str">
        <f>VLOOKUP(G1504,Store!A:H,2,FALSE)</f>
        <v>Santa Cruz Bikes</v>
      </c>
      <c r="N1504" s="3" t="str">
        <f>VLOOKUP(G1504,Store!A:H,6,FALSE)</f>
        <v>Santa Cruz</v>
      </c>
      <c r="O1504" s="3" t="s">
        <v>15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">
        <v>1504.0</v>
      </c>
      <c r="B1505" s="1">
        <v>237.0</v>
      </c>
      <c r="C1505" s="1">
        <v>2.0</v>
      </c>
      <c r="D1505" s="4">
        <v>43198.0</v>
      </c>
      <c r="E1505" s="4">
        <v>43198.0</v>
      </c>
      <c r="F1505" s="1" t="s">
        <v>18</v>
      </c>
      <c r="G1505" s="1">
        <v>1.0</v>
      </c>
      <c r="H1505" s="1">
        <v>2.0</v>
      </c>
      <c r="I1505" s="3" t="str">
        <f>VLOOKUP(B1505,Customers!A:J, 10,FALSE)</f>
        <v>Elvera Peck</v>
      </c>
      <c r="J1505" s="3" t="str">
        <f>VLOOKUP(B1505,Customers!A:J,8,FALSE)</f>
        <v>CA</v>
      </c>
      <c r="K1505" s="3" t="str">
        <f>VLOOKUP(B1505,Customers!A:J,7,FALSE)</f>
        <v>Banning</v>
      </c>
      <c r="L1505" s="3" t="str">
        <f>VLOOKUP(H1505,Staff!A:I,9,FALSE)</f>
        <v>Mireya Copeland</v>
      </c>
      <c r="M1505" s="3" t="str">
        <f>VLOOKUP(G1505,Store!A:H,2,FALSE)</f>
        <v>Santa Cruz Bikes</v>
      </c>
      <c r="N1505" s="3" t="str">
        <f>VLOOKUP(G1505,Store!A:H,6,FALSE)</f>
        <v>Santa Cruz</v>
      </c>
      <c r="O1505" s="3" t="s">
        <v>15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">
        <v>1505.0</v>
      </c>
      <c r="B1506" s="1">
        <v>22.0</v>
      </c>
      <c r="C1506" s="1">
        <v>1.0</v>
      </c>
      <c r="D1506" s="4">
        <v>43198.0</v>
      </c>
      <c r="E1506" s="4">
        <v>43198.0</v>
      </c>
      <c r="F1506" s="1" t="s">
        <v>18</v>
      </c>
      <c r="G1506" s="1">
        <v>2.0</v>
      </c>
      <c r="H1506" s="1">
        <v>7.0</v>
      </c>
      <c r="I1506" s="3" t="str">
        <f>VLOOKUP(B1506,Customers!A:J, 10,FALSE)</f>
        <v>Adelle Larsen</v>
      </c>
      <c r="J1506" s="3" t="str">
        <f>VLOOKUP(B1506,Customers!A:J,8,FALSE)</f>
        <v>NY</v>
      </c>
      <c r="K1506" s="3" t="str">
        <f>VLOOKUP(B1506,Customers!A:J,7,FALSE)</f>
        <v>East Northport</v>
      </c>
      <c r="L1506" s="3" t="str">
        <f>VLOOKUP(H1506,Staff!A:I,9,FALSE)</f>
        <v>Venita Daniel</v>
      </c>
      <c r="M1506" s="3" t="str">
        <f>VLOOKUP(G1506,Store!A:H,2,FALSE)</f>
        <v>Baldwin Bikes</v>
      </c>
      <c r="N1506" s="3" t="str">
        <f>VLOOKUP(G1506,Store!A:H,6,FALSE)</f>
        <v>Baldwin</v>
      </c>
      <c r="O1506" s="3" t="s">
        <v>16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">
        <v>1506.0</v>
      </c>
      <c r="B1507" s="1">
        <v>75.0</v>
      </c>
      <c r="C1507" s="1">
        <v>1.0</v>
      </c>
      <c r="D1507" s="4">
        <v>43198.0</v>
      </c>
      <c r="E1507" s="4">
        <v>43198.0</v>
      </c>
      <c r="F1507" s="1" t="s">
        <v>18</v>
      </c>
      <c r="G1507" s="1">
        <v>2.0</v>
      </c>
      <c r="H1507" s="1">
        <v>7.0</v>
      </c>
      <c r="I1507" s="3" t="str">
        <f>VLOOKUP(B1507,Customers!A:J, 10,FALSE)</f>
        <v>Abby Gamble</v>
      </c>
      <c r="J1507" s="3" t="str">
        <f>VLOOKUP(B1507,Customers!A:J,8,FALSE)</f>
        <v>NY</v>
      </c>
      <c r="K1507" s="3" t="str">
        <f>VLOOKUP(B1507,Customers!A:J,7,FALSE)</f>
        <v>Amityville</v>
      </c>
      <c r="L1507" s="3" t="str">
        <f>VLOOKUP(H1507,Staff!A:I,9,FALSE)</f>
        <v>Venita Daniel</v>
      </c>
      <c r="M1507" s="3" t="str">
        <f>VLOOKUP(G1507,Store!A:H,2,FALSE)</f>
        <v>Baldwin Bikes</v>
      </c>
      <c r="N1507" s="3" t="str">
        <f>VLOOKUP(G1507,Store!A:H,6,FALSE)</f>
        <v>Baldwin</v>
      </c>
      <c r="O1507" s="3" t="s">
        <v>16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">
        <v>1507.0</v>
      </c>
      <c r="B1508" s="1">
        <v>85.0</v>
      </c>
      <c r="C1508" s="1">
        <v>2.0</v>
      </c>
      <c r="D1508" s="4">
        <v>43198.0</v>
      </c>
      <c r="E1508" s="4">
        <v>43198.0</v>
      </c>
      <c r="F1508" s="1" t="s">
        <v>18</v>
      </c>
      <c r="G1508" s="1">
        <v>2.0</v>
      </c>
      <c r="H1508" s="1">
        <v>6.0</v>
      </c>
      <c r="I1508" s="3" t="str">
        <f>VLOOKUP(B1508,Customers!A:J, 10,FALSE)</f>
        <v>Teofila Fischer</v>
      </c>
      <c r="J1508" s="3" t="str">
        <f>VLOOKUP(B1508,Customers!A:J,8,FALSE)</f>
        <v>NY</v>
      </c>
      <c r="K1508" s="3" t="str">
        <f>VLOOKUP(B1508,Customers!A:J,7,FALSE)</f>
        <v>Huntington Station</v>
      </c>
      <c r="L1508" s="3" t="str">
        <f>VLOOKUP(H1508,Staff!A:I,9,FALSE)</f>
        <v>Marcelene Boyer</v>
      </c>
      <c r="M1508" s="3" t="str">
        <f>VLOOKUP(G1508,Store!A:H,2,FALSE)</f>
        <v>Baldwin Bikes</v>
      </c>
      <c r="N1508" s="3" t="str">
        <f>VLOOKUP(G1508,Store!A:H,6,FALSE)</f>
        <v>Baldwin</v>
      </c>
      <c r="O1508" s="3" t="s">
        <v>16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">
        <v>1508.0</v>
      </c>
      <c r="B1509" s="1">
        <v>92.0</v>
      </c>
      <c r="C1509" s="1">
        <v>2.0</v>
      </c>
      <c r="D1509" s="4">
        <v>43198.0</v>
      </c>
      <c r="E1509" s="4">
        <v>43198.0</v>
      </c>
      <c r="F1509" s="1" t="s">
        <v>18</v>
      </c>
      <c r="G1509" s="1">
        <v>2.0</v>
      </c>
      <c r="H1509" s="1">
        <v>6.0</v>
      </c>
      <c r="I1509" s="3" t="str">
        <f>VLOOKUP(B1509,Customers!A:J, 10,FALSE)</f>
        <v>Tena Cruz</v>
      </c>
      <c r="J1509" s="3" t="str">
        <f>VLOOKUP(B1509,Customers!A:J,8,FALSE)</f>
        <v>NY</v>
      </c>
      <c r="K1509" s="3" t="str">
        <f>VLOOKUP(B1509,Customers!A:J,7,FALSE)</f>
        <v>Farmingdale</v>
      </c>
      <c r="L1509" s="3" t="str">
        <f>VLOOKUP(H1509,Staff!A:I,9,FALSE)</f>
        <v>Marcelene Boyer</v>
      </c>
      <c r="M1509" s="3" t="str">
        <f>VLOOKUP(G1509,Store!A:H,2,FALSE)</f>
        <v>Baldwin Bikes</v>
      </c>
      <c r="N1509" s="3" t="str">
        <f>VLOOKUP(G1509,Store!A:H,6,FALSE)</f>
        <v>Baldwin</v>
      </c>
      <c r="O1509" s="3" t="s">
        <v>16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">
        <v>1509.0</v>
      </c>
      <c r="B1510" s="1">
        <v>2.0</v>
      </c>
      <c r="C1510" s="1">
        <v>1.0</v>
      </c>
      <c r="D1510" s="4">
        <v>43199.0</v>
      </c>
      <c r="E1510" s="4">
        <v>43199.0</v>
      </c>
      <c r="F1510" s="1" t="s">
        <v>18</v>
      </c>
      <c r="G1510" s="1">
        <v>1.0</v>
      </c>
      <c r="H1510" s="1">
        <v>3.0</v>
      </c>
      <c r="I1510" s="3" t="str">
        <f>VLOOKUP(B1510,Customers!A:J, 10,FALSE)</f>
        <v>Kasha Todd</v>
      </c>
      <c r="J1510" s="3" t="str">
        <f>VLOOKUP(B1510,Customers!A:J,8,FALSE)</f>
        <v>CA</v>
      </c>
      <c r="K1510" s="3" t="str">
        <f>VLOOKUP(B1510,Customers!A:J,7,FALSE)</f>
        <v>Campbell</v>
      </c>
      <c r="L1510" s="3" t="str">
        <f>VLOOKUP(H1510,Staff!A:I,9,FALSE)</f>
        <v>Genna Serrano</v>
      </c>
      <c r="M1510" s="3" t="str">
        <f>VLOOKUP(G1510,Store!A:H,2,FALSE)</f>
        <v>Santa Cruz Bikes</v>
      </c>
      <c r="N1510" s="3" t="str">
        <f>VLOOKUP(G1510,Store!A:H,6,FALSE)</f>
        <v>Santa Cruz</v>
      </c>
      <c r="O1510" s="3" t="s">
        <v>15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">
        <v>1510.0</v>
      </c>
      <c r="B1511" s="1">
        <v>16.0</v>
      </c>
      <c r="C1511" s="1">
        <v>2.0</v>
      </c>
      <c r="D1511" s="4">
        <v>43199.0</v>
      </c>
      <c r="E1511" s="4">
        <v>43199.0</v>
      </c>
      <c r="F1511" s="1" t="s">
        <v>18</v>
      </c>
      <c r="G1511" s="1">
        <v>2.0</v>
      </c>
      <c r="H1511" s="1">
        <v>6.0</v>
      </c>
      <c r="I1511" s="3" t="str">
        <f>VLOOKUP(B1511,Customers!A:J, 10,FALSE)</f>
        <v>Emmitt Sanchez</v>
      </c>
      <c r="J1511" s="3" t="str">
        <f>VLOOKUP(B1511,Customers!A:J,8,FALSE)</f>
        <v>NY</v>
      </c>
      <c r="K1511" s="3" t="str">
        <f>VLOOKUP(B1511,Customers!A:J,7,FALSE)</f>
        <v>New York</v>
      </c>
      <c r="L1511" s="3" t="str">
        <f>VLOOKUP(H1511,Staff!A:I,9,FALSE)</f>
        <v>Marcelene Boyer</v>
      </c>
      <c r="M1511" s="3" t="str">
        <f>VLOOKUP(G1511,Store!A:H,2,FALSE)</f>
        <v>Baldwin Bikes</v>
      </c>
      <c r="N1511" s="3" t="str">
        <f>VLOOKUP(G1511,Store!A:H,6,FALSE)</f>
        <v>Baldwin</v>
      </c>
      <c r="O1511" s="3" t="s">
        <v>16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">
        <v>1511.0</v>
      </c>
      <c r="B1512" s="1">
        <v>25.0</v>
      </c>
      <c r="C1512" s="1">
        <v>1.0</v>
      </c>
      <c r="D1512" s="4">
        <v>43199.0</v>
      </c>
      <c r="E1512" s="4">
        <v>43199.0</v>
      </c>
      <c r="F1512" s="1" t="s">
        <v>18</v>
      </c>
      <c r="G1512" s="1">
        <v>2.0</v>
      </c>
      <c r="H1512" s="1">
        <v>6.0</v>
      </c>
      <c r="I1512" s="3" t="str">
        <f>VLOOKUP(B1512,Customers!A:J, 10,FALSE)</f>
        <v>Regenia Vaughan</v>
      </c>
      <c r="J1512" s="3" t="str">
        <f>VLOOKUP(B1512,Customers!A:J,8,FALSE)</f>
        <v>NY</v>
      </c>
      <c r="K1512" s="3" t="str">
        <f>VLOOKUP(B1512,Customers!A:J,7,FALSE)</f>
        <v>Mahopac</v>
      </c>
      <c r="L1512" s="3" t="str">
        <f>VLOOKUP(H1512,Staff!A:I,9,FALSE)</f>
        <v>Marcelene Boyer</v>
      </c>
      <c r="M1512" s="3" t="str">
        <f>VLOOKUP(G1512,Store!A:H,2,FALSE)</f>
        <v>Baldwin Bikes</v>
      </c>
      <c r="N1512" s="3" t="str">
        <f>VLOOKUP(G1512,Store!A:H,6,FALSE)</f>
        <v>Baldwin</v>
      </c>
      <c r="O1512" s="3" t="s">
        <v>16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">
        <v>1512.0</v>
      </c>
      <c r="B1513" s="1">
        <v>68.0</v>
      </c>
      <c r="C1513" s="1">
        <v>1.0</v>
      </c>
      <c r="D1513" s="4">
        <v>43199.0</v>
      </c>
      <c r="E1513" s="4">
        <v>43199.0</v>
      </c>
      <c r="F1513" s="1" t="s">
        <v>18</v>
      </c>
      <c r="G1513" s="1">
        <v>3.0</v>
      </c>
      <c r="H1513" s="1">
        <v>9.0</v>
      </c>
      <c r="I1513" s="3" t="str">
        <f>VLOOKUP(B1513,Customers!A:J, 10,FALSE)</f>
        <v>Jayne Kirkland</v>
      </c>
      <c r="J1513" s="3" t="str">
        <f>VLOOKUP(B1513,Customers!A:J,8,FALSE)</f>
        <v>TX</v>
      </c>
      <c r="K1513" s="3" t="str">
        <f>VLOOKUP(B1513,Customers!A:J,7,FALSE)</f>
        <v>Rowlett</v>
      </c>
      <c r="L1513" s="3" t="str">
        <f>VLOOKUP(H1513,Staff!A:I,9,FALSE)</f>
        <v>Layla Terrell</v>
      </c>
      <c r="M1513" s="3" t="str">
        <f>VLOOKUP(G1513,Store!A:H,2,FALSE)</f>
        <v>Rowlett Bikes</v>
      </c>
      <c r="N1513" s="3" t="str">
        <f>VLOOKUP(G1513,Store!A:H,6,FALSE)</f>
        <v>Rowlett</v>
      </c>
      <c r="O1513" s="3" t="s">
        <v>17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">
        <v>1513.0</v>
      </c>
      <c r="B1514" s="1">
        <v>32.0</v>
      </c>
      <c r="C1514" s="1">
        <v>2.0</v>
      </c>
      <c r="D1514" s="4">
        <v>43200.0</v>
      </c>
      <c r="E1514" s="4">
        <v>43200.0</v>
      </c>
      <c r="F1514" s="1" t="s">
        <v>18</v>
      </c>
      <c r="G1514" s="1">
        <v>1.0</v>
      </c>
      <c r="H1514" s="1">
        <v>2.0</v>
      </c>
      <c r="I1514" s="3" t="str">
        <f>VLOOKUP(B1514,Customers!A:J, 10,FALSE)</f>
        <v>Araceli Golden</v>
      </c>
      <c r="J1514" s="3" t="str">
        <f>VLOOKUP(B1514,Customers!A:J,8,FALSE)</f>
        <v>CA</v>
      </c>
      <c r="K1514" s="3" t="str">
        <f>VLOOKUP(B1514,Customers!A:J,7,FALSE)</f>
        <v>Fullerton</v>
      </c>
      <c r="L1514" s="3" t="str">
        <f>VLOOKUP(H1514,Staff!A:I,9,FALSE)</f>
        <v>Mireya Copeland</v>
      </c>
      <c r="M1514" s="3" t="str">
        <f>VLOOKUP(G1514,Store!A:H,2,FALSE)</f>
        <v>Santa Cruz Bikes</v>
      </c>
      <c r="N1514" s="3" t="str">
        <f>VLOOKUP(G1514,Store!A:H,6,FALSE)</f>
        <v>Santa Cruz</v>
      </c>
      <c r="O1514" s="3" t="s">
        <v>15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">
        <v>1514.0</v>
      </c>
      <c r="B1515" s="1">
        <v>87.0</v>
      </c>
      <c r="C1515" s="1">
        <v>2.0</v>
      </c>
      <c r="D1515" s="4">
        <v>43200.0</v>
      </c>
      <c r="E1515" s="4">
        <v>43200.0</v>
      </c>
      <c r="F1515" s="1" t="s">
        <v>18</v>
      </c>
      <c r="G1515" s="1">
        <v>1.0</v>
      </c>
      <c r="H1515" s="1">
        <v>3.0</v>
      </c>
      <c r="I1515" s="3" t="str">
        <f>VLOOKUP(B1515,Customers!A:J, 10,FALSE)</f>
        <v>Yan Mcgowan</v>
      </c>
      <c r="J1515" s="3" t="str">
        <f>VLOOKUP(B1515,Customers!A:J,8,FALSE)</f>
        <v>CA</v>
      </c>
      <c r="K1515" s="3" t="str">
        <f>VLOOKUP(B1515,Customers!A:J,7,FALSE)</f>
        <v>Duarte</v>
      </c>
      <c r="L1515" s="3" t="str">
        <f>VLOOKUP(H1515,Staff!A:I,9,FALSE)</f>
        <v>Genna Serrano</v>
      </c>
      <c r="M1515" s="3" t="str">
        <f>VLOOKUP(G1515,Store!A:H,2,FALSE)</f>
        <v>Santa Cruz Bikes</v>
      </c>
      <c r="N1515" s="3" t="str">
        <f>VLOOKUP(G1515,Store!A:H,6,FALSE)</f>
        <v>Santa Cruz</v>
      </c>
      <c r="O1515" s="3" t="s">
        <v>15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">
        <v>1515.0</v>
      </c>
      <c r="B1516" s="1">
        <v>61.0</v>
      </c>
      <c r="C1516" s="1">
        <v>1.0</v>
      </c>
      <c r="D1516" s="4">
        <v>43200.0</v>
      </c>
      <c r="E1516" s="4">
        <v>43200.0</v>
      </c>
      <c r="F1516" s="1" t="s">
        <v>18</v>
      </c>
      <c r="G1516" s="1">
        <v>3.0</v>
      </c>
      <c r="H1516" s="1">
        <v>9.0</v>
      </c>
      <c r="I1516" s="3" t="str">
        <f>VLOOKUP(B1516,Customers!A:J, 10,FALSE)</f>
        <v>Elinore Aguilar</v>
      </c>
      <c r="J1516" s="3" t="str">
        <f>VLOOKUP(B1516,Customers!A:J,8,FALSE)</f>
        <v>TX</v>
      </c>
      <c r="K1516" s="3" t="str">
        <f>VLOOKUP(B1516,Customers!A:J,7,FALSE)</f>
        <v>San Angelo</v>
      </c>
      <c r="L1516" s="3" t="str">
        <f>VLOOKUP(H1516,Staff!A:I,9,FALSE)</f>
        <v>Layla Terrell</v>
      </c>
      <c r="M1516" s="3" t="str">
        <f>VLOOKUP(G1516,Store!A:H,2,FALSE)</f>
        <v>Rowlett Bikes</v>
      </c>
      <c r="N1516" s="3" t="str">
        <f>VLOOKUP(G1516,Store!A:H,6,FALSE)</f>
        <v>Rowlett</v>
      </c>
      <c r="O1516" s="3" t="s">
        <v>17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">
        <v>1516.0</v>
      </c>
      <c r="B1517" s="1">
        <v>47.0</v>
      </c>
      <c r="C1517" s="1">
        <v>2.0</v>
      </c>
      <c r="D1517" s="4">
        <v>43201.0</v>
      </c>
      <c r="E1517" s="4">
        <v>43201.0</v>
      </c>
      <c r="F1517" s="1" t="s">
        <v>18</v>
      </c>
      <c r="G1517" s="1">
        <v>1.0</v>
      </c>
      <c r="H1517" s="1">
        <v>3.0</v>
      </c>
      <c r="I1517" s="3" t="str">
        <f>VLOOKUP(B1517,Customers!A:J, 10,FALSE)</f>
        <v>Bridgette Guerra</v>
      </c>
      <c r="J1517" s="3" t="str">
        <f>VLOOKUP(B1517,Customers!A:J,8,FALSE)</f>
        <v>CA</v>
      </c>
      <c r="K1517" s="3" t="str">
        <f>VLOOKUP(B1517,Customers!A:J,7,FALSE)</f>
        <v>San Lorenzo</v>
      </c>
      <c r="L1517" s="3" t="str">
        <f>VLOOKUP(H1517,Staff!A:I,9,FALSE)</f>
        <v>Genna Serrano</v>
      </c>
      <c r="M1517" s="3" t="str">
        <f>VLOOKUP(G1517,Store!A:H,2,FALSE)</f>
        <v>Santa Cruz Bikes</v>
      </c>
      <c r="N1517" s="3" t="str">
        <f>VLOOKUP(G1517,Store!A:H,6,FALSE)</f>
        <v>Santa Cruz</v>
      </c>
      <c r="O1517" s="3" t="s">
        <v>15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">
        <v>1517.0</v>
      </c>
      <c r="B1518" s="1">
        <v>97.0</v>
      </c>
      <c r="C1518" s="1">
        <v>1.0</v>
      </c>
      <c r="D1518" s="4">
        <v>43201.0</v>
      </c>
      <c r="E1518" s="4">
        <v>43201.0</v>
      </c>
      <c r="F1518" s="1" t="s">
        <v>18</v>
      </c>
      <c r="G1518" s="1">
        <v>1.0</v>
      </c>
      <c r="H1518" s="1">
        <v>2.0</v>
      </c>
      <c r="I1518" s="3" t="str">
        <f>VLOOKUP(B1518,Customers!A:J, 10,FALSE)</f>
        <v>Louanne Martin</v>
      </c>
      <c r="J1518" s="3" t="str">
        <f>VLOOKUP(B1518,Customers!A:J,8,FALSE)</f>
        <v>CA</v>
      </c>
      <c r="K1518" s="3" t="str">
        <f>VLOOKUP(B1518,Customers!A:J,7,FALSE)</f>
        <v>Yuba City</v>
      </c>
      <c r="L1518" s="3" t="str">
        <f>VLOOKUP(H1518,Staff!A:I,9,FALSE)</f>
        <v>Mireya Copeland</v>
      </c>
      <c r="M1518" s="3" t="str">
        <f>VLOOKUP(G1518,Store!A:H,2,FALSE)</f>
        <v>Santa Cruz Bikes</v>
      </c>
      <c r="N1518" s="3" t="str">
        <f>VLOOKUP(G1518,Store!A:H,6,FALSE)</f>
        <v>Santa Cruz</v>
      </c>
      <c r="O1518" s="3" t="s">
        <v>15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">
        <v>1518.0</v>
      </c>
      <c r="B1519" s="1">
        <v>175.0</v>
      </c>
      <c r="C1519" s="1">
        <v>1.0</v>
      </c>
      <c r="D1519" s="4">
        <v>43201.0</v>
      </c>
      <c r="E1519" s="4">
        <v>43201.0</v>
      </c>
      <c r="F1519" s="1" t="s">
        <v>18</v>
      </c>
      <c r="G1519" s="1">
        <v>1.0</v>
      </c>
      <c r="H1519" s="1">
        <v>2.0</v>
      </c>
      <c r="I1519" s="3" t="str">
        <f>VLOOKUP(B1519,Customers!A:J, 10,FALSE)</f>
        <v>Nova Hess</v>
      </c>
      <c r="J1519" s="3" t="str">
        <f>VLOOKUP(B1519,Customers!A:J,8,FALSE)</f>
        <v>CA</v>
      </c>
      <c r="K1519" s="3" t="str">
        <f>VLOOKUP(B1519,Customers!A:J,7,FALSE)</f>
        <v>Duarte</v>
      </c>
      <c r="L1519" s="3" t="str">
        <f>VLOOKUP(H1519,Staff!A:I,9,FALSE)</f>
        <v>Mireya Copeland</v>
      </c>
      <c r="M1519" s="3" t="str">
        <f>VLOOKUP(G1519,Store!A:H,2,FALSE)</f>
        <v>Santa Cruz Bikes</v>
      </c>
      <c r="N1519" s="3" t="str">
        <f>VLOOKUP(G1519,Store!A:H,6,FALSE)</f>
        <v>Santa Cruz</v>
      </c>
      <c r="O1519" s="3" t="s">
        <v>15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">
        <v>1519.0</v>
      </c>
      <c r="B1520" s="1">
        <v>26.0</v>
      </c>
      <c r="C1520" s="1">
        <v>2.0</v>
      </c>
      <c r="D1520" s="4">
        <v>43201.0</v>
      </c>
      <c r="E1520" s="4">
        <v>43201.0</v>
      </c>
      <c r="F1520" s="1" t="s">
        <v>18</v>
      </c>
      <c r="G1520" s="1">
        <v>2.0</v>
      </c>
      <c r="H1520" s="1">
        <v>7.0</v>
      </c>
      <c r="I1520" s="3" t="str">
        <f>VLOOKUP(B1520,Customers!A:J, 10,FALSE)</f>
        <v>Theo Reese</v>
      </c>
      <c r="J1520" s="3" t="str">
        <f>VLOOKUP(B1520,Customers!A:J,8,FALSE)</f>
        <v>NY</v>
      </c>
      <c r="K1520" s="3" t="str">
        <f>VLOOKUP(B1520,Customers!A:J,7,FALSE)</f>
        <v>Long Beach</v>
      </c>
      <c r="L1520" s="3" t="str">
        <f>VLOOKUP(H1520,Staff!A:I,9,FALSE)</f>
        <v>Venita Daniel</v>
      </c>
      <c r="M1520" s="3" t="str">
        <f>VLOOKUP(G1520,Store!A:H,2,FALSE)</f>
        <v>Baldwin Bikes</v>
      </c>
      <c r="N1520" s="3" t="str">
        <f>VLOOKUP(G1520,Store!A:H,6,FALSE)</f>
        <v>Baldwin</v>
      </c>
      <c r="O1520" s="3" t="s">
        <v>16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">
        <v>1520.0</v>
      </c>
      <c r="B1521" s="1">
        <v>66.0</v>
      </c>
      <c r="C1521" s="1">
        <v>2.0</v>
      </c>
      <c r="D1521" s="4">
        <v>43201.0</v>
      </c>
      <c r="E1521" s="4">
        <v>43201.0</v>
      </c>
      <c r="F1521" s="1" t="s">
        <v>18</v>
      </c>
      <c r="G1521" s="1">
        <v>3.0</v>
      </c>
      <c r="H1521" s="1">
        <v>8.0</v>
      </c>
      <c r="I1521" s="3" t="str">
        <f>VLOOKUP(B1521,Customers!A:J, 10,FALSE)</f>
        <v>Lorrie Becker</v>
      </c>
      <c r="J1521" s="3" t="str">
        <f>VLOOKUP(B1521,Customers!A:J,8,FALSE)</f>
        <v>TX</v>
      </c>
      <c r="K1521" s="3" t="str">
        <f>VLOOKUP(B1521,Customers!A:J,7,FALSE)</f>
        <v>Garland</v>
      </c>
      <c r="L1521" s="3" t="str">
        <f>VLOOKUP(H1521,Staff!A:I,9,FALSE)</f>
        <v>Kali Vargas</v>
      </c>
      <c r="M1521" s="3" t="str">
        <f>VLOOKUP(G1521,Store!A:H,2,FALSE)</f>
        <v>Rowlett Bikes</v>
      </c>
      <c r="N1521" s="3" t="str">
        <f>VLOOKUP(G1521,Store!A:H,6,FALSE)</f>
        <v>Rowlett</v>
      </c>
      <c r="O1521" s="3" t="s">
        <v>17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">
        <v>1521.0</v>
      </c>
      <c r="B1522" s="1">
        <v>53.0</v>
      </c>
      <c r="C1522" s="1">
        <v>1.0</v>
      </c>
      <c r="D1522" s="4">
        <v>43202.0</v>
      </c>
      <c r="E1522" s="4">
        <v>43202.0</v>
      </c>
      <c r="F1522" s="1" t="s">
        <v>18</v>
      </c>
      <c r="G1522" s="1">
        <v>1.0</v>
      </c>
      <c r="H1522" s="1">
        <v>3.0</v>
      </c>
      <c r="I1522" s="3" t="str">
        <f>VLOOKUP(B1522,Customers!A:J, 10,FALSE)</f>
        <v>Saturnina Garner</v>
      </c>
      <c r="J1522" s="3" t="str">
        <f>VLOOKUP(B1522,Customers!A:J,8,FALSE)</f>
        <v>CA</v>
      </c>
      <c r="K1522" s="3" t="str">
        <f>VLOOKUP(B1522,Customers!A:J,7,FALSE)</f>
        <v>Glendora</v>
      </c>
      <c r="L1522" s="3" t="str">
        <f>VLOOKUP(H1522,Staff!A:I,9,FALSE)</f>
        <v>Genna Serrano</v>
      </c>
      <c r="M1522" s="3" t="str">
        <f>VLOOKUP(G1522,Store!A:H,2,FALSE)</f>
        <v>Santa Cruz Bikes</v>
      </c>
      <c r="N1522" s="3" t="str">
        <f>VLOOKUP(G1522,Store!A:H,6,FALSE)</f>
        <v>Santa Cruz</v>
      </c>
      <c r="O1522" s="3" t="s">
        <v>15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">
        <v>1522.0</v>
      </c>
      <c r="B1523" s="1">
        <v>78.0</v>
      </c>
      <c r="C1523" s="1">
        <v>1.0</v>
      </c>
      <c r="D1523" s="4">
        <v>43202.0</v>
      </c>
      <c r="E1523" s="4">
        <v>43202.0</v>
      </c>
      <c r="F1523" s="1" t="s">
        <v>18</v>
      </c>
      <c r="G1523" s="1">
        <v>1.0</v>
      </c>
      <c r="H1523" s="1">
        <v>3.0</v>
      </c>
      <c r="I1523" s="3" t="str">
        <f>VLOOKUP(B1523,Customers!A:J, 10,FALSE)</f>
        <v>Chi Goff</v>
      </c>
      <c r="J1523" s="3" t="str">
        <f>VLOOKUP(B1523,Customers!A:J,8,FALSE)</f>
        <v>CA</v>
      </c>
      <c r="K1523" s="3" t="str">
        <f>VLOOKUP(B1523,Customers!A:J,7,FALSE)</f>
        <v>Palos Verdes Peninsula</v>
      </c>
      <c r="L1523" s="3" t="str">
        <f>VLOOKUP(H1523,Staff!A:I,9,FALSE)</f>
        <v>Genna Serrano</v>
      </c>
      <c r="M1523" s="3" t="str">
        <f>VLOOKUP(G1523,Store!A:H,2,FALSE)</f>
        <v>Santa Cruz Bikes</v>
      </c>
      <c r="N1523" s="3" t="str">
        <f>VLOOKUP(G1523,Store!A:H,6,FALSE)</f>
        <v>Santa Cruz</v>
      </c>
      <c r="O1523" s="3" t="s">
        <v>15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">
        <v>1523.0</v>
      </c>
      <c r="B1524" s="1">
        <v>8.0</v>
      </c>
      <c r="C1524" s="1">
        <v>1.0</v>
      </c>
      <c r="D1524" s="4">
        <v>43202.0</v>
      </c>
      <c r="E1524" s="4">
        <v>43202.0</v>
      </c>
      <c r="F1524" s="1" t="s">
        <v>18</v>
      </c>
      <c r="G1524" s="1">
        <v>2.0</v>
      </c>
      <c r="H1524" s="1">
        <v>7.0</v>
      </c>
      <c r="I1524" s="3" t="str">
        <f>VLOOKUP(B1524,Customers!A:J, 10,FALSE)</f>
        <v>Jacquline Duncan</v>
      </c>
      <c r="J1524" s="3" t="str">
        <f>VLOOKUP(B1524,Customers!A:J,8,FALSE)</f>
        <v>NY</v>
      </c>
      <c r="K1524" s="3" t="str">
        <f>VLOOKUP(B1524,Customers!A:J,7,FALSE)</f>
        <v>Jackson Heights</v>
      </c>
      <c r="L1524" s="3" t="str">
        <f>VLOOKUP(H1524,Staff!A:I,9,FALSE)</f>
        <v>Venita Daniel</v>
      </c>
      <c r="M1524" s="3" t="str">
        <f>VLOOKUP(G1524,Store!A:H,2,FALSE)</f>
        <v>Baldwin Bikes</v>
      </c>
      <c r="N1524" s="3" t="str">
        <f>VLOOKUP(G1524,Store!A:H,6,FALSE)</f>
        <v>Baldwin</v>
      </c>
      <c r="O1524" s="3" t="s">
        <v>16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">
        <v>1524.0</v>
      </c>
      <c r="B1525" s="1">
        <v>37.0</v>
      </c>
      <c r="C1525" s="1">
        <v>1.0</v>
      </c>
      <c r="D1525" s="4">
        <v>43202.0</v>
      </c>
      <c r="E1525" s="4">
        <v>43202.0</v>
      </c>
      <c r="F1525" s="1" t="s">
        <v>18</v>
      </c>
      <c r="G1525" s="1">
        <v>2.0</v>
      </c>
      <c r="H1525" s="1">
        <v>6.0</v>
      </c>
      <c r="I1525" s="3" t="str">
        <f>VLOOKUP(B1525,Customers!A:J, 10,FALSE)</f>
        <v>Melia Brady</v>
      </c>
      <c r="J1525" s="3" t="str">
        <f>VLOOKUP(B1525,Customers!A:J,8,FALSE)</f>
        <v>NY</v>
      </c>
      <c r="K1525" s="3" t="str">
        <f>VLOOKUP(B1525,Customers!A:J,7,FALSE)</f>
        <v>Maspeth</v>
      </c>
      <c r="L1525" s="3" t="str">
        <f>VLOOKUP(H1525,Staff!A:I,9,FALSE)</f>
        <v>Marcelene Boyer</v>
      </c>
      <c r="M1525" s="3" t="str">
        <f>VLOOKUP(G1525,Store!A:H,2,FALSE)</f>
        <v>Baldwin Bikes</v>
      </c>
      <c r="N1525" s="3" t="str">
        <f>VLOOKUP(G1525,Store!A:H,6,FALSE)</f>
        <v>Baldwin</v>
      </c>
      <c r="O1525" s="3" t="s">
        <v>16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">
        <v>1525.0</v>
      </c>
      <c r="B1526" s="1">
        <v>38.0</v>
      </c>
      <c r="C1526" s="1">
        <v>2.0</v>
      </c>
      <c r="D1526" s="4">
        <v>43202.0</v>
      </c>
      <c r="E1526" s="4">
        <v>43202.0</v>
      </c>
      <c r="F1526" s="1" t="s">
        <v>18</v>
      </c>
      <c r="G1526" s="1">
        <v>2.0</v>
      </c>
      <c r="H1526" s="1">
        <v>7.0</v>
      </c>
      <c r="I1526" s="3" t="str">
        <f>VLOOKUP(B1526,Customers!A:J, 10,FALSE)</f>
        <v>Zelma Browning</v>
      </c>
      <c r="J1526" s="3" t="str">
        <f>VLOOKUP(B1526,Customers!A:J,8,FALSE)</f>
        <v>NY</v>
      </c>
      <c r="K1526" s="3" t="str">
        <f>VLOOKUP(B1526,Customers!A:J,7,FALSE)</f>
        <v>Astoria</v>
      </c>
      <c r="L1526" s="3" t="str">
        <f>VLOOKUP(H1526,Staff!A:I,9,FALSE)</f>
        <v>Venita Daniel</v>
      </c>
      <c r="M1526" s="3" t="str">
        <f>VLOOKUP(G1526,Store!A:H,2,FALSE)</f>
        <v>Baldwin Bikes</v>
      </c>
      <c r="N1526" s="3" t="str">
        <f>VLOOKUP(G1526,Store!A:H,6,FALSE)</f>
        <v>Baldwin</v>
      </c>
      <c r="O1526" s="3" t="s">
        <v>16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">
        <v>1526.0</v>
      </c>
      <c r="B1527" s="1">
        <v>59.0</v>
      </c>
      <c r="C1527" s="1">
        <v>2.0</v>
      </c>
      <c r="D1527" s="4">
        <v>43202.0</v>
      </c>
      <c r="E1527" s="4">
        <v>43202.0</v>
      </c>
      <c r="F1527" s="1" t="s">
        <v>18</v>
      </c>
      <c r="G1527" s="1">
        <v>2.0</v>
      </c>
      <c r="H1527" s="1">
        <v>7.0</v>
      </c>
      <c r="I1527" s="3" t="str">
        <f>VLOOKUP(B1527,Customers!A:J, 10,FALSE)</f>
        <v>Latasha Stanley</v>
      </c>
      <c r="J1527" s="3" t="str">
        <f>VLOOKUP(B1527,Customers!A:J,8,FALSE)</f>
        <v>NY</v>
      </c>
      <c r="K1527" s="3" t="str">
        <f>VLOOKUP(B1527,Customers!A:J,7,FALSE)</f>
        <v>Rockville Centre</v>
      </c>
      <c r="L1527" s="3" t="str">
        <f>VLOOKUP(H1527,Staff!A:I,9,FALSE)</f>
        <v>Venita Daniel</v>
      </c>
      <c r="M1527" s="3" t="str">
        <f>VLOOKUP(G1527,Store!A:H,2,FALSE)</f>
        <v>Baldwin Bikes</v>
      </c>
      <c r="N1527" s="3" t="str">
        <f>VLOOKUP(G1527,Store!A:H,6,FALSE)</f>
        <v>Baldwin</v>
      </c>
      <c r="O1527" s="3" t="s">
        <v>16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">
        <v>1527.0</v>
      </c>
      <c r="B1528" s="1">
        <v>13.0</v>
      </c>
      <c r="C1528" s="1">
        <v>2.0</v>
      </c>
      <c r="D1528" s="4">
        <v>43202.0</v>
      </c>
      <c r="E1528" s="4">
        <v>43202.0</v>
      </c>
      <c r="F1528" s="1" t="s">
        <v>18</v>
      </c>
      <c r="G1528" s="1">
        <v>3.0</v>
      </c>
      <c r="H1528" s="1">
        <v>9.0</v>
      </c>
      <c r="I1528" s="3" t="str">
        <f>VLOOKUP(B1528,Customers!A:J, 10,FALSE)</f>
        <v>Lashawn Ortiz</v>
      </c>
      <c r="J1528" s="3" t="str">
        <f>VLOOKUP(B1528,Customers!A:J,8,FALSE)</f>
        <v>TX</v>
      </c>
      <c r="K1528" s="3" t="str">
        <f>VLOOKUP(B1528,Customers!A:J,7,FALSE)</f>
        <v>Longview</v>
      </c>
      <c r="L1528" s="3" t="str">
        <f>VLOOKUP(H1528,Staff!A:I,9,FALSE)</f>
        <v>Layla Terrell</v>
      </c>
      <c r="M1528" s="3" t="str">
        <f>VLOOKUP(G1528,Store!A:H,2,FALSE)</f>
        <v>Rowlett Bikes</v>
      </c>
      <c r="N1528" s="3" t="str">
        <f>VLOOKUP(G1528,Store!A:H,6,FALSE)</f>
        <v>Rowlett</v>
      </c>
      <c r="O1528" s="3" t="s">
        <v>17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">
        <v>1528.0</v>
      </c>
      <c r="B1529" s="1">
        <v>20.0</v>
      </c>
      <c r="C1529" s="1">
        <v>1.0</v>
      </c>
      <c r="D1529" s="4">
        <v>43202.0</v>
      </c>
      <c r="E1529" s="4">
        <v>43202.0</v>
      </c>
      <c r="F1529" s="1" t="s">
        <v>18</v>
      </c>
      <c r="G1529" s="1">
        <v>3.0</v>
      </c>
      <c r="H1529" s="1">
        <v>8.0</v>
      </c>
      <c r="I1529" s="3" t="str">
        <f>VLOOKUP(B1529,Customers!A:J, 10,FALSE)</f>
        <v>Aleta Shepard</v>
      </c>
      <c r="J1529" s="3" t="str">
        <f>VLOOKUP(B1529,Customers!A:J,8,FALSE)</f>
        <v>TX</v>
      </c>
      <c r="K1529" s="3" t="str">
        <f>VLOOKUP(B1529,Customers!A:J,7,FALSE)</f>
        <v>Sugar Land</v>
      </c>
      <c r="L1529" s="3" t="str">
        <f>VLOOKUP(H1529,Staff!A:I,9,FALSE)</f>
        <v>Kali Vargas</v>
      </c>
      <c r="M1529" s="3" t="str">
        <f>VLOOKUP(G1529,Store!A:H,2,FALSE)</f>
        <v>Rowlett Bikes</v>
      </c>
      <c r="N1529" s="3" t="str">
        <f>VLOOKUP(G1529,Store!A:H,6,FALSE)</f>
        <v>Rowlett</v>
      </c>
      <c r="O1529" s="3" t="s">
        <v>17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">
        <v>1529.0</v>
      </c>
      <c r="B1530" s="1">
        <v>50.0</v>
      </c>
      <c r="C1530" s="1">
        <v>1.0</v>
      </c>
      <c r="D1530" s="4">
        <v>43202.0</v>
      </c>
      <c r="E1530" s="4">
        <v>43202.0</v>
      </c>
      <c r="F1530" s="1" t="s">
        <v>18</v>
      </c>
      <c r="G1530" s="1">
        <v>3.0</v>
      </c>
      <c r="H1530" s="1">
        <v>8.0</v>
      </c>
      <c r="I1530" s="3" t="str">
        <f>VLOOKUP(B1530,Customers!A:J, 10,FALSE)</f>
        <v>Cleotilde Booth</v>
      </c>
      <c r="J1530" s="3" t="str">
        <f>VLOOKUP(B1530,Customers!A:J,8,FALSE)</f>
        <v>TX</v>
      </c>
      <c r="K1530" s="3" t="str">
        <f>VLOOKUP(B1530,Customers!A:J,7,FALSE)</f>
        <v>Sugar Land</v>
      </c>
      <c r="L1530" s="3" t="str">
        <f>VLOOKUP(H1530,Staff!A:I,9,FALSE)</f>
        <v>Kali Vargas</v>
      </c>
      <c r="M1530" s="3" t="str">
        <f>VLOOKUP(G1530,Store!A:H,2,FALSE)</f>
        <v>Rowlett Bikes</v>
      </c>
      <c r="N1530" s="3" t="str">
        <f>VLOOKUP(G1530,Store!A:H,6,FALSE)</f>
        <v>Rowlett</v>
      </c>
      <c r="O1530" s="3" t="s">
        <v>17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">
        <v>1530.0</v>
      </c>
      <c r="B1531" s="1">
        <v>110.0</v>
      </c>
      <c r="C1531" s="1">
        <v>1.0</v>
      </c>
      <c r="D1531" s="4">
        <v>43203.0</v>
      </c>
      <c r="E1531" s="4">
        <v>43203.0</v>
      </c>
      <c r="F1531" s="1" t="s">
        <v>18</v>
      </c>
      <c r="G1531" s="1">
        <v>1.0</v>
      </c>
      <c r="H1531" s="1">
        <v>2.0</v>
      </c>
      <c r="I1531" s="3" t="str">
        <f>VLOOKUP(B1531,Customers!A:J, 10,FALSE)</f>
        <v>Ollie Zimmerman</v>
      </c>
      <c r="J1531" s="3" t="str">
        <f>VLOOKUP(B1531,Customers!A:J,8,FALSE)</f>
        <v>CA</v>
      </c>
      <c r="K1531" s="3" t="str">
        <f>VLOOKUP(B1531,Customers!A:J,7,FALSE)</f>
        <v>Anaheim</v>
      </c>
      <c r="L1531" s="3" t="str">
        <f>VLOOKUP(H1531,Staff!A:I,9,FALSE)</f>
        <v>Mireya Copeland</v>
      </c>
      <c r="M1531" s="3" t="str">
        <f>VLOOKUP(G1531,Store!A:H,2,FALSE)</f>
        <v>Santa Cruz Bikes</v>
      </c>
      <c r="N1531" s="3" t="str">
        <f>VLOOKUP(G1531,Store!A:H,6,FALSE)</f>
        <v>Santa Cruz</v>
      </c>
      <c r="O1531" s="3" t="s">
        <v>15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">
        <v>1531.0</v>
      </c>
      <c r="B1532" s="1">
        <v>233.0</v>
      </c>
      <c r="C1532" s="1">
        <v>1.0</v>
      </c>
      <c r="D1532" s="4">
        <v>43203.0</v>
      </c>
      <c r="E1532" s="4">
        <v>43203.0</v>
      </c>
      <c r="F1532" s="1" t="s">
        <v>18</v>
      </c>
      <c r="G1532" s="1">
        <v>1.0</v>
      </c>
      <c r="H1532" s="1">
        <v>2.0</v>
      </c>
      <c r="I1532" s="3" t="str">
        <f>VLOOKUP(B1532,Customers!A:J, 10,FALSE)</f>
        <v>Mariana Strong</v>
      </c>
      <c r="J1532" s="3" t="str">
        <f>VLOOKUP(B1532,Customers!A:J,8,FALSE)</f>
        <v>CA</v>
      </c>
      <c r="K1532" s="3" t="str">
        <f>VLOOKUP(B1532,Customers!A:J,7,FALSE)</f>
        <v>Santa Clara</v>
      </c>
      <c r="L1532" s="3" t="str">
        <f>VLOOKUP(H1532,Staff!A:I,9,FALSE)</f>
        <v>Mireya Copeland</v>
      </c>
      <c r="M1532" s="3" t="str">
        <f>VLOOKUP(G1532,Store!A:H,2,FALSE)</f>
        <v>Santa Cruz Bikes</v>
      </c>
      <c r="N1532" s="3" t="str">
        <f>VLOOKUP(G1532,Store!A:H,6,FALSE)</f>
        <v>Santa Cruz</v>
      </c>
      <c r="O1532" s="3" t="s">
        <v>15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">
        <v>1532.0</v>
      </c>
      <c r="B1533" s="1">
        <v>7.0</v>
      </c>
      <c r="C1533" s="1">
        <v>2.0</v>
      </c>
      <c r="D1533" s="4">
        <v>43203.0</v>
      </c>
      <c r="E1533" s="4">
        <v>43203.0</v>
      </c>
      <c r="F1533" s="1" t="s">
        <v>18</v>
      </c>
      <c r="G1533" s="1">
        <v>2.0</v>
      </c>
      <c r="H1533" s="1">
        <v>7.0</v>
      </c>
      <c r="I1533" s="3" t="str">
        <f>VLOOKUP(B1533,Customers!A:J, 10,FALSE)</f>
        <v>Latasha Hays</v>
      </c>
      <c r="J1533" s="3" t="str">
        <f>VLOOKUP(B1533,Customers!A:J,8,FALSE)</f>
        <v>NY</v>
      </c>
      <c r="K1533" s="3" t="str">
        <f>VLOOKUP(B1533,Customers!A:J,7,FALSE)</f>
        <v>Buffalo</v>
      </c>
      <c r="L1533" s="3" t="str">
        <f>VLOOKUP(H1533,Staff!A:I,9,FALSE)</f>
        <v>Venita Daniel</v>
      </c>
      <c r="M1533" s="3" t="str">
        <f>VLOOKUP(G1533,Store!A:H,2,FALSE)</f>
        <v>Baldwin Bikes</v>
      </c>
      <c r="N1533" s="3" t="str">
        <f>VLOOKUP(G1533,Store!A:H,6,FALSE)</f>
        <v>Baldwin</v>
      </c>
      <c r="O1533" s="3" t="s">
        <v>16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">
        <v>1533.0</v>
      </c>
      <c r="B1534" s="1">
        <v>28.0</v>
      </c>
      <c r="C1534" s="1">
        <v>2.0</v>
      </c>
      <c r="D1534" s="4">
        <v>43203.0</v>
      </c>
      <c r="E1534" s="4">
        <v>43203.0</v>
      </c>
      <c r="F1534" s="1" t="s">
        <v>18</v>
      </c>
      <c r="G1534" s="1">
        <v>2.0</v>
      </c>
      <c r="H1534" s="1">
        <v>6.0</v>
      </c>
      <c r="I1534" s="3" t="str">
        <f>VLOOKUP(B1534,Customers!A:J, 10,FALSE)</f>
        <v>Jeanice Frost</v>
      </c>
      <c r="J1534" s="3" t="str">
        <f>VLOOKUP(B1534,Customers!A:J,8,FALSE)</f>
        <v>NY</v>
      </c>
      <c r="K1534" s="3" t="str">
        <f>VLOOKUP(B1534,Customers!A:J,7,FALSE)</f>
        <v>Ossining</v>
      </c>
      <c r="L1534" s="3" t="str">
        <f>VLOOKUP(H1534,Staff!A:I,9,FALSE)</f>
        <v>Marcelene Boyer</v>
      </c>
      <c r="M1534" s="3" t="str">
        <f>VLOOKUP(G1534,Store!A:H,2,FALSE)</f>
        <v>Baldwin Bikes</v>
      </c>
      <c r="N1534" s="3" t="str">
        <f>VLOOKUP(G1534,Store!A:H,6,FALSE)</f>
        <v>Baldwin</v>
      </c>
      <c r="O1534" s="3" t="s">
        <v>16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">
        <v>1534.0</v>
      </c>
      <c r="B1535" s="1">
        <v>18.0</v>
      </c>
      <c r="C1535" s="1">
        <v>2.0</v>
      </c>
      <c r="D1535" s="4">
        <v>43204.0</v>
      </c>
      <c r="E1535" s="4">
        <v>43204.0</v>
      </c>
      <c r="F1535" s="1" t="s">
        <v>18</v>
      </c>
      <c r="G1535" s="1">
        <v>2.0</v>
      </c>
      <c r="H1535" s="1">
        <v>7.0</v>
      </c>
      <c r="I1535" s="3" t="str">
        <f>VLOOKUP(B1535,Customers!A:J, 10,FALSE)</f>
        <v>Georgetta Hardin</v>
      </c>
      <c r="J1535" s="3" t="str">
        <f>VLOOKUP(B1535,Customers!A:J,8,FALSE)</f>
        <v>NY</v>
      </c>
      <c r="K1535" s="3" t="str">
        <f>VLOOKUP(B1535,Customers!A:J,7,FALSE)</f>
        <v>Canandaigua</v>
      </c>
      <c r="L1535" s="3" t="str">
        <f>VLOOKUP(H1535,Staff!A:I,9,FALSE)</f>
        <v>Venita Daniel</v>
      </c>
      <c r="M1535" s="3" t="str">
        <f>VLOOKUP(G1535,Store!A:H,2,FALSE)</f>
        <v>Baldwin Bikes</v>
      </c>
      <c r="N1535" s="3" t="str">
        <f>VLOOKUP(G1535,Store!A:H,6,FALSE)</f>
        <v>Baldwin</v>
      </c>
      <c r="O1535" s="3" t="s">
        <v>16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">
        <v>1535.0</v>
      </c>
      <c r="B1536" s="1">
        <v>19.0</v>
      </c>
      <c r="C1536" s="1">
        <v>2.0</v>
      </c>
      <c r="D1536" s="4">
        <v>43204.0</v>
      </c>
      <c r="E1536" s="4">
        <v>43204.0</v>
      </c>
      <c r="F1536" s="1" t="s">
        <v>18</v>
      </c>
      <c r="G1536" s="1">
        <v>2.0</v>
      </c>
      <c r="H1536" s="1">
        <v>7.0</v>
      </c>
      <c r="I1536" s="3" t="str">
        <f>VLOOKUP(B1536,Customers!A:J, 10,FALSE)</f>
        <v>Lizzette Stein</v>
      </c>
      <c r="J1536" s="3" t="str">
        <f>VLOOKUP(B1536,Customers!A:J,8,FALSE)</f>
        <v>NY</v>
      </c>
      <c r="K1536" s="3" t="str">
        <f>VLOOKUP(B1536,Customers!A:J,7,FALSE)</f>
        <v>Orchard Park</v>
      </c>
      <c r="L1536" s="3" t="str">
        <f>VLOOKUP(H1536,Staff!A:I,9,FALSE)</f>
        <v>Venita Daniel</v>
      </c>
      <c r="M1536" s="3" t="str">
        <f>VLOOKUP(G1536,Store!A:H,2,FALSE)</f>
        <v>Baldwin Bikes</v>
      </c>
      <c r="N1536" s="3" t="str">
        <f>VLOOKUP(G1536,Store!A:H,6,FALSE)</f>
        <v>Baldwin</v>
      </c>
      <c r="O1536" s="3" t="s">
        <v>16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">
        <v>1536.0</v>
      </c>
      <c r="B1537" s="1">
        <v>34.0</v>
      </c>
      <c r="C1537" s="1">
        <v>2.0</v>
      </c>
      <c r="D1537" s="4">
        <v>43204.0</v>
      </c>
      <c r="E1537" s="4">
        <v>43204.0</v>
      </c>
      <c r="F1537" s="1" t="s">
        <v>18</v>
      </c>
      <c r="G1537" s="1">
        <v>2.0</v>
      </c>
      <c r="H1537" s="1">
        <v>7.0</v>
      </c>
      <c r="I1537" s="3" t="str">
        <f>VLOOKUP(B1537,Customers!A:J, 10,FALSE)</f>
        <v>Brittney Woodward</v>
      </c>
      <c r="J1537" s="3" t="str">
        <f>VLOOKUP(B1537,Customers!A:J,8,FALSE)</f>
        <v>NY</v>
      </c>
      <c r="K1537" s="3" t="str">
        <f>VLOOKUP(B1537,Customers!A:J,7,FALSE)</f>
        <v>East Northport</v>
      </c>
      <c r="L1537" s="3" t="str">
        <f>VLOOKUP(H1537,Staff!A:I,9,FALSE)</f>
        <v>Venita Daniel</v>
      </c>
      <c r="M1537" s="3" t="str">
        <f>VLOOKUP(G1537,Store!A:H,2,FALSE)</f>
        <v>Baldwin Bikes</v>
      </c>
      <c r="N1537" s="3" t="str">
        <f>VLOOKUP(G1537,Store!A:H,6,FALSE)</f>
        <v>Baldwin</v>
      </c>
      <c r="O1537" s="3" t="s">
        <v>16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">
        <v>1537.0</v>
      </c>
      <c r="B1538" s="1">
        <v>36.0</v>
      </c>
      <c r="C1538" s="1">
        <v>1.0</v>
      </c>
      <c r="D1538" s="4">
        <v>43205.0</v>
      </c>
      <c r="E1538" s="4">
        <v>43205.0</v>
      </c>
      <c r="F1538" s="1" t="s">
        <v>18</v>
      </c>
      <c r="G1538" s="1">
        <v>2.0</v>
      </c>
      <c r="H1538" s="1">
        <v>6.0</v>
      </c>
      <c r="I1538" s="3" t="str">
        <f>VLOOKUP(B1538,Customers!A:J, 10,FALSE)</f>
        <v>Bernita Mcdaniel</v>
      </c>
      <c r="J1538" s="3" t="str">
        <f>VLOOKUP(B1538,Customers!A:J,8,FALSE)</f>
        <v>NY</v>
      </c>
      <c r="K1538" s="3" t="str">
        <f>VLOOKUP(B1538,Customers!A:J,7,FALSE)</f>
        <v>Liverpool</v>
      </c>
      <c r="L1538" s="3" t="str">
        <f>VLOOKUP(H1538,Staff!A:I,9,FALSE)</f>
        <v>Marcelene Boyer</v>
      </c>
      <c r="M1538" s="3" t="str">
        <f>VLOOKUP(G1538,Store!A:H,2,FALSE)</f>
        <v>Baldwin Bikes</v>
      </c>
      <c r="N1538" s="3" t="str">
        <f>VLOOKUP(G1538,Store!A:H,6,FALSE)</f>
        <v>Baldwin</v>
      </c>
      <c r="O1538" s="3" t="s">
        <v>16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">
        <v>1538.0</v>
      </c>
      <c r="B1539" s="1">
        <v>79.0</v>
      </c>
      <c r="C1539" s="1">
        <v>2.0</v>
      </c>
      <c r="D1539" s="4">
        <v>43205.0</v>
      </c>
      <c r="E1539" s="4">
        <v>43205.0</v>
      </c>
      <c r="F1539" s="1" t="s">
        <v>18</v>
      </c>
      <c r="G1539" s="1">
        <v>2.0</v>
      </c>
      <c r="H1539" s="1">
        <v>6.0</v>
      </c>
      <c r="I1539" s="3" t="str">
        <f>VLOOKUP(B1539,Customers!A:J, 10,FALSE)</f>
        <v>Ashanti Parks</v>
      </c>
      <c r="J1539" s="3" t="str">
        <f>VLOOKUP(B1539,Customers!A:J,8,FALSE)</f>
        <v>NY</v>
      </c>
      <c r="K1539" s="3" t="str">
        <f>VLOOKUP(B1539,Customers!A:J,7,FALSE)</f>
        <v>Baldwin</v>
      </c>
      <c r="L1539" s="3" t="str">
        <f>VLOOKUP(H1539,Staff!A:I,9,FALSE)</f>
        <v>Marcelene Boyer</v>
      </c>
      <c r="M1539" s="3" t="str">
        <f>VLOOKUP(G1539,Store!A:H,2,FALSE)</f>
        <v>Baldwin Bikes</v>
      </c>
      <c r="N1539" s="3" t="str">
        <f>VLOOKUP(G1539,Store!A:H,6,FALSE)</f>
        <v>Baldwin</v>
      </c>
      <c r="O1539" s="3" t="s">
        <v>16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">
        <v>1539.0</v>
      </c>
      <c r="B1540" s="1">
        <v>116.0</v>
      </c>
      <c r="C1540" s="1">
        <v>1.0</v>
      </c>
      <c r="D1540" s="4">
        <v>43205.0</v>
      </c>
      <c r="E1540" s="4">
        <v>43205.0</v>
      </c>
      <c r="F1540" s="1" t="s">
        <v>18</v>
      </c>
      <c r="G1540" s="1">
        <v>3.0</v>
      </c>
      <c r="H1540" s="1">
        <v>9.0</v>
      </c>
      <c r="I1540" s="3" t="str">
        <f>VLOOKUP(B1540,Customers!A:J, 10,FALSE)</f>
        <v>Merlene Vinson</v>
      </c>
      <c r="J1540" s="3" t="str">
        <f>VLOOKUP(B1540,Customers!A:J,8,FALSE)</f>
        <v>TX</v>
      </c>
      <c r="K1540" s="3" t="str">
        <f>VLOOKUP(B1540,Customers!A:J,7,FALSE)</f>
        <v>Euless</v>
      </c>
      <c r="L1540" s="3" t="str">
        <f>VLOOKUP(H1540,Staff!A:I,9,FALSE)</f>
        <v>Layla Terrell</v>
      </c>
      <c r="M1540" s="3" t="str">
        <f>VLOOKUP(G1540,Store!A:H,2,FALSE)</f>
        <v>Rowlett Bikes</v>
      </c>
      <c r="N1540" s="3" t="str">
        <f>VLOOKUP(G1540,Store!A:H,6,FALSE)</f>
        <v>Rowlett</v>
      </c>
      <c r="O1540" s="3" t="s">
        <v>17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">
        <v>1540.0</v>
      </c>
      <c r="B1541" s="1">
        <v>187.0</v>
      </c>
      <c r="C1541" s="1">
        <v>1.0</v>
      </c>
      <c r="D1541" s="4">
        <v>43206.0</v>
      </c>
      <c r="E1541" s="4">
        <v>43206.0</v>
      </c>
      <c r="F1541" s="1" t="s">
        <v>18</v>
      </c>
      <c r="G1541" s="1">
        <v>1.0</v>
      </c>
      <c r="H1541" s="1">
        <v>2.0</v>
      </c>
      <c r="I1541" s="3" t="str">
        <f>VLOOKUP(B1541,Customers!A:J, 10,FALSE)</f>
        <v>Hedwig Paul</v>
      </c>
      <c r="J1541" s="3" t="str">
        <f>VLOOKUP(B1541,Customers!A:J,8,FALSE)</f>
        <v>CA</v>
      </c>
      <c r="K1541" s="3" t="str">
        <f>VLOOKUP(B1541,Customers!A:J,7,FALSE)</f>
        <v>Apple Valley</v>
      </c>
      <c r="L1541" s="3" t="str">
        <f>VLOOKUP(H1541,Staff!A:I,9,FALSE)</f>
        <v>Mireya Copeland</v>
      </c>
      <c r="M1541" s="3" t="str">
        <f>VLOOKUP(G1541,Store!A:H,2,FALSE)</f>
        <v>Santa Cruz Bikes</v>
      </c>
      <c r="N1541" s="3" t="str">
        <f>VLOOKUP(G1541,Store!A:H,6,FALSE)</f>
        <v>Santa Cruz</v>
      </c>
      <c r="O1541" s="3" t="s">
        <v>15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">
        <v>1541.0</v>
      </c>
      <c r="B1542" s="1">
        <v>10.0</v>
      </c>
      <c r="C1542" s="1">
        <v>2.0</v>
      </c>
      <c r="D1542" s="4">
        <v>43206.0</v>
      </c>
      <c r="E1542" s="4">
        <v>43206.0</v>
      </c>
      <c r="F1542" s="1" t="s">
        <v>18</v>
      </c>
      <c r="G1542" s="1">
        <v>2.0</v>
      </c>
      <c r="H1542" s="1">
        <v>7.0</v>
      </c>
      <c r="I1542" s="3" t="str">
        <f>VLOOKUP(B1542,Customers!A:J, 10,FALSE)</f>
        <v>Pamelia Newman</v>
      </c>
      <c r="J1542" s="3" t="str">
        <f>VLOOKUP(B1542,Customers!A:J,8,FALSE)</f>
        <v>NY</v>
      </c>
      <c r="K1542" s="3" t="str">
        <f>VLOOKUP(B1542,Customers!A:J,7,FALSE)</f>
        <v>Monroe</v>
      </c>
      <c r="L1542" s="3" t="str">
        <f>VLOOKUP(H1542,Staff!A:I,9,FALSE)</f>
        <v>Venita Daniel</v>
      </c>
      <c r="M1542" s="3" t="str">
        <f>VLOOKUP(G1542,Store!A:H,2,FALSE)</f>
        <v>Baldwin Bikes</v>
      </c>
      <c r="N1542" s="3" t="str">
        <f>VLOOKUP(G1542,Store!A:H,6,FALSE)</f>
        <v>Baldwin</v>
      </c>
      <c r="O1542" s="3" t="s">
        <v>16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">
        <v>1542.0</v>
      </c>
      <c r="B1543" s="1">
        <v>58.0</v>
      </c>
      <c r="C1543" s="1">
        <v>2.0</v>
      </c>
      <c r="D1543" s="4">
        <v>43206.0</v>
      </c>
      <c r="E1543" s="4">
        <v>43206.0</v>
      </c>
      <c r="F1543" s="1" t="s">
        <v>18</v>
      </c>
      <c r="G1543" s="1">
        <v>2.0</v>
      </c>
      <c r="H1543" s="1">
        <v>6.0</v>
      </c>
      <c r="I1543" s="3" t="str">
        <f>VLOOKUP(B1543,Customers!A:J, 10,FALSE)</f>
        <v>Damien Dorsey</v>
      </c>
      <c r="J1543" s="3" t="str">
        <f>VLOOKUP(B1543,Customers!A:J,8,FALSE)</f>
        <v>NY</v>
      </c>
      <c r="K1543" s="3" t="str">
        <f>VLOOKUP(B1543,Customers!A:J,7,FALSE)</f>
        <v>Central Islip</v>
      </c>
      <c r="L1543" s="3" t="str">
        <f>VLOOKUP(H1543,Staff!A:I,9,FALSE)</f>
        <v>Marcelene Boyer</v>
      </c>
      <c r="M1543" s="3" t="str">
        <f>VLOOKUP(G1543,Store!A:H,2,FALSE)</f>
        <v>Baldwin Bikes</v>
      </c>
      <c r="N1543" s="3" t="str">
        <f>VLOOKUP(G1543,Store!A:H,6,FALSE)</f>
        <v>Baldwin</v>
      </c>
      <c r="O1543" s="3" t="s">
        <v>16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">
        <v>1543.0</v>
      </c>
      <c r="B1544" s="1">
        <v>76.0</v>
      </c>
      <c r="C1544" s="1">
        <v>1.0</v>
      </c>
      <c r="D1544" s="4">
        <v>43206.0</v>
      </c>
      <c r="E1544" s="4">
        <v>43206.0</v>
      </c>
      <c r="F1544" s="1" t="s">
        <v>18</v>
      </c>
      <c r="G1544" s="1">
        <v>2.0</v>
      </c>
      <c r="H1544" s="1">
        <v>6.0</v>
      </c>
      <c r="I1544" s="3" t="str">
        <f>VLOOKUP(B1544,Customers!A:J, 10,FALSE)</f>
        <v>Parker Prince</v>
      </c>
      <c r="J1544" s="3" t="str">
        <f>VLOOKUP(B1544,Customers!A:J,8,FALSE)</f>
        <v>NY</v>
      </c>
      <c r="K1544" s="3" t="str">
        <f>VLOOKUP(B1544,Customers!A:J,7,FALSE)</f>
        <v>Port Jefferson Station</v>
      </c>
      <c r="L1544" s="3" t="str">
        <f>VLOOKUP(H1544,Staff!A:I,9,FALSE)</f>
        <v>Marcelene Boyer</v>
      </c>
      <c r="M1544" s="3" t="str">
        <f>VLOOKUP(G1544,Store!A:H,2,FALSE)</f>
        <v>Baldwin Bikes</v>
      </c>
      <c r="N1544" s="3" t="str">
        <f>VLOOKUP(G1544,Store!A:H,6,FALSE)</f>
        <v>Baldwin</v>
      </c>
      <c r="O1544" s="3" t="s">
        <v>16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">
        <v>1544.0</v>
      </c>
      <c r="B1545" s="1">
        <v>5.0</v>
      </c>
      <c r="C1545" s="1">
        <v>1.0</v>
      </c>
      <c r="D1545" s="4">
        <v>43207.0</v>
      </c>
      <c r="E1545" s="4">
        <v>43207.0</v>
      </c>
      <c r="F1545" s="1" t="s">
        <v>18</v>
      </c>
      <c r="G1545" s="1">
        <v>1.0</v>
      </c>
      <c r="H1545" s="1">
        <v>2.0</v>
      </c>
      <c r="I1545" s="3" t="str">
        <f>VLOOKUP(B1545,Customers!A:J, 10,FALSE)</f>
        <v>Charolette Rice</v>
      </c>
      <c r="J1545" s="3" t="str">
        <f>VLOOKUP(B1545,Customers!A:J,8,FALSE)</f>
        <v>CA</v>
      </c>
      <c r="K1545" s="3" t="str">
        <f>VLOOKUP(B1545,Customers!A:J,7,FALSE)</f>
        <v>Sacramento</v>
      </c>
      <c r="L1545" s="3" t="str">
        <f>VLOOKUP(H1545,Staff!A:I,9,FALSE)</f>
        <v>Mireya Copeland</v>
      </c>
      <c r="M1545" s="3" t="str">
        <f>VLOOKUP(G1545,Store!A:H,2,FALSE)</f>
        <v>Santa Cruz Bikes</v>
      </c>
      <c r="N1545" s="3" t="str">
        <f>VLOOKUP(G1545,Store!A:H,6,FALSE)</f>
        <v>Santa Cruz</v>
      </c>
      <c r="O1545" s="3" t="s">
        <v>15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">
        <v>1545.0</v>
      </c>
      <c r="B1546" s="1">
        <v>67.0</v>
      </c>
      <c r="C1546" s="1">
        <v>1.0</v>
      </c>
      <c r="D1546" s="4">
        <v>43207.0</v>
      </c>
      <c r="E1546" s="4">
        <v>43207.0</v>
      </c>
      <c r="F1546" s="1" t="s">
        <v>18</v>
      </c>
      <c r="G1546" s="1">
        <v>1.0</v>
      </c>
      <c r="H1546" s="1">
        <v>3.0</v>
      </c>
      <c r="I1546" s="3" t="str">
        <f>VLOOKUP(B1546,Customers!A:J, 10,FALSE)</f>
        <v>Tommie Melton</v>
      </c>
      <c r="J1546" s="3" t="str">
        <f>VLOOKUP(B1546,Customers!A:J,8,FALSE)</f>
        <v>CA</v>
      </c>
      <c r="K1546" s="3" t="str">
        <f>VLOOKUP(B1546,Customers!A:J,7,FALSE)</f>
        <v>Sacramento</v>
      </c>
      <c r="L1546" s="3" t="str">
        <f>VLOOKUP(H1546,Staff!A:I,9,FALSE)</f>
        <v>Genna Serrano</v>
      </c>
      <c r="M1546" s="3" t="str">
        <f>VLOOKUP(G1546,Store!A:H,2,FALSE)</f>
        <v>Santa Cruz Bikes</v>
      </c>
      <c r="N1546" s="3" t="str">
        <f>VLOOKUP(G1546,Store!A:H,6,FALSE)</f>
        <v>Santa Cruz</v>
      </c>
      <c r="O1546" s="3" t="s">
        <v>15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">
        <v>1546.0</v>
      </c>
      <c r="B1547" s="1">
        <v>91.0</v>
      </c>
      <c r="C1547" s="1">
        <v>2.0</v>
      </c>
      <c r="D1547" s="4">
        <v>43207.0</v>
      </c>
      <c r="E1547" s="4">
        <v>43207.0</v>
      </c>
      <c r="F1547" s="1" t="s">
        <v>18</v>
      </c>
      <c r="G1547" s="1">
        <v>1.0</v>
      </c>
      <c r="H1547" s="1">
        <v>3.0</v>
      </c>
      <c r="I1547" s="3" t="str">
        <f>VLOOKUP(B1547,Customers!A:J, 10,FALSE)</f>
        <v>Marvin Mullins</v>
      </c>
      <c r="J1547" s="3" t="str">
        <f>VLOOKUP(B1547,Customers!A:J,8,FALSE)</f>
        <v>CA</v>
      </c>
      <c r="K1547" s="3" t="str">
        <f>VLOOKUP(B1547,Customers!A:J,7,FALSE)</f>
        <v>San Diego</v>
      </c>
      <c r="L1547" s="3" t="str">
        <f>VLOOKUP(H1547,Staff!A:I,9,FALSE)</f>
        <v>Genna Serrano</v>
      </c>
      <c r="M1547" s="3" t="str">
        <f>VLOOKUP(G1547,Store!A:H,2,FALSE)</f>
        <v>Santa Cruz Bikes</v>
      </c>
      <c r="N1547" s="3" t="str">
        <f>VLOOKUP(G1547,Store!A:H,6,FALSE)</f>
        <v>Santa Cruz</v>
      </c>
      <c r="O1547" s="3" t="s">
        <v>15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">
        <v>1547.0</v>
      </c>
      <c r="B1548" s="1">
        <v>169.0</v>
      </c>
      <c r="C1548" s="1">
        <v>1.0</v>
      </c>
      <c r="D1548" s="4">
        <v>43207.0</v>
      </c>
      <c r="E1548" s="4">
        <v>43207.0</v>
      </c>
      <c r="F1548" s="1" t="s">
        <v>18</v>
      </c>
      <c r="G1548" s="1">
        <v>1.0</v>
      </c>
      <c r="H1548" s="1">
        <v>3.0</v>
      </c>
      <c r="I1548" s="3" t="str">
        <f>VLOOKUP(B1548,Customers!A:J, 10,FALSE)</f>
        <v>Karla Kirk</v>
      </c>
      <c r="J1548" s="3" t="str">
        <f>VLOOKUP(B1548,Customers!A:J,8,FALSE)</f>
        <v>CA</v>
      </c>
      <c r="K1548" s="3" t="str">
        <f>VLOOKUP(B1548,Customers!A:J,7,FALSE)</f>
        <v>Palos Verdes Peninsula</v>
      </c>
      <c r="L1548" s="3" t="str">
        <f>VLOOKUP(H1548,Staff!A:I,9,FALSE)</f>
        <v>Genna Serrano</v>
      </c>
      <c r="M1548" s="3" t="str">
        <f>VLOOKUP(G1548,Store!A:H,2,FALSE)</f>
        <v>Santa Cruz Bikes</v>
      </c>
      <c r="N1548" s="3" t="str">
        <f>VLOOKUP(G1548,Store!A:H,6,FALSE)</f>
        <v>Santa Cruz</v>
      </c>
      <c r="O1548" s="3" t="s">
        <v>15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">
        <v>1548.0</v>
      </c>
      <c r="B1549" s="1">
        <v>170.0</v>
      </c>
      <c r="C1549" s="1">
        <v>1.0</v>
      </c>
      <c r="D1549" s="4">
        <v>43207.0</v>
      </c>
      <c r="E1549" s="4">
        <v>43207.0</v>
      </c>
      <c r="F1549" s="1" t="s">
        <v>18</v>
      </c>
      <c r="G1549" s="1">
        <v>1.0</v>
      </c>
      <c r="H1549" s="1">
        <v>2.0</v>
      </c>
      <c r="I1549" s="3" t="str">
        <f>VLOOKUP(B1549,Customers!A:J, 10,FALSE)</f>
        <v>Regine Gonzales</v>
      </c>
      <c r="J1549" s="3" t="str">
        <f>VLOOKUP(B1549,Customers!A:J,8,FALSE)</f>
        <v>CA</v>
      </c>
      <c r="K1549" s="3" t="str">
        <f>VLOOKUP(B1549,Customers!A:J,7,FALSE)</f>
        <v>Oxnard</v>
      </c>
      <c r="L1549" s="3" t="str">
        <f>VLOOKUP(H1549,Staff!A:I,9,FALSE)</f>
        <v>Mireya Copeland</v>
      </c>
      <c r="M1549" s="3" t="str">
        <f>VLOOKUP(G1549,Store!A:H,2,FALSE)</f>
        <v>Santa Cruz Bikes</v>
      </c>
      <c r="N1549" s="3" t="str">
        <f>VLOOKUP(G1549,Store!A:H,6,FALSE)</f>
        <v>Santa Cruz</v>
      </c>
      <c r="O1549" s="3" t="s">
        <v>15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">
        <v>1549.0</v>
      </c>
      <c r="B1550" s="1">
        <v>17.0</v>
      </c>
      <c r="C1550" s="1">
        <v>1.0</v>
      </c>
      <c r="D1550" s="4">
        <v>43207.0</v>
      </c>
      <c r="E1550" s="4">
        <v>43207.0</v>
      </c>
      <c r="F1550" s="1" t="s">
        <v>18</v>
      </c>
      <c r="G1550" s="1">
        <v>2.0</v>
      </c>
      <c r="H1550" s="1">
        <v>7.0</v>
      </c>
      <c r="I1550" s="3" t="str">
        <f>VLOOKUP(B1550,Customers!A:J, 10,FALSE)</f>
        <v>Caren Stephens</v>
      </c>
      <c r="J1550" s="3" t="str">
        <f>VLOOKUP(B1550,Customers!A:J,8,FALSE)</f>
        <v>NY</v>
      </c>
      <c r="K1550" s="3" t="str">
        <f>VLOOKUP(B1550,Customers!A:J,7,FALSE)</f>
        <v>Scarsdale</v>
      </c>
      <c r="L1550" s="3" t="str">
        <f>VLOOKUP(H1550,Staff!A:I,9,FALSE)</f>
        <v>Venita Daniel</v>
      </c>
      <c r="M1550" s="3" t="str">
        <f>VLOOKUP(G1550,Store!A:H,2,FALSE)</f>
        <v>Baldwin Bikes</v>
      </c>
      <c r="N1550" s="3" t="str">
        <f>VLOOKUP(G1550,Store!A:H,6,FALSE)</f>
        <v>Baldwin</v>
      </c>
      <c r="O1550" s="3" t="s">
        <v>16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">
        <v>1550.0</v>
      </c>
      <c r="B1551" s="1">
        <v>39.0</v>
      </c>
      <c r="C1551" s="1">
        <v>1.0</v>
      </c>
      <c r="D1551" s="4">
        <v>43207.0</v>
      </c>
      <c r="E1551" s="4">
        <v>43207.0</v>
      </c>
      <c r="F1551" s="1" t="s">
        <v>18</v>
      </c>
      <c r="G1551" s="1">
        <v>2.0</v>
      </c>
      <c r="H1551" s="1">
        <v>6.0</v>
      </c>
      <c r="I1551" s="3" t="str">
        <f>VLOOKUP(B1551,Customers!A:J, 10,FALSE)</f>
        <v>Janetta Aguirre</v>
      </c>
      <c r="J1551" s="3" t="str">
        <f>VLOOKUP(B1551,Customers!A:J,8,FALSE)</f>
        <v>NY</v>
      </c>
      <c r="K1551" s="3" t="str">
        <f>VLOOKUP(B1551,Customers!A:J,7,FALSE)</f>
        <v>Lancaster</v>
      </c>
      <c r="L1551" s="3" t="str">
        <f>VLOOKUP(H1551,Staff!A:I,9,FALSE)</f>
        <v>Marcelene Boyer</v>
      </c>
      <c r="M1551" s="3" t="str">
        <f>VLOOKUP(G1551,Store!A:H,2,FALSE)</f>
        <v>Baldwin Bikes</v>
      </c>
      <c r="N1551" s="3" t="str">
        <f>VLOOKUP(G1551,Store!A:H,6,FALSE)</f>
        <v>Baldwin</v>
      </c>
      <c r="O1551" s="3" t="s">
        <v>16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">
        <v>1551.0</v>
      </c>
      <c r="B1552" s="1">
        <v>70.0</v>
      </c>
      <c r="C1552" s="1">
        <v>1.0</v>
      </c>
      <c r="D1552" s="4">
        <v>43207.0</v>
      </c>
      <c r="E1552" s="4">
        <v>43207.0</v>
      </c>
      <c r="F1552" s="1" t="s">
        <v>18</v>
      </c>
      <c r="G1552" s="1">
        <v>2.0</v>
      </c>
      <c r="H1552" s="1">
        <v>7.0</v>
      </c>
      <c r="I1552" s="3" t="str">
        <f>VLOOKUP(B1552,Customers!A:J, 10,FALSE)</f>
        <v>Tomasa Carson</v>
      </c>
      <c r="J1552" s="3" t="str">
        <f>VLOOKUP(B1552,Customers!A:J,8,FALSE)</f>
        <v>NY</v>
      </c>
      <c r="K1552" s="3" t="str">
        <f>VLOOKUP(B1552,Customers!A:J,7,FALSE)</f>
        <v>East Elmhurst</v>
      </c>
      <c r="L1552" s="3" t="str">
        <f>VLOOKUP(H1552,Staff!A:I,9,FALSE)</f>
        <v>Venita Daniel</v>
      </c>
      <c r="M1552" s="3" t="str">
        <f>VLOOKUP(G1552,Store!A:H,2,FALSE)</f>
        <v>Baldwin Bikes</v>
      </c>
      <c r="N1552" s="3" t="str">
        <f>VLOOKUP(G1552,Store!A:H,6,FALSE)</f>
        <v>Baldwin</v>
      </c>
      <c r="O1552" s="3" t="s">
        <v>16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">
        <v>1552.0</v>
      </c>
      <c r="B1553" s="1">
        <v>73.0</v>
      </c>
      <c r="C1553" s="1">
        <v>1.0</v>
      </c>
      <c r="D1553" s="4">
        <v>43207.0</v>
      </c>
      <c r="E1553" s="4">
        <v>43207.0</v>
      </c>
      <c r="F1553" s="1" t="s">
        <v>18</v>
      </c>
      <c r="G1553" s="1">
        <v>2.0</v>
      </c>
      <c r="H1553" s="1">
        <v>7.0</v>
      </c>
      <c r="I1553" s="3" t="str">
        <f>VLOOKUP(B1553,Customers!A:J, 10,FALSE)</f>
        <v>Melanie Hayes</v>
      </c>
      <c r="J1553" s="3" t="str">
        <f>VLOOKUP(B1553,Customers!A:J,8,FALSE)</f>
        <v>NY</v>
      </c>
      <c r="K1553" s="3" t="str">
        <f>VLOOKUP(B1553,Customers!A:J,7,FALSE)</f>
        <v>Liverpool</v>
      </c>
      <c r="L1553" s="3" t="str">
        <f>VLOOKUP(H1553,Staff!A:I,9,FALSE)</f>
        <v>Venita Daniel</v>
      </c>
      <c r="M1553" s="3" t="str">
        <f>VLOOKUP(G1553,Store!A:H,2,FALSE)</f>
        <v>Baldwin Bikes</v>
      </c>
      <c r="N1553" s="3" t="str">
        <f>VLOOKUP(G1553,Store!A:H,6,FALSE)</f>
        <v>Baldwin</v>
      </c>
      <c r="O1553" s="3" t="s">
        <v>16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">
        <v>1553.0</v>
      </c>
      <c r="B1554" s="1">
        <v>30.0</v>
      </c>
      <c r="C1554" s="1">
        <v>2.0</v>
      </c>
      <c r="D1554" s="4">
        <v>43208.0</v>
      </c>
      <c r="E1554" s="4">
        <v>43208.0</v>
      </c>
      <c r="F1554" s="1" t="s">
        <v>18</v>
      </c>
      <c r="G1554" s="1">
        <v>1.0</v>
      </c>
      <c r="H1554" s="1">
        <v>3.0</v>
      </c>
      <c r="I1554" s="3" t="str">
        <f>VLOOKUP(B1554,Customers!A:J, 10,FALSE)</f>
        <v>Jamaal Albert</v>
      </c>
      <c r="J1554" s="3" t="str">
        <f>VLOOKUP(B1554,Customers!A:J,8,FALSE)</f>
        <v>CA</v>
      </c>
      <c r="K1554" s="3" t="str">
        <f>VLOOKUP(B1554,Customers!A:J,7,FALSE)</f>
        <v>Torrance</v>
      </c>
      <c r="L1554" s="3" t="str">
        <f>VLOOKUP(H1554,Staff!A:I,9,FALSE)</f>
        <v>Genna Serrano</v>
      </c>
      <c r="M1554" s="3" t="str">
        <f>VLOOKUP(G1554,Store!A:H,2,FALSE)</f>
        <v>Santa Cruz Bikes</v>
      </c>
      <c r="N1554" s="3" t="str">
        <f>VLOOKUP(G1554,Store!A:H,6,FALSE)</f>
        <v>Santa Cruz</v>
      </c>
      <c r="O1554" s="3" t="s">
        <v>15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">
        <v>1554.0</v>
      </c>
      <c r="B1555" s="1">
        <v>172.0</v>
      </c>
      <c r="C1555" s="1">
        <v>1.0</v>
      </c>
      <c r="D1555" s="4">
        <v>43208.0</v>
      </c>
      <c r="E1555" s="4">
        <v>43208.0</v>
      </c>
      <c r="F1555" s="1" t="s">
        <v>18</v>
      </c>
      <c r="G1555" s="1">
        <v>1.0</v>
      </c>
      <c r="H1555" s="1">
        <v>3.0</v>
      </c>
      <c r="I1555" s="3" t="str">
        <f>VLOOKUP(B1555,Customers!A:J, 10,FALSE)</f>
        <v>Jeanie Kirkland</v>
      </c>
      <c r="J1555" s="3" t="str">
        <f>VLOOKUP(B1555,Customers!A:J,8,FALSE)</f>
        <v>CA</v>
      </c>
      <c r="K1555" s="3" t="str">
        <f>VLOOKUP(B1555,Customers!A:J,7,FALSE)</f>
        <v>Santa Clara</v>
      </c>
      <c r="L1555" s="3" t="str">
        <f>VLOOKUP(H1555,Staff!A:I,9,FALSE)</f>
        <v>Genna Serrano</v>
      </c>
      <c r="M1555" s="3" t="str">
        <f>VLOOKUP(G1555,Store!A:H,2,FALSE)</f>
        <v>Santa Cruz Bikes</v>
      </c>
      <c r="N1555" s="3" t="str">
        <f>VLOOKUP(G1555,Store!A:H,6,FALSE)</f>
        <v>Santa Cruz</v>
      </c>
      <c r="O1555" s="3" t="s">
        <v>15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">
        <v>1555.0</v>
      </c>
      <c r="B1556" s="1">
        <v>1.0</v>
      </c>
      <c r="C1556" s="1">
        <v>1.0</v>
      </c>
      <c r="D1556" s="4">
        <v>43208.0</v>
      </c>
      <c r="E1556" s="4">
        <v>43208.0</v>
      </c>
      <c r="F1556" s="1" t="s">
        <v>18</v>
      </c>
      <c r="G1556" s="1">
        <v>2.0</v>
      </c>
      <c r="H1556" s="1">
        <v>7.0</v>
      </c>
      <c r="I1556" s="3" t="str">
        <f>VLOOKUP(B1556,Customers!A:J, 10,FALSE)</f>
        <v>Debra Burks</v>
      </c>
      <c r="J1556" s="3" t="str">
        <f>VLOOKUP(B1556,Customers!A:J,8,FALSE)</f>
        <v>NY</v>
      </c>
      <c r="K1556" s="3" t="str">
        <f>VLOOKUP(B1556,Customers!A:J,7,FALSE)</f>
        <v>Orchard Park</v>
      </c>
      <c r="L1556" s="3" t="str">
        <f>VLOOKUP(H1556,Staff!A:I,9,FALSE)</f>
        <v>Venita Daniel</v>
      </c>
      <c r="M1556" s="3" t="str">
        <f>VLOOKUP(G1556,Store!A:H,2,FALSE)</f>
        <v>Baldwin Bikes</v>
      </c>
      <c r="N1556" s="3" t="str">
        <f>VLOOKUP(G1556,Store!A:H,6,FALSE)</f>
        <v>Baldwin</v>
      </c>
      <c r="O1556" s="3" t="s">
        <v>16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">
        <v>1556.0</v>
      </c>
      <c r="B1557" s="1">
        <v>4.0</v>
      </c>
      <c r="C1557" s="1">
        <v>2.0</v>
      </c>
      <c r="D1557" s="4">
        <v>43208.0</v>
      </c>
      <c r="E1557" s="4">
        <v>43208.0</v>
      </c>
      <c r="F1557" s="1" t="s">
        <v>18</v>
      </c>
      <c r="G1557" s="1">
        <v>2.0</v>
      </c>
      <c r="H1557" s="1">
        <v>6.0</v>
      </c>
      <c r="I1557" s="3" t="str">
        <f>VLOOKUP(B1557,Customers!A:J, 10,FALSE)</f>
        <v>Daryl Spence</v>
      </c>
      <c r="J1557" s="3" t="str">
        <f>VLOOKUP(B1557,Customers!A:J,8,FALSE)</f>
        <v>NY</v>
      </c>
      <c r="K1557" s="3" t="str">
        <f>VLOOKUP(B1557,Customers!A:J,7,FALSE)</f>
        <v>Uniondale</v>
      </c>
      <c r="L1557" s="3" t="str">
        <f>VLOOKUP(H1557,Staff!A:I,9,FALSE)</f>
        <v>Marcelene Boyer</v>
      </c>
      <c r="M1557" s="3" t="str">
        <f>VLOOKUP(G1557,Store!A:H,2,FALSE)</f>
        <v>Baldwin Bikes</v>
      </c>
      <c r="N1557" s="3" t="str">
        <f>VLOOKUP(G1557,Store!A:H,6,FALSE)</f>
        <v>Baldwin</v>
      </c>
      <c r="O1557" s="3" t="s">
        <v>16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">
        <v>1557.0</v>
      </c>
      <c r="B1558" s="1">
        <v>121.0</v>
      </c>
      <c r="C1558" s="1">
        <v>2.0</v>
      </c>
      <c r="D1558" s="4">
        <v>43209.0</v>
      </c>
      <c r="E1558" s="4">
        <v>43209.0</v>
      </c>
      <c r="F1558" s="1" t="s">
        <v>18</v>
      </c>
      <c r="G1558" s="1">
        <v>1.0</v>
      </c>
      <c r="H1558" s="1">
        <v>3.0</v>
      </c>
      <c r="I1558" s="3" t="str">
        <f>VLOOKUP(B1558,Customers!A:J, 10,FALSE)</f>
        <v>Lucy Woods</v>
      </c>
      <c r="J1558" s="3" t="str">
        <f>VLOOKUP(B1558,Customers!A:J,8,FALSE)</f>
        <v>CA</v>
      </c>
      <c r="K1558" s="3" t="str">
        <f>VLOOKUP(B1558,Customers!A:J,7,FALSE)</f>
        <v>Palos Verdes Peninsula</v>
      </c>
      <c r="L1558" s="3" t="str">
        <f>VLOOKUP(H1558,Staff!A:I,9,FALSE)</f>
        <v>Genna Serrano</v>
      </c>
      <c r="M1558" s="3" t="str">
        <f>VLOOKUP(G1558,Store!A:H,2,FALSE)</f>
        <v>Santa Cruz Bikes</v>
      </c>
      <c r="N1558" s="3" t="str">
        <f>VLOOKUP(G1558,Store!A:H,6,FALSE)</f>
        <v>Santa Cruz</v>
      </c>
      <c r="O1558" s="3" t="s">
        <v>15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">
        <v>1558.0</v>
      </c>
      <c r="B1559" s="1">
        <v>63.0</v>
      </c>
      <c r="C1559" s="1">
        <v>1.0</v>
      </c>
      <c r="D1559" s="4">
        <v>43209.0</v>
      </c>
      <c r="E1559" s="4">
        <v>43209.0</v>
      </c>
      <c r="F1559" s="1" t="s">
        <v>18</v>
      </c>
      <c r="G1559" s="1">
        <v>2.0</v>
      </c>
      <c r="H1559" s="1">
        <v>6.0</v>
      </c>
      <c r="I1559" s="3" t="str">
        <f>VLOOKUP(B1559,Customers!A:J, 10,FALSE)</f>
        <v>Tenisha Lyons</v>
      </c>
      <c r="J1559" s="3" t="str">
        <f>VLOOKUP(B1559,Customers!A:J,8,FALSE)</f>
        <v>NY</v>
      </c>
      <c r="K1559" s="3" t="str">
        <f>VLOOKUP(B1559,Customers!A:J,7,FALSE)</f>
        <v>Amityville</v>
      </c>
      <c r="L1559" s="3" t="str">
        <f>VLOOKUP(H1559,Staff!A:I,9,FALSE)</f>
        <v>Marcelene Boyer</v>
      </c>
      <c r="M1559" s="3" t="str">
        <f>VLOOKUP(G1559,Store!A:H,2,FALSE)</f>
        <v>Baldwin Bikes</v>
      </c>
      <c r="N1559" s="3" t="str">
        <f>VLOOKUP(G1559,Store!A:H,6,FALSE)</f>
        <v>Baldwin</v>
      </c>
      <c r="O1559" s="3" t="s">
        <v>16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">
        <v>1559.0</v>
      </c>
      <c r="B1560" s="1">
        <v>42.0</v>
      </c>
      <c r="C1560" s="1">
        <v>2.0</v>
      </c>
      <c r="D1560" s="4">
        <v>43210.0</v>
      </c>
      <c r="E1560" s="4">
        <v>43210.0</v>
      </c>
      <c r="F1560" s="1" t="s">
        <v>18</v>
      </c>
      <c r="G1560" s="1">
        <v>2.0</v>
      </c>
      <c r="H1560" s="1">
        <v>6.0</v>
      </c>
      <c r="I1560" s="3" t="str">
        <f>VLOOKUP(B1560,Customers!A:J, 10,FALSE)</f>
        <v>Tangela Quinn</v>
      </c>
      <c r="J1560" s="3" t="str">
        <f>VLOOKUP(B1560,Customers!A:J,8,FALSE)</f>
        <v>NY</v>
      </c>
      <c r="K1560" s="3" t="str">
        <f>VLOOKUP(B1560,Customers!A:J,7,FALSE)</f>
        <v>Richmond Hill</v>
      </c>
      <c r="L1560" s="3" t="str">
        <f>VLOOKUP(H1560,Staff!A:I,9,FALSE)</f>
        <v>Marcelene Boyer</v>
      </c>
      <c r="M1560" s="3" t="str">
        <f>VLOOKUP(G1560,Store!A:H,2,FALSE)</f>
        <v>Baldwin Bikes</v>
      </c>
      <c r="N1560" s="3" t="str">
        <f>VLOOKUP(G1560,Store!A:H,6,FALSE)</f>
        <v>Baldwin</v>
      </c>
      <c r="O1560" s="3" t="s">
        <v>16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">
        <v>1560.0</v>
      </c>
      <c r="B1561" s="1">
        <v>57.0</v>
      </c>
      <c r="C1561" s="1">
        <v>1.0</v>
      </c>
      <c r="D1561" s="4">
        <v>43210.0</v>
      </c>
      <c r="E1561" s="4">
        <v>43210.0</v>
      </c>
      <c r="F1561" s="1" t="s">
        <v>18</v>
      </c>
      <c r="G1561" s="1">
        <v>2.0</v>
      </c>
      <c r="H1561" s="1">
        <v>7.0</v>
      </c>
      <c r="I1561" s="3" t="str">
        <f>VLOOKUP(B1561,Customers!A:J, 10,FALSE)</f>
        <v>Pamala Henry</v>
      </c>
      <c r="J1561" s="3" t="str">
        <f>VLOOKUP(B1561,Customers!A:J,8,FALSE)</f>
        <v>NY</v>
      </c>
      <c r="K1561" s="3" t="str">
        <f>VLOOKUP(B1561,Customers!A:J,7,FALSE)</f>
        <v>Bronx</v>
      </c>
      <c r="L1561" s="3" t="str">
        <f>VLOOKUP(H1561,Staff!A:I,9,FALSE)</f>
        <v>Venita Daniel</v>
      </c>
      <c r="M1561" s="3" t="str">
        <f>VLOOKUP(G1561,Store!A:H,2,FALSE)</f>
        <v>Baldwin Bikes</v>
      </c>
      <c r="N1561" s="3" t="str">
        <f>VLOOKUP(G1561,Store!A:H,6,FALSE)</f>
        <v>Baldwin</v>
      </c>
      <c r="O1561" s="3" t="s">
        <v>16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">
        <v>1561.0</v>
      </c>
      <c r="B1562" s="1">
        <v>65.0</v>
      </c>
      <c r="C1562" s="1">
        <v>2.0</v>
      </c>
      <c r="D1562" s="4">
        <v>43210.0</v>
      </c>
      <c r="E1562" s="4">
        <v>43210.0</v>
      </c>
      <c r="F1562" s="1" t="s">
        <v>18</v>
      </c>
      <c r="G1562" s="1">
        <v>2.0</v>
      </c>
      <c r="H1562" s="1">
        <v>7.0</v>
      </c>
      <c r="I1562" s="3" t="str">
        <f>VLOOKUP(B1562,Customers!A:J, 10,FALSE)</f>
        <v>Kanesha Vega</v>
      </c>
      <c r="J1562" s="3" t="str">
        <f>VLOOKUP(B1562,Customers!A:J,8,FALSE)</f>
        <v>NY</v>
      </c>
      <c r="K1562" s="3" t="str">
        <f>VLOOKUP(B1562,Customers!A:J,7,FALSE)</f>
        <v>Rome</v>
      </c>
      <c r="L1562" s="3" t="str">
        <f>VLOOKUP(H1562,Staff!A:I,9,FALSE)</f>
        <v>Venita Daniel</v>
      </c>
      <c r="M1562" s="3" t="str">
        <f>VLOOKUP(G1562,Store!A:H,2,FALSE)</f>
        <v>Baldwin Bikes</v>
      </c>
      <c r="N1562" s="3" t="str">
        <f>VLOOKUP(G1562,Store!A:H,6,FALSE)</f>
        <v>Baldwin</v>
      </c>
      <c r="O1562" s="3" t="s">
        <v>16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">
        <v>1562.0</v>
      </c>
      <c r="B1563" s="1">
        <v>88.0</v>
      </c>
      <c r="C1563" s="1">
        <v>1.0</v>
      </c>
      <c r="D1563" s="4">
        <v>43210.0</v>
      </c>
      <c r="E1563" s="4">
        <v>43210.0</v>
      </c>
      <c r="F1563" s="1" t="s">
        <v>18</v>
      </c>
      <c r="G1563" s="1">
        <v>2.0</v>
      </c>
      <c r="H1563" s="1">
        <v>7.0</v>
      </c>
      <c r="I1563" s="3" t="str">
        <f>VLOOKUP(B1563,Customers!A:J, 10,FALSE)</f>
        <v>Titus Bullock</v>
      </c>
      <c r="J1563" s="3" t="str">
        <f>VLOOKUP(B1563,Customers!A:J,8,FALSE)</f>
        <v>NY</v>
      </c>
      <c r="K1563" s="3" t="str">
        <f>VLOOKUP(B1563,Customers!A:J,7,FALSE)</f>
        <v>Hollis</v>
      </c>
      <c r="L1563" s="3" t="str">
        <f>VLOOKUP(H1563,Staff!A:I,9,FALSE)</f>
        <v>Venita Daniel</v>
      </c>
      <c r="M1563" s="3" t="str">
        <f>VLOOKUP(G1563,Store!A:H,2,FALSE)</f>
        <v>Baldwin Bikes</v>
      </c>
      <c r="N1563" s="3" t="str">
        <f>VLOOKUP(G1563,Store!A:H,6,FALSE)</f>
        <v>Baldwin</v>
      </c>
      <c r="O1563" s="3" t="s">
        <v>16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">
        <v>1563.0</v>
      </c>
      <c r="B1564" s="1">
        <v>77.0</v>
      </c>
      <c r="C1564" s="1">
        <v>2.0</v>
      </c>
      <c r="D1564" s="4">
        <v>43210.0</v>
      </c>
      <c r="E1564" s="4">
        <v>43210.0</v>
      </c>
      <c r="F1564" s="1" t="s">
        <v>18</v>
      </c>
      <c r="G1564" s="1">
        <v>3.0</v>
      </c>
      <c r="H1564" s="1">
        <v>9.0</v>
      </c>
      <c r="I1564" s="3" t="str">
        <f>VLOOKUP(B1564,Customers!A:J, 10,FALSE)</f>
        <v>Keri Bridges</v>
      </c>
      <c r="J1564" s="3" t="str">
        <f>VLOOKUP(B1564,Customers!A:J,8,FALSE)</f>
        <v>TX</v>
      </c>
      <c r="K1564" s="3" t="str">
        <f>VLOOKUP(B1564,Customers!A:J,7,FALSE)</f>
        <v>Richardson</v>
      </c>
      <c r="L1564" s="3" t="str">
        <f>VLOOKUP(H1564,Staff!A:I,9,FALSE)</f>
        <v>Layla Terrell</v>
      </c>
      <c r="M1564" s="3" t="str">
        <f>VLOOKUP(G1564,Store!A:H,2,FALSE)</f>
        <v>Rowlett Bikes</v>
      </c>
      <c r="N1564" s="3" t="str">
        <f>VLOOKUP(G1564,Store!A:H,6,FALSE)</f>
        <v>Rowlett</v>
      </c>
      <c r="O1564" s="3" t="s">
        <v>17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">
        <v>1564.0</v>
      </c>
      <c r="B1565" s="1">
        <v>46.0</v>
      </c>
      <c r="C1565" s="1">
        <v>1.0</v>
      </c>
      <c r="D1565" s="4">
        <v>43211.0</v>
      </c>
      <c r="E1565" s="4">
        <v>43211.0</v>
      </c>
      <c r="F1565" s="1" t="s">
        <v>18</v>
      </c>
      <c r="G1565" s="1">
        <v>1.0</v>
      </c>
      <c r="H1565" s="1">
        <v>3.0</v>
      </c>
      <c r="I1565" s="3" t="str">
        <f>VLOOKUP(B1565,Customers!A:J, 10,FALSE)</f>
        <v>Monika Berg</v>
      </c>
      <c r="J1565" s="3" t="str">
        <f>VLOOKUP(B1565,Customers!A:J,8,FALSE)</f>
        <v>CA</v>
      </c>
      <c r="K1565" s="3" t="str">
        <f>VLOOKUP(B1565,Customers!A:J,7,FALSE)</f>
        <v>Encino</v>
      </c>
      <c r="L1565" s="3" t="str">
        <f>VLOOKUP(H1565,Staff!A:I,9,FALSE)</f>
        <v>Genna Serrano</v>
      </c>
      <c r="M1565" s="3" t="str">
        <f>VLOOKUP(G1565,Store!A:H,2,FALSE)</f>
        <v>Santa Cruz Bikes</v>
      </c>
      <c r="N1565" s="3" t="str">
        <f>VLOOKUP(G1565,Store!A:H,6,FALSE)</f>
        <v>Santa Cruz</v>
      </c>
      <c r="O1565" s="3" t="s">
        <v>15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">
        <v>1565.0</v>
      </c>
      <c r="B1566" s="1">
        <v>60.0</v>
      </c>
      <c r="C1566" s="1">
        <v>2.0</v>
      </c>
      <c r="D1566" s="4">
        <v>43211.0</v>
      </c>
      <c r="E1566" s="4">
        <v>43211.0</v>
      </c>
      <c r="F1566" s="1" t="s">
        <v>18</v>
      </c>
      <c r="G1566" s="1">
        <v>1.0</v>
      </c>
      <c r="H1566" s="1">
        <v>2.0</v>
      </c>
      <c r="I1566" s="3" t="str">
        <f>VLOOKUP(B1566,Customers!A:J, 10,FALSE)</f>
        <v>Neil Mccall</v>
      </c>
      <c r="J1566" s="3" t="str">
        <f>VLOOKUP(B1566,Customers!A:J,8,FALSE)</f>
        <v>CA</v>
      </c>
      <c r="K1566" s="3" t="str">
        <f>VLOOKUP(B1566,Customers!A:J,7,FALSE)</f>
        <v>San Carlos</v>
      </c>
      <c r="L1566" s="3" t="str">
        <f>VLOOKUP(H1566,Staff!A:I,9,FALSE)</f>
        <v>Mireya Copeland</v>
      </c>
      <c r="M1566" s="3" t="str">
        <f>VLOOKUP(G1566,Store!A:H,2,FALSE)</f>
        <v>Santa Cruz Bikes</v>
      </c>
      <c r="N1566" s="3" t="str">
        <f>VLOOKUP(G1566,Store!A:H,6,FALSE)</f>
        <v>Santa Cruz</v>
      </c>
      <c r="O1566" s="3" t="s">
        <v>15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">
        <v>1566.0</v>
      </c>
      <c r="B1567" s="1">
        <v>72.0</v>
      </c>
      <c r="C1567" s="1">
        <v>1.0</v>
      </c>
      <c r="D1567" s="4">
        <v>43211.0</v>
      </c>
      <c r="E1567" s="4">
        <v>43211.0</v>
      </c>
      <c r="F1567" s="1" t="s">
        <v>18</v>
      </c>
      <c r="G1567" s="1">
        <v>1.0</v>
      </c>
      <c r="H1567" s="1">
        <v>3.0</v>
      </c>
      <c r="I1567" s="3" t="str">
        <f>VLOOKUP(B1567,Customers!A:J, 10,FALSE)</f>
        <v>Petronila Norris</v>
      </c>
      <c r="J1567" s="3" t="str">
        <f>VLOOKUP(B1567,Customers!A:J,8,FALSE)</f>
        <v>CA</v>
      </c>
      <c r="K1567" s="3" t="str">
        <f>VLOOKUP(B1567,Customers!A:J,7,FALSE)</f>
        <v>South El Monte</v>
      </c>
      <c r="L1567" s="3" t="str">
        <f>VLOOKUP(H1567,Staff!A:I,9,FALSE)</f>
        <v>Genna Serrano</v>
      </c>
      <c r="M1567" s="3" t="str">
        <f>VLOOKUP(G1567,Store!A:H,2,FALSE)</f>
        <v>Santa Cruz Bikes</v>
      </c>
      <c r="N1567" s="3" t="str">
        <f>VLOOKUP(G1567,Store!A:H,6,FALSE)</f>
        <v>Santa Cruz</v>
      </c>
      <c r="O1567" s="3" t="s">
        <v>15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">
        <v>1567.0</v>
      </c>
      <c r="B1568" s="1">
        <v>89.0</v>
      </c>
      <c r="C1568" s="1">
        <v>2.0</v>
      </c>
      <c r="D1568" s="4">
        <v>43211.0</v>
      </c>
      <c r="E1568" s="4">
        <v>43211.0</v>
      </c>
      <c r="F1568" s="1" t="s">
        <v>18</v>
      </c>
      <c r="G1568" s="1">
        <v>1.0</v>
      </c>
      <c r="H1568" s="1">
        <v>2.0</v>
      </c>
      <c r="I1568" s="3" t="str">
        <f>VLOOKUP(B1568,Customers!A:J, 10,FALSE)</f>
        <v>Arvilla Osborn</v>
      </c>
      <c r="J1568" s="3" t="str">
        <f>VLOOKUP(B1568,Customers!A:J,8,FALSE)</f>
        <v>CA</v>
      </c>
      <c r="K1568" s="3" t="str">
        <f>VLOOKUP(B1568,Customers!A:J,7,FALSE)</f>
        <v>Upland</v>
      </c>
      <c r="L1568" s="3" t="str">
        <f>VLOOKUP(H1568,Staff!A:I,9,FALSE)</f>
        <v>Mireya Copeland</v>
      </c>
      <c r="M1568" s="3" t="str">
        <f>VLOOKUP(G1568,Store!A:H,2,FALSE)</f>
        <v>Santa Cruz Bikes</v>
      </c>
      <c r="N1568" s="3" t="str">
        <f>VLOOKUP(G1568,Store!A:H,6,FALSE)</f>
        <v>Santa Cruz</v>
      </c>
      <c r="O1568" s="3" t="s">
        <v>15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">
        <v>1568.0</v>
      </c>
      <c r="B1569" s="1">
        <v>192.0</v>
      </c>
      <c r="C1569" s="1">
        <v>2.0</v>
      </c>
      <c r="D1569" s="4">
        <v>43211.0</v>
      </c>
      <c r="E1569" s="4">
        <v>43211.0</v>
      </c>
      <c r="F1569" s="1" t="s">
        <v>18</v>
      </c>
      <c r="G1569" s="1">
        <v>1.0</v>
      </c>
      <c r="H1569" s="1">
        <v>3.0</v>
      </c>
      <c r="I1569" s="3" t="str">
        <f>VLOOKUP(B1569,Customers!A:J, 10,FALSE)</f>
        <v>Bong Hebert</v>
      </c>
      <c r="J1569" s="3" t="str">
        <f>VLOOKUP(B1569,Customers!A:J,8,FALSE)</f>
        <v>CA</v>
      </c>
      <c r="K1569" s="3" t="str">
        <f>VLOOKUP(B1569,Customers!A:J,7,FALSE)</f>
        <v>Torrance</v>
      </c>
      <c r="L1569" s="3" t="str">
        <f>VLOOKUP(H1569,Staff!A:I,9,FALSE)</f>
        <v>Genna Serrano</v>
      </c>
      <c r="M1569" s="3" t="str">
        <f>VLOOKUP(G1569,Store!A:H,2,FALSE)</f>
        <v>Santa Cruz Bikes</v>
      </c>
      <c r="N1569" s="3" t="str">
        <f>VLOOKUP(G1569,Store!A:H,6,FALSE)</f>
        <v>Santa Cruz</v>
      </c>
      <c r="O1569" s="3" t="s">
        <v>15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">
        <v>1569.0</v>
      </c>
      <c r="B1570" s="1">
        <v>29.0</v>
      </c>
      <c r="C1570" s="1">
        <v>2.0</v>
      </c>
      <c r="D1570" s="4">
        <v>43212.0</v>
      </c>
      <c r="E1570" s="4">
        <v>43212.0</v>
      </c>
      <c r="F1570" s="1" t="s">
        <v>18</v>
      </c>
      <c r="G1570" s="1">
        <v>2.0</v>
      </c>
      <c r="H1570" s="1">
        <v>7.0</v>
      </c>
      <c r="I1570" s="3" t="str">
        <f>VLOOKUP(B1570,Customers!A:J, 10,FALSE)</f>
        <v>Syreeta Hendricks</v>
      </c>
      <c r="J1570" s="3" t="str">
        <f>VLOOKUP(B1570,Customers!A:J,8,FALSE)</f>
        <v>NY</v>
      </c>
      <c r="K1570" s="3" t="str">
        <f>VLOOKUP(B1570,Customers!A:J,7,FALSE)</f>
        <v>Mahopac</v>
      </c>
      <c r="L1570" s="3" t="str">
        <f>VLOOKUP(H1570,Staff!A:I,9,FALSE)</f>
        <v>Venita Daniel</v>
      </c>
      <c r="M1570" s="3" t="str">
        <f>VLOOKUP(G1570,Store!A:H,2,FALSE)</f>
        <v>Baldwin Bikes</v>
      </c>
      <c r="N1570" s="3" t="str">
        <f>VLOOKUP(G1570,Store!A:H,6,FALSE)</f>
        <v>Baldwin</v>
      </c>
      <c r="O1570" s="3" t="s">
        <v>16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">
        <v>1570.0</v>
      </c>
      <c r="B1571" s="1">
        <v>54.0</v>
      </c>
      <c r="C1571" s="1">
        <v>2.0</v>
      </c>
      <c r="D1571" s="4">
        <v>43212.0</v>
      </c>
      <c r="E1571" s="4">
        <v>43212.0</v>
      </c>
      <c r="F1571" s="1" t="s">
        <v>18</v>
      </c>
      <c r="G1571" s="1">
        <v>2.0</v>
      </c>
      <c r="H1571" s="1">
        <v>7.0</v>
      </c>
      <c r="I1571" s="3" t="str">
        <f>VLOOKUP(B1571,Customers!A:J, 10,FALSE)</f>
        <v>Fran Yang</v>
      </c>
      <c r="J1571" s="3" t="str">
        <f>VLOOKUP(B1571,Customers!A:J,8,FALSE)</f>
        <v>NY</v>
      </c>
      <c r="K1571" s="3" t="str">
        <f>VLOOKUP(B1571,Customers!A:J,7,FALSE)</f>
        <v>Utica</v>
      </c>
      <c r="L1571" s="3" t="str">
        <f>VLOOKUP(H1571,Staff!A:I,9,FALSE)</f>
        <v>Venita Daniel</v>
      </c>
      <c r="M1571" s="3" t="str">
        <f>VLOOKUP(G1571,Store!A:H,2,FALSE)</f>
        <v>Baldwin Bikes</v>
      </c>
      <c r="N1571" s="3" t="str">
        <f>VLOOKUP(G1571,Store!A:H,6,FALSE)</f>
        <v>Baldwin</v>
      </c>
      <c r="O1571" s="3" t="s">
        <v>16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">
        <v>1571.0</v>
      </c>
      <c r="B1572" s="1">
        <v>80.0</v>
      </c>
      <c r="C1572" s="1">
        <v>1.0</v>
      </c>
      <c r="D1572" s="4">
        <v>43212.0</v>
      </c>
      <c r="E1572" s="4">
        <v>43212.0</v>
      </c>
      <c r="F1572" s="1" t="s">
        <v>18</v>
      </c>
      <c r="G1572" s="1">
        <v>2.0</v>
      </c>
      <c r="H1572" s="1">
        <v>7.0</v>
      </c>
      <c r="I1572" s="3" t="str">
        <f>VLOOKUP(B1572,Customers!A:J, 10,FALSE)</f>
        <v>Sarai Mckee</v>
      </c>
      <c r="J1572" s="3" t="str">
        <f>VLOOKUP(B1572,Customers!A:J,8,FALSE)</f>
        <v>NY</v>
      </c>
      <c r="K1572" s="3" t="str">
        <f>VLOOKUP(B1572,Customers!A:J,7,FALSE)</f>
        <v>Buffalo</v>
      </c>
      <c r="L1572" s="3" t="str">
        <f>VLOOKUP(H1572,Staff!A:I,9,FALSE)</f>
        <v>Venita Daniel</v>
      </c>
      <c r="M1572" s="3" t="str">
        <f>VLOOKUP(G1572,Store!A:H,2,FALSE)</f>
        <v>Baldwin Bikes</v>
      </c>
      <c r="N1572" s="3" t="str">
        <f>VLOOKUP(G1572,Store!A:H,6,FALSE)</f>
        <v>Baldwin</v>
      </c>
      <c r="O1572" s="3" t="s">
        <v>16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">
        <v>1572.0</v>
      </c>
      <c r="B1573" s="1">
        <v>14.0</v>
      </c>
      <c r="C1573" s="1">
        <v>1.0</v>
      </c>
      <c r="D1573" s="4">
        <v>43212.0</v>
      </c>
      <c r="E1573" s="4">
        <v>43212.0</v>
      </c>
      <c r="F1573" s="1" t="s">
        <v>18</v>
      </c>
      <c r="G1573" s="1">
        <v>3.0</v>
      </c>
      <c r="H1573" s="1">
        <v>9.0</v>
      </c>
      <c r="I1573" s="3" t="str">
        <f>VLOOKUP(B1573,Customers!A:J, 10,FALSE)</f>
        <v>Garry Espinoza</v>
      </c>
      <c r="J1573" s="3" t="str">
        <f>VLOOKUP(B1573,Customers!A:J,8,FALSE)</f>
        <v>TX</v>
      </c>
      <c r="K1573" s="3" t="str">
        <f>VLOOKUP(B1573,Customers!A:J,7,FALSE)</f>
        <v>Forney</v>
      </c>
      <c r="L1573" s="3" t="str">
        <f>VLOOKUP(H1573,Staff!A:I,9,FALSE)</f>
        <v>Layla Terrell</v>
      </c>
      <c r="M1573" s="3" t="str">
        <f>VLOOKUP(G1573,Store!A:H,2,FALSE)</f>
        <v>Rowlett Bikes</v>
      </c>
      <c r="N1573" s="3" t="str">
        <f>VLOOKUP(G1573,Store!A:H,6,FALSE)</f>
        <v>Rowlett</v>
      </c>
      <c r="O1573" s="3" t="s">
        <v>17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">
        <v>1573.0</v>
      </c>
      <c r="B1574" s="1">
        <v>24.0</v>
      </c>
      <c r="C1574" s="1">
        <v>2.0</v>
      </c>
      <c r="D1574" s="4">
        <v>43213.0</v>
      </c>
      <c r="E1574" s="4">
        <v>43213.0</v>
      </c>
      <c r="F1574" s="1" t="s">
        <v>18</v>
      </c>
      <c r="G1574" s="1">
        <v>1.0</v>
      </c>
      <c r="H1574" s="1">
        <v>2.0</v>
      </c>
      <c r="I1574" s="3" t="str">
        <f>VLOOKUP(B1574,Customers!A:J, 10,FALSE)</f>
        <v>Corene Wall</v>
      </c>
      <c r="J1574" s="3" t="str">
        <f>VLOOKUP(B1574,Customers!A:J,8,FALSE)</f>
        <v>CA</v>
      </c>
      <c r="K1574" s="3" t="str">
        <f>VLOOKUP(B1574,Customers!A:J,7,FALSE)</f>
        <v>Atwater</v>
      </c>
      <c r="L1574" s="3" t="str">
        <f>VLOOKUP(H1574,Staff!A:I,9,FALSE)</f>
        <v>Mireya Copeland</v>
      </c>
      <c r="M1574" s="3" t="str">
        <f>VLOOKUP(G1574,Store!A:H,2,FALSE)</f>
        <v>Santa Cruz Bikes</v>
      </c>
      <c r="N1574" s="3" t="str">
        <f>VLOOKUP(G1574,Store!A:H,6,FALSE)</f>
        <v>Santa Cruz</v>
      </c>
      <c r="O1574" s="3" t="s">
        <v>15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">
        <v>1574.0</v>
      </c>
      <c r="B1575" s="1">
        <v>124.0</v>
      </c>
      <c r="C1575" s="1">
        <v>1.0</v>
      </c>
      <c r="D1575" s="4">
        <v>43213.0</v>
      </c>
      <c r="E1575" s="4">
        <v>43213.0</v>
      </c>
      <c r="F1575" s="1" t="s">
        <v>18</v>
      </c>
      <c r="G1575" s="1">
        <v>1.0</v>
      </c>
      <c r="H1575" s="1">
        <v>2.0</v>
      </c>
      <c r="I1575" s="3" t="str">
        <f>VLOOKUP(B1575,Customers!A:J, 10,FALSE)</f>
        <v>Jeni Booker</v>
      </c>
      <c r="J1575" s="3" t="str">
        <f>VLOOKUP(B1575,Customers!A:J,8,FALSE)</f>
        <v>CA</v>
      </c>
      <c r="K1575" s="3" t="str">
        <f>VLOOKUP(B1575,Customers!A:J,7,FALSE)</f>
        <v>South El Monte</v>
      </c>
      <c r="L1575" s="3" t="str">
        <f>VLOOKUP(H1575,Staff!A:I,9,FALSE)</f>
        <v>Mireya Copeland</v>
      </c>
      <c r="M1575" s="3" t="str">
        <f>VLOOKUP(G1575,Store!A:H,2,FALSE)</f>
        <v>Santa Cruz Bikes</v>
      </c>
      <c r="N1575" s="3" t="str">
        <f>VLOOKUP(G1575,Store!A:H,6,FALSE)</f>
        <v>Santa Cruz</v>
      </c>
      <c r="O1575" s="3" t="s">
        <v>15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">
        <v>1575.0</v>
      </c>
      <c r="B1576" s="1">
        <v>224.0</v>
      </c>
      <c r="C1576" s="1">
        <v>2.0</v>
      </c>
      <c r="D1576" s="4">
        <v>43213.0</v>
      </c>
      <c r="E1576" s="4">
        <v>43213.0</v>
      </c>
      <c r="F1576" s="1" t="s">
        <v>18</v>
      </c>
      <c r="G1576" s="1">
        <v>1.0</v>
      </c>
      <c r="H1576" s="1">
        <v>3.0</v>
      </c>
      <c r="I1576" s="3" t="str">
        <f>VLOOKUP(B1576,Customers!A:J, 10,FALSE)</f>
        <v>Moses Pope</v>
      </c>
      <c r="J1576" s="3" t="str">
        <f>VLOOKUP(B1576,Customers!A:J,8,FALSE)</f>
        <v>CA</v>
      </c>
      <c r="K1576" s="3" t="str">
        <f>VLOOKUP(B1576,Customers!A:J,7,FALSE)</f>
        <v>Lawndale</v>
      </c>
      <c r="L1576" s="3" t="str">
        <f>VLOOKUP(H1576,Staff!A:I,9,FALSE)</f>
        <v>Genna Serrano</v>
      </c>
      <c r="M1576" s="3" t="str">
        <f>VLOOKUP(G1576,Store!A:H,2,FALSE)</f>
        <v>Santa Cruz Bikes</v>
      </c>
      <c r="N1576" s="3" t="str">
        <f>VLOOKUP(G1576,Store!A:H,6,FALSE)</f>
        <v>Santa Cruz</v>
      </c>
      <c r="O1576" s="3" t="s">
        <v>15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">
        <v>1576.0</v>
      </c>
      <c r="B1577" s="1">
        <v>12.0</v>
      </c>
      <c r="C1577" s="1">
        <v>2.0</v>
      </c>
      <c r="D1577" s="4">
        <v>43213.0</v>
      </c>
      <c r="E1577" s="4">
        <v>43213.0</v>
      </c>
      <c r="F1577" s="1" t="s">
        <v>18</v>
      </c>
      <c r="G1577" s="1">
        <v>2.0</v>
      </c>
      <c r="H1577" s="1">
        <v>7.0</v>
      </c>
      <c r="I1577" s="3" t="str">
        <f>VLOOKUP(B1577,Customers!A:J, 10,FALSE)</f>
        <v>Robby Sykes</v>
      </c>
      <c r="J1577" s="3" t="str">
        <f>VLOOKUP(B1577,Customers!A:J,8,FALSE)</f>
        <v>NY</v>
      </c>
      <c r="K1577" s="3" t="str">
        <f>VLOOKUP(B1577,Customers!A:J,7,FALSE)</f>
        <v>Hempstead</v>
      </c>
      <c r="L1577" s="3" t="str">
        <f>VLOOKUP(H1577,Staff!A:I,9,FALSE)</f>
        <v>Venita Daniel</v>
      </c>
      <c r="M1577" s="3" t="str">
        <f>VLOOKUP(G1577,Store!A:H,2,FALSE)</f>
        <v>Baldwin Bikes</v>
      </c>
      <c r="N1577" s="3" t="str">
        <f>VLOOKUP(G1577,Store!A:H,6,FALSE)</f>
        <v>Baldwin</v>
      </c>
      <c r="O1577" s="3" t="s">
        <v>16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">
        <v>1577.0</v>
      </c>
      <c r="B1578" s="1">
        <v>48.0</v>
      </c>
      <c r="C1578" s="1">
        <v>1.0</v>
      </c>
      <c r="D1578" s="4">
        <v>43213.0</v>
      </c>
      <c r="E1578" s="4">
        <v>43213.0</v>
      </c>
      <c r="F1578" s="1" t="s">
        <v>18</v>
      </c>
      <c r="G1578" s="1">
        <v>2.0</v>
      </c>
      <c r="H1578" s="1">
        <v>7.0</v>
      </c>
      <c r="I1578" s="3" t="str">
        <f>VLOOKUP(B1578,Customers!A:J, 10,FALSE)</f>
        <v>Cesar Jackson</v>
      </c>
      <c r="J1578" s="3" t="str">
        <f>VLOOKUP(B1578,Customers!A:J,8,FALSE)</f>
        <v>NY</v>
      </c>
      <c r="K1578" s="3" t="str">
        <f>VLOOKUP(B1578,Customers!A:J,7,FALSE)</f>
        <v>Liverpool</v>
      </c>
      <c r="L1578" s="3" t="str">
        <f>VLOOKUP(H1578,Staff!A:I,9,FALSE)</f>
        <v>Venita Daniel</v>
      </c>
      <c r="M1578" s="3" t="str">
        <f>VLOOKUP(G1578,Store!A:H,2,FALSE)</f>
        <v>Baldwin Bikes</v>
      </c>
      <c r="N1578" s="3" t="str">
        <f>VLOOKUP(G1578,Store!A:H,6,FALSE)</f>
        <v>Baldwin</v>
      </c>
      <c r="O1578" s="3" t="s">
        <v>16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">
        <v>1578.0</v>
      </c>
      <c r="B1579" s="1">
        <v>93.0</v>
      </c>
      <c r="C1579" s="1">
        <v>2.0</v>
      </c>
      <c r="D1579" s="4">
        <v>43213.0</v>
      </c>
      <c r="E1579" s="4">
        <v>43213.0</v>
      </c>
      <c r="F1579" s="1" t="s">
        <v>18</v>
      </c>
      <c r="G1579" s="1">
        <v>2.0</v>
      </c>
      <c r="H1579" s="1">
        <v>7.0</v>
      </c>
      <c r="I1579" s="3" t="str">
        <f>VLOOKUP(B1579,Customers!A:J, 10,FALSE)</f>
        <v>Corrina Sawyer</v>
      </c>
      <c r="J1579" s="3" t="str">
        <f>VLOOKUP(B1579,Customers!A:J,8,FALSE)</f>
        <v>NY</v>
      </c>
      <c r="K1579" s="3" t="str">
        <f>VLOOKUP(B1579,Customers!A:J,7,FALSE)</f>
        <v>Troy</v>
      </c>
      <c r="L1579" s="3" t="str">
        <f>VLOOKUP(H1579,Staff!A:I,9,FALSE)</f>
        <v>Venita Daniel</v>
      </c>
      <c r="M1579" s="3" t="str">
        <f>VLOOKUP(G1579,Store!A:H,2,FALSE)</f>
        <v>Baldwin Bikes</v>
      </c>
      <c r="N1579" s="3" t="str">
        <f>VLOOKUP(G1579,Store!A:H,6,FALSE)</f>
        <v>Baldwin</v>
      </c>
      <c r="O1579" s="3" t="s">
        <v>16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">
        <v>1579.0</v>
      </c>
      <c r="B1580" s="1">
        <v>104.0</v>
      </c>
      <c r="C1580" s="1">
        <v>2.0</v>
      </c>
      <c r="D1580" s="4">
        <v>43214.0</v>
      </c>
      <c r="E1580" s="4">
        <v>43214.0</v>
      </c>
      <c r="F1580" s="1" t="s">
        <v>18</v>
      </c>
      <c r="G1580" s="1">
        <v>1.0</v>
      </c>
      <c r="H1580" s="1">
        <v>2.0</v>
      </c>
      <c r="I1580" s="3" t="str">
        <f>VLOOKUP(B1580,Customers!A:J, 10,FALSE)</f>
        <v>Katharina Bates</v>
      </c>
      <c r="J1580" s="3" t="str">
        <f>VLOOKUP(B1580,Customers!A:J,8,FALSE)</f>
        <v>CA</v>
      </c>
      <c r="K1580" s="3" t="str">
        <f>VLOOKUP(B1580,Customers!A:J,7,FALSE)</f>
        <v>Campbell</v>
      </c>
      <c r="L1580" s="3" t="str">
        <f>VLOOKUP(H1580,Staff!A:I,9,FALSE)</f>
        <v>Mireya Copeland</v>
      </c>
      <c r="M1580" s="3" t="str">
        <f>VLOOKUP(G1580,Store!A:H,2,FALSE)</f>
        <v>Santa Cruz Bikes</v>
      </c>
      <c r="N1580" s="3" t="str">
        <f>VLOOKUP(G1580,Store!A:H,6,FALSE)</f>
        <v>Santa Cruz</v>
      </c>
      <c r="O1580" s="3" t="s">
        <v>15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">
        <v>1580.0</v>
      </c>
      <c r="B1581" s="1">
        <v>191.0</v>
      </c>
      <c r="C1581" s="1">
        <v>2.0</v>
      </c>
      <c r="D1581" s="4">
        <v>43214.0</v>
      </c>
      <c r="E1581" s="4">
        <v>43214.0</v>
      </c>
      <c r="F1581" s="1" t="s">
        <v>18</v>
      </c>
      <c r="G1581" s="1">
        <v>1.0</v>
      </c>
      <c r="H1581" s="1">
        <v>2.0</v>
      </c>
      <c r="I1581" s="3" t="str">
        <f>VLOOKUP(B1581,Customers!A:J, 10,FALSE)</f>
        <v>Graciela Barber</v>
      </c>
      <c r="J1581" s="3" t="str">
        <f>VLOOKUP(B1581,Customers!A:J,8,FALSE)</f>
        <v>CA</v>
      </c>
      <c r="K1581" s="3" t="str">
        <f>VLOOKUP(B1581,Customers!A:J,7,FALSE)</f>
        <v>Oxnard</v>
      </c>
      <c r="L1581" s="3" t="str">
        <f>VLOOKUP(H1581,Staff!A:I,9,FALSE)</f>
        <v>Mireya Copeland</v>
      </c>
      <c r="M1581" s="3" t="str">
        <f>VLOOKUP(G1581,Store!A:H,2,FALSE)</f>
        <v>Santa Cruz Bikes</v>
      </c>
      <c r="N1581" s="3" t="str">
        <f>VLOOKUP(G1581,Store!A:H,6,FALSE)</f>
        <v>Santa Cruz</v>
      </c>
      <c r="O1581" s="3" t="s">
        <v>15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">
        <v>1581.0</v>
      </c>
      <c r="B1582" s="1">
        <v>188.0</v>
      </c>
      <c r="C1582" s="1">
        <v>2.0</v>
      </c>
      <c r="D1582" s="4">
        <v>43215.0</v>
      </c>
      <c r="E1582" s="4">
        <v>43215.0</v>
      </c>
      <c r="F1582" s="1" t="s">
        <v>18</v>
      </c>
      <c r="G1582" s="1">
        <v>1.0</v>
      </c>
      <c r="H1582" s="1">
        <v>2.0</v>
      </c>
      <c r="I1582" s="3" t="str">
        <f>VLOOKUP(B1582,Customers!A:J, 10,FALSE)</f>
        <v>Sharla Flynn</v>
      </c>
      <c r="J1582" s="3" t="str">
        <f>VLOOKUP(B1582,Customers!A:J,8,FALSE)</f>
        <v>CA</v>
      </c>
      <c r="K1582" s="3" t="str">
        <f>VLOOKUP(B1582,Customers!A:J,7,FALSE)</f>
        <v>Oxnard</v>
      </c>
      <c r="L1582" s="3" t="str">
        <f>VLOOKUP(H1582,Staff!A:I,9,FALSE)</f>
        <v>Mireya Copeland</v>
      </c>
      <c r="M1582" s="3" t="str">
        <f>VLOOKUP(G1582,Store!A:H,2,FALSE)</f>
        <v>Santa Cruz Bikes</v>
      </c>
      <c r="N1582" s="3" t="str">
        <f>VLOOKUP(G1582,Store!A:H,6,FALSE)</f>
        <v>Santa Cruz</v>
      </c>
      <c r="O1582" s="3" t="s">
        <v>15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">
        <v>1582.0</v>
      </c>
      <c r="B1583" s="1">
        <v>240.0</v>
      </c>
      <c r="C1583" s="1">
        <v>1.0</v>
      </c>
      <c r="D1583" s="4">
        <v>43215.0</v>
      </c>
      <c r="E1583" s="4">
        <v>43215.0</v>
      </c>
      <c r="F1583" s="1" t="s">
        <v>18</v>
      </c>
      <c r="G1583" s="1">
        <v>1.0</v>
      </c>
      <c r="H1583" s="1">
        <v>3.0</v>
      </c>
      <c r="I1583" s="3" t="str">
        <f>VLOOKUP(B1583,Customers!A:J, 10,FALSE)</f>
        <v>Le Deleon</v>
      </c>
      <c r="J1583" s="3" t="str">
        <f>VLOOKUP(B1583,Customers!A:J,8,FALSE)</f>
        <v>CA</v>
      </c>
      <c r="K1583" s="3" t="str">
        <f>VLOOKUP(B1583,Customers!A:J,7,FALSE)</f>
        <v>Banning</v>
      </c>
      <c r="L1583" s="3" t="str">
        <f>VLOOKUP(H1583,Staff!A:I,9,FALSE)</f>
        <v>Genna Serrano</v>
      </c>
      <c r="M1583" s="3" t="str">
        <f>VLOOKUP(G1583,Store!A:H,2,FALSE)</f>
        <v>Santa Cruz Bikes</v>
      </c>
      <c r="N1583" s="3" t="str">
        <f>VLOOKUP(G1583,Store!A:H,6,FALSE)</f>
        <v>Santa Cruz</v>
      </c>
      <c r="O1583" s="3" t="s">
        <v>15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">
        <v>1583.0</v>
      </c>
      <c r="B1584" s="1">
        <v>44.0</v>
      </c>
      <c r="C1584" s="1">
        <v>1.0</v>
      </c>
      <c r="D1584" s="4">
        <v>43215.0</v>
      </c>
      <c r="E1584" s="4">
        <v>43215.0</v>
      </c>
      <c r="F1584" s="1" t="s">
        <v>18</v>
      </c>
      <c r="G1584" s="1">
        <v>2.0</v>
      </c>
      <c r="H1584" s="1">
        <v>6.0</v>
      </c>
      <c r="I1584" s="3" t="str">
        <f>VLOOKUP(B1584,Customers!A:J, 10,FALSE)</f>
        <v>Onita Johns</v>
      </c>
      <c r="J1584" s="3" t="str">
        <f>VLOOKUP(B1584,Customers!A:J,8,FALSE)</f>
        <v>NY</v>
      </c>
      <c r="K1584" s="3" t="str">
        <f>VLOOKUP(B1584,Customers!A:J,7,FALSE)</f>
        <v>Elmont</v>
      </c>
      <c r="L1584" s="3" t="str">
        <f>VLOOKUP(H1584,Staff!A:I,9,FALSE)</f>
        <v>Marcelene Boyer</v>
      </c>
      <c r="M1584" s="3" t="str">
        <f>VLOOKUP(G1584,Store!A:H,2,FALSE)</f>
        <v>Baldwin Bikes</v>
      </c>
      <c r="N1584" s="3" t="str">
        <f>VLOOKUP(G1584,Store!A:H,6,FALSE)</f>
        <v>Baldwin</v>
      </c>
      <c r="O1584" s="3" t="s">
        <v>16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">
        <v>1584.0</v>
      </c>
      <c r="B1585" s="1">
        <v>109.0</v>
      </c>
      <c r="C1585" s="1">
        <v>2.0</v>
      </c>
      <c r="D1585" s="4">
        <v>43216.0</v>
      </c>
      <c r="E1585" s="4">
        <v>43216.0</v>
      </c>
      <c r="F1585" s="1" t="s">
        <v>18</v>
      </c>
      <c r="G1585" s="1">
        <v>1.0</v>
      </c>
      <c r="H1585" s="1">
        <v>3.0</v>
      </c>
      <c r="I1585" s="3" t="str">
        <f>VLOOKUP(B1585,Customers!A:J, 10,FALSE)</f>
        <v>Monica Sears</v>
      </c>
      <c r="J1585" s="3" t="str">
        <f>VLOOKUP(B1585,Customers!A:J,8,FALSE)</f>
        <v>CA</v>
      </c>
      <c r="K1585" s="3" t="str">
        <f>VLOOKUP(B1585,Customers!A:J,7,FALSE)</f>
        <v>San Jose</v>
      </c>
      <c r="L1585" s="3" t="str">
        <f>VLOOKUP(H1585,Staff!A:I,9,FALSE)</f>
        <v>Genna Serrano</v>
      </c>
      <c r="M1585" s="3" t="str">
        <f>VLOOKUP(G1585,Store!A:H,2,FALSE)</f>
        <v>Santa Cruz Bikes</v>
      </c>
      <c r="N1585" s="3" t="str">
        <f>VLOOKUP(G1585,Store!A:H,6,FALSE)</f>
        <v>Santa Cruz</v>
      </c>
      <c r="O1585" s="3" t="s">
        <v>15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">
        <v>1585.0</v>
      </c>
      <c r="B1586" s="1">
        <v>157.0</v>
      </c>
      <c r="C1586" s="1">
        <v>1.0</v>
      </c>
      <c r="D1586" s="4">
        <v>43216.0</v>
      </c>
      <c r="E1586" s="4">
        <v>43216.0</v>
      </c>
      <c r="F1586" s="1" t="s">
        <v>18</v>
      </c>
      <c r="G1586" s="1">
        <v>1.0</v>
      </c>
      <c r="H1586" s="1">
        <v>3.0</v>
      </c>
      <c r="I1586" s="3" t="str">
        <f>VLOOKUP(B1586,Customers!A:J, 10,FALSE)</f>
        <v>Carola Rodriquez</v>
      </c>
      <c r="J1586" s="3" t="str">
        <f>VLOOKUP(B1586,Customers!A:J,8,FALSE)</f>
        <v>CA</v>
      </c>
      <c r="K1586" s="3" t="str">
        <f>VLOOKUP(B1586,Customers!A:J,7,FALSE)</f>
        <v>Banning</v>
      </c>
      <c r="L1586" s="3" t="str">
        <f>VLOOKUP(H1586,Staff!A:I,9,FALSE)</f>
        <v>Genna Serrano</v>
      </c>
      <c r="M1586" s="3" t="str">
        <f>VLOOKUP(G1586,Store!A:H,2,FALSE)</f>
        <v>Santa Cruz Bikes</v>
      </c>
      <c r="N1586" s="3" t="str">
        <f>VLOOKUP(G1586,Store!A:H,6,FALSE)</f>
        <v>Santa Cruz</v>
      </c>
      <c r="O1586" s="3" t="s">
        <v>15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">
        <v>1586.0</v>
      </c>
      <c r="B1587" s="1">
        <v>176.0</v>
      </c>
      <c r="C1587" s="1">
        <v>1.0</v>
      </c>
      <c r="D1587" s="4">
        <v>43216.0</v>
      </c>
      <c r="E1587" s="4">
        <v>43216.0</v>
      </c>
      <c r="F1587" s="1" t="s">
        <v>18</v>
      </c>
      <c r="G1587" s="1">
        <v>1.0</v>
      </c>
      <c r="H1587" s="1">
        <v>2.0</v>
      </c>
      <c r="I1587" s="3" t="str">
        <f>VLOOKUP(B1587,Customers!A:J, 10,FALSE)</f>
        <v>Carley Reynolds</v>
      </c>
      <c r="J1587" s="3" t="str">
        <f>VLOOKUP(B1587,Customers!A:J,8,FALSE)</f>
        <v>CA</v>
      </c>
      <c r="K1587" s="3" t="str">
        <f>VLOOKUP(B1587,Customers!A:J,7,FALSE)</f>
        <v>South El Monte</v>
      </c>
      <c r="L1587" s="3" t="str">
        <f>VLOOKUP(H1587,Staff!A:I,9,FALSE)</f>
        <v>Mireya Copeland</v>
      </c>
      <c r="M1587" s="3" t="str">
        <f>VLOOKUP(G1587,Store!A:H,2,FALSE)</f>
        <v>Santa Cruz Bikes</v>
      </c>
      <c r="N1587" s="3" t="str">
        <f>VLOOKUP(G1587,Store!A:H,6,FALSE)</f>
        <v>Santa Cruz</v>
      </c>
      <c r="O1587" s="3" t="s">
        <v>15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">
        <v>1587.0</v>
      </c>
      <c r="B1588" s="1">
        <v>231.0</v>
      </c>
      <c r="C1588" s="1">
        <v>2.0</v>
      </c>
      <c r="D1588" s="4">
        <v>43216.0</v>
      </c>
      <c r="E1588" s="4">
        <v>43216.0</v>
      </c>
      <c r="F1588" s="1" t="s">
        <v>18</v>
      </c>
      <c r="G1588" s="1">
        <v>1.0</v>
      </c>
      <c r="H1588" s="1">
        <v>2.0</v>
      </c>
      <c r="I1588" s="3" t="str">
        <f>VLOOKUP(B1588,Customers!A:J, 10,FALSE)</f>
        <v>Jenee Rasmussen</v>
      </c>
      <c r="J1588" s="3" t="str">
        <f>VLOOKUP(B1588,Customers!A:J,8,FALSE)</f>
        <v>CA</v>
      </c>
      <c r="K1588" s="3" t="str">
        <f>VLOOKUP(B1588,Customers!A:J,7,FALSE)</f>
        <v>Sacramento</v>
      </c>
      <c r="L1588" s="3" t="str">
        <f>VLOOKUP(H1588,Staff!A:I,9,FALSE)</f>
        <v>Mireya Copeland</v>
      </c>
      <c r="M1588" s="3" t="str">
        <f>VLOOKUP(G1588,Store!A:H,2,FALSE)</f>
        <v>Santa Cruz Bikes</v>
      </c>
      <c r="N1588" s="3" t="str">
        <f>VLOOKUP(G1588,Store!A:H,6,FALSE)</f>
        <v>Santa Cruz</v>
      </c>
      <c r="O1588" s="3" t="s">
        <v>15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">
        <v>1588.0</v>
      </c>
      <c r="B1589" s="1">
        <v>11.0</v>
      </c>
      <c r="C1589" s="1">
        <v>1.0</v>
      </c>
      <c r="D1589" s="4">
        <v>43216.0</v>
      </c>
      <c r="E1589" s="4">
        <v>43216.0</v>
      </c>
      <c r="F1589" s="1" t="s">
        <v>18</v>
      </c>
      <c r="G1589" s="1">
        <v>2.0</v>
      </c>
      <c r="H1589" s="1">
        <v>6.0</v>
      </c>
      <c r="I1589" s="3" t="str">
        <f>VLOOKUP(B1589,Customers!A:J, 10,FALSE)</f>
        <v>Deshawn Mendoza</v>
      </c>
      <c r="J1589" s="3" t="str">
        <f>VLOOKUP(B1589,Customers!A:J,8,FALSE)</f>
        <v>NY</v>
      </c>
      <c r="K1589" s="3" t="str">
        <f>VLOOKUP(B1589,Customers!A:J,7,FALSE)</f>
        <v>Monsey</v>
      </c>
      <c r="L1589" s="3" t="str">
        <f>VLOOKUP(H1589,Staff!A:I,9,FALSE)</f>
        <v>Marcelene Boyer</v>
      </c>
      <c r="M1589" s="3" t="str">
        <f>VLOOKUP(G1589,Store!A:H,2,FALSE)</f>
        <v>Baldwin Bikes</v>
      </c>
      <c r="N1589" s="3" t="str">
        <f>VLOOKUP(G1589,Store!A:H,6,FALSE)</f>
        <v>Baldwin</v>
      </c>
      <c r="O1589" s="3" t="s">
        <v>16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">
        <v>1589.0</v>
      </c>
      <c r="B1590" s="1">
        <v>40.0</v>
      </c>
      <c r="C1590" s="1">
        <v>2.0</v>
      </c>
      <c r="D1590" s="4">
        <v>43217.0</v>
      </c>
      <c r="E1590" s="4">
        <v>43217.0</v>
      </c>
      <c r="F1590" s="1" t="s">
        <v>18</v>
      </c>
      <c r="G1590" s="1">
        <v>1.0</v>
      </c>
      <c r="H1590" s="1">
        <v>3.0</v>
      </c>
      <c r="I1590" s="3" t="str">
        <f>VLOOKUP(B1590,Customers!A:J, 10,FALSE)</f>
        <v>Ronna Butler</v>
      </c>
      <c r="J1590" s="3" t="str">
        <f>VLOOKUP(B1590,Customers!A:J,8,FALSE)</f>
        <v>CA</v>
      </c>
      <c r="K1590" s="3" t="str">
        <f>VLOOKUP(B1590,Customers!A:J,7,FALSE)</f>
        <v>Encino</v>
      </c>
      <c r="L1590" s="3" t="str">
        <f>VLOOKUP(H1590,Staff!A:I,9,FALSE)</f>
        <v>Genna Serrano</v>
      </c>
      <c r="M1590" s="3" t="str">
        <f>VLOOKUP(G1590,Store!A:H,2,FALSE)</f>
        <v>Santa Cruz Bikes</v>
      </c>
      <c r="N1590" s="3" t="str">
        <f>VLOOKUP(G1590,Store!A:H,6,FALSE)</f>
        <v>Santa Cruz</v>
      </c>
      <c r="O1590" s="3" t="s">
        <v>15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">
        <v>1590.0</v>
      </c>
      <c r="B1591" s="1">
        <v>138.0</v>
      </c>
      <c r="C1591" s="1">
        <v>1.0</v>
      </c>
      <c r="D1591" s="4">
        <v>43217.0</v>
      </c>
      <c r="E1591" s="4">
        <v>43217.0</v>
      </c>
      <c r="F1591" s="1" t="s">
        <v>18</v>
      </c>
      <c r="G1591" s="1">
        <v>1.0</v>
      </c>
      <c r="H1591" s="1">
        <v>3.0</v>
      </c>
      <c r="I1591" s="3" t="str">
        <f>VLOOKUP(B1591,Customers!A:J, 10,FALSE)</f>
        <v>Jone Bernard</v>
      </c>
      <c r="J1591" s="3" t="str">
        <f>VLOOKUP(B1591,Customers!A:J,8,FALSE)</f>
        <v>CA</v>
      </c>
      <c r="K1591" s="3" t="str">
        <f>VLOOKUP(B1591,Customers!A:J,7,FALSE)</f>
        <v>Anaheim</v>
      </c>
      <c r="L1591" s="3" t="str">
        <f>VLOOKUP(H1591,Staff!A:I,9,FALSE)</f>
        <v>Genna Serrano</v>
      </c>
      <c r="M1591" s="3" t="str">
        <f>VLOOKUP(G1591,Store!A:H,2,FALSE)</f>
        <v>Santa Cruz Bikes</v>
      </c>
      <c r="N1591" s="3" t="str">
        <f>VLOOKUP(G1591,Store!A:H,6,FALSE)</f>
        <v>Santa Cruz</v>
      </c>
      <c r="O1591" s="3" t="s">
        <v>15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">
        <v>1591.0</v>
      </c>
      <c r="B1592" s="1">
        <v>165.0</v>
      </c>
      <c r="C1592" s="1">
        <v>2.0</v>
      </c>
      <c r="D1592" s="4">
        <v>43217.0</v>
      </c>
      <c r="E1592" s="4">
        <v>43217.0</v>
      </c>
      <c r="F1592" s="1" t="s">
        <v>18</v>
      </c>
      <c r="G1592" s="1">
        <v>1.0</v>
      </c>
      <c r="H1592" s="1">
        <v>2.0</v>
      </c>
      <c r="I1592" s="3" t="str">
        <f>VLOOKUP(B1592,Customers!A:J, 10,FALSE)</f>
        <v>Jeromy Burch</v>
      </c>
      <c r="J1592" s="3" t="str">
        <f>VLOOKUP(B1592,Customers!A:J,8,FALSE)</f>
        <v>CA</v>
      </c>
      <c r="K1592" s="3" t="str">
        <f>VLOOKUP(B1592,Customers!A:J,7,FALSE)</f>
        <v>San Jose</v>
      </c>
      <c r="L1592" s="3" t="str">
        <f>VLOOKUP(H1592,Staff!A:I,9,FALSE)</f>
        <v>Mireya Copeland</v>
      </c>
      <c r="M1592" s="3" t="str">
        <f>VLOOKUP(G1592,Store!A:H,2,FALSE)</f>
        <v>Santa Cruz Bikes</v>
      </c>
      <c r="N1592" s="3" t="str">
        <f>VLOOKUP(G1592,Store!A:H,6,FALSE)</f>
        <v>Santa Cruz</v>
      </c>
      <c r="O1592" s="3" t="s">
        <v>15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">
        <v>1592.0</v>
      </c>
      <c r="B1593" s="1">
        <v>6.0</v>
      </c>
      <c r="C1593" s="1">
        <v>2.0</v>
      </c>
      <c r="D1593" s="4">
        <v>43217.0</v>
      </c>
      <c r="E1593" s="4">
        <v>43217.0</v>
      </c>
      <c r="F1593" s="1" t="s">
        <v>18</v>
      </c>
      <c r="G1593" s="1">
        <v>2.0</v>
      </c>
      <c r="H1593" s="1">
        <v>7.0</v>
      </c>
      <c r="I1593" s="3" t="str">
        <f>VLOOKUP(B1593,Customers!A:J, 10,FALSE)</f>
        <v>Lyndsey Bean</v>
      </c>
      <c r="J1593" s="3" t="str">
        <f>VLOOKUP(B1593,Customers!A:J,8,FALSE)</f>
        <v>NY</v>
      </c>
      <c r="K1593" s="3" t="str">
        <f>VLOOKUP(B1593,Customers!A:J,7,FALSE)</f>
        <v>Fairport</v>
      </c>
      <c r="L1593" s="3" t="str">
        <f>VLOOKUP(H1593,Staff!A:I,9,FALSE)</f>
        <v>Venita Daniel</v>
      </c>
      <c r="M1593" s="3" t="str">
        <f>VLOOKUP(G1593,Store!A:H,2,FALSE)</f>
        <v>Baldwin Bikes</v>
      </c>
      <c r="N1593" s="3" t="str">
        <f>VLOOKUP(G1593,Store!A:H,6,FALSE)</f>
        <v>Baldwin</v>
      </c>
      <c r="O1593" s="3" t="s">
        <v>16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">
        <v>1593.0</v>
      </c>
      <c r="B1594" s="1">
        <v>9.0</v>
      </c>
      <c r="C1594" s="1">
        <v>1.0</v>
      </c>
      <c r="D1594" s="4">
        <v>43217.0</v>
      </c>
      <c r="E1594" s="4">
        <v>43217.0</v>
      </c>
      <c r="F1594" s="1" t="s">
        <v>18</v>
      </c>
      <c r="G1594" s="1">
        <v>2.0</v>
      </c>
      <c r="H1594" s="1">
        <v>6.0</v>
      </c>
      <c r="I1594" s="3" t="str">
        <f>VLOOKUP(B1594,Customers!A:J, 10,FALSE)</f>
        <v>Genoveva Baldwin</v>
      </c>
      <c r="J1594" s="3" t="str">
        <f>VLOOKUP(B1594,Customers!A:J,8,FALSE)</f>
        <v>NY</v>
      </c>
      <c r="K1594" s="3" t="str">
        <f>VLOOKUP(B1594,Customers!A:J,7,FALSE)</f>
        <v>Port Washington</v>
      </c>
      <c r="L1594" s="3" t="str">
        <f>VLOOKUP(H1594,Staff!A:I,9,FALSE)</f>
        <v>Marcelene Boyer</v>
      </c>
      <c r="M1594" s="3" t="str">
        <f>VLOOKUP(G1594,Store!A:H,2,FALSE)</f>
        <v>Baldwin Bikes</v>
      </c>
      <c r="N1594" s="3" t="str">
        <f>VLOOKUP(G1594,Store!A:H,6,FALSE)</f>
        <v>Baldwin</v>
      </c>
      <c r="O1594" s="3" t="s">
        <v>16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">
        <v>1594.0</v>
      </c>
      <c r="B1595" s="1">
        <v>45.0</v>
      </c>
      <c r="C1595" s="1">
        <v>1.0</v>
      </c>
      <c r="D1595" s="4">
        <v>43218.0</v>
      </c>
      <c r="E1595" s="4">
        <v>43218.0</v>
      </c>
      <c r="F1595" s="1" t="s">
        <v>18</v>
      </c>
      <c r="G1595" s="1">
        <v>2.0</v>
      </c>
      <c r="H1595" s="1">
        <v>7.0</v>
      </c>
      <c r="I1595" s="3" t="str">
        <f>VLOOKUP(B1595,Customers!A:J, 10,FALSE)</f>
        <v>Bennett Armstrong</v>
      </c>
      <c r="J1595" s="3" t="str">
        <f>VLOOKUP(B1595,Customers!A:J,8,FALSE)</f>
        <v>NY</v>
      </c>
      <c r="K1595" s="3" t="str">
        <f>VLOOKUP(B1595,Customers!A:J,7,FALSE)</f>
        <v>Bethpage</v>
      </c>
      <c r="L1595" s="3" t="str">
        <f>VLOOKUP(H1595,Staff!A:I,9,FALSE)</f>
        <v>Venita Daniel</v>
      </c>
      <c r="M1595" s="3" t="str">
        <f>VLOOKUP(G1595,Store!A:H,2,FALSE)</f>
        <v>Baldwin Bikes</v>
      </c>
      <c r="N1595" s="3" t="str">
        <f>VLOOKUP(G1595,Store!A:H,6,FALSE)</f>
        <v>Baldwin</v>
      </c>
      <c r="O1595" s="3" t="s">
        <v>16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">
        <v>1595.0</v>
      </c>
      <c r="B1596" s="1">
        <v>71.0</v>
      </c>
      <c r="C1596" s="1">
        <v>2.0</v>
      </c>
      <c r="D1596" s="4">
        <v>43218.0</v>
      </c>
      <c r="E1596" s="4">
        <v>43218.0</v>
      </c>
      <c r="F1596" s="1" t="s">
        <v>18</v>
      </c>
      <c r="G1596" s="1">
        <v>2.0</v>
      </c>
      <c r="H1596" s="1">
        <v>7.0</v>
      </c>
      <c r="I1596" s="3" t="str">
        <f>VLOOKUP(B1596,Customers!A:J, 10,FALSE)</f>
        <v>Takako Casey</v>
      </c>
      <c r="J1596" s="3" t="str">
        <f>VLOOKUP(B1596,Customers!A:J,8,FALSE)</f>
        <v>NY</v>
      </c>
      <c r="K1596" s="3" t="str">
        <f>VLOOKUP(B1596,Customers!A:J,7,FALSE)</f>
        <v>Bronx</v>
      </c>
      <c r="L1596" s="3" t="str">
        <f>VLOOKUP(H1596,Staff!A:I,9,FALSE)</f>
        <v>Venita Daniel</v>
      </c>
      <c r="M1596" s="3" t="str">
        <f>VLOOKUP(G1596,Store!A:H,2,FALSE)</f>
        <v>Baldwin Bikes</v>
      </c>
      <c r="N1596" s="3" t="str">
        <f>VLOOKUP(G1596,Store!A:H,6,FALSE)</f>
        <v>Baldwin</v>
      </c>
      <c r="O1596" s="3" t="s">
        <v>16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">
        <v>1596.0</v>
      </c>
      <c r="B1597" s="1">
        <v>21.0</v>
      </c>
      <c r="C1597" s="1">
        <v>2.0</v>
      </c>
      <c r="D1597" s="4">
        <v>43218.0</v>
      </c>
      <c r="E1597" s="4">
        <v>43218.0</v>
      </c>
      <c r="F1597" s="1" t="s">
        <v>18</v>
      </c>
      <c r="G1597" s="1">
        <v>3.0</v>
      </c>
      <c r="H1597" s="1">
        <v>8.0</v>
      </c>
      <c r="I1597" s="3" t="str">
        <f>VLOOKUP(B1597,Customers!A:J, 10,FALSE)</f>
        <v>Tobie Little</v>
      </c>
      <c r="J1597" s="3" t="str">
        <f>VLOOKUP(B1597,Customers!A:J,8,FALSE)</f>
        <v>TX</v>
      </c>
      <c r="K1597" s="3" t="str">
        <f>VLOOKUP(B1597,Customers!A:J,7,FALSE)</f>
        <v>Victoria</v>
      </c>
      <c r="L1597" s="3" t="str">
        <f>VLOOKUP(H1597,Staff!A:I,9,FALSE)</f>
        <v>Kali Vargas</v>
      </c>
      <c r="M1597" s="3" t="str">
        <f>VLOOKUP(G1597,Store!A:H,2,FALSE)</f>
        <v>Rowlett Bikes</v>
      </c>
      <c r="N1597" s="3" t="str">
        <f>VLOOKUP(G1597,Store!A:H,6,FALSE)</f>
        <v>Rowlett</v>
      </c>
      <c r="O1597" s="3" t="s">
        <v>17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">
        <v>1597.0</v>
      </c>
      <c r="B1598" s="1">
        <v>56.0</v>
      </c>
      <c r="C1598" s="1">
        <v>1.0</v>
      </c>
      <c r="D1598" s="4">
        <v>43218.0</v>
      </c>
      <c r="E1598" s="4">
        <v>43218.0</v>
      </c>
      <c r="F1598" s="1" t="s">
        <v>18</v>
      </c>
      <c r="G1598" s="1">
        <v>3.0</v>
      </c>
      <c r="H1598" s="1">
        <v>9.0</v>
      </c>
      <c r="I1598" s="3" t="str">
        <f>VLOOKUP(B1598,Customers!A:J, 10,FALSE)</f>
        <v>Lolita Mosley</v>
      </c>
      <c r="J1598" s="3" t="str">
        <f>VLOOKUP(B1598,Customers!A:J,8,FALSE)</f>
        <v>TX</v>
      </c>
      <c r="K1598" s="3" t="str">
        <f>VLOOKUP(B1598,Customers!A:J,7,FALSE)</f>
        <v>Houston</v>
      </c>
      <c r="L1598" s="3" t="str">
        <f>VLOOKUP(H1598,Staff!A:I,9,FALSE)</f>
        <v>Layla Terrell</v>
      </c>
      <c r="M1598" s="3" t="str">
        <f>VLOOKUP(G1598,Store!A:H,2,FALSE)</f>
        <v>Rowlett Bikes</v>
      </c>
      <c r="N1598" s="3" t="str">
        <f>VLOOKUP(G1598,Store!A:H,6,FALSE)</f>
        <v>Rowlett</v>
      </c>
      <c r="O1598" s="3" t="s">
        <v>17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">
        <v>1598.0</v>
      </c>
      <c r="B1599" s="1">
        <v>239.0</v>
      </c>
      <c r="C1599" s="1">
        <v>2.0</v>
      </c>
      <c r="D1599" s="4">
        <v>43219.0</v>
      </c>
      <c r="E1599" s="4">
        <v>43219.0</v>
      </c>
      <c r="F1599" s="1" t="s">
        <v>18</v>
      </c>
      <c r="G1599" s="1">
        <v>1.0</v>
      </c>
      <c r="H1599" s="1">
        <v>3.0</v>
      </c>
      <c r="I1599" s="3" t="str">
        <f>VLOOKUP(B1599,Customers!A:J, 10,FALSE)</f>
        <v>Felice Guzman</v>
      </c>
      <c r="J1599" s="3" t="str">
        <f>VLOOKUP(B1599,Customers!A:J,8,FALSE)</f>
        <v>CA</v>
      </c>
      <c r="K1599" s="3" t="str">
        <f>VLOOKUP(B1599,Customers!A:J,7,FALSE)</f>
        <v>Canyon Country</v>
      </c>
      <c r="L1599" s="3" t="str">
        <f>VLOOKUP(H1599,Staff!A:I,9,FALSE)</f>
        <v>Genna Serrano</v>
      </c>
      <c r="M1599" s="3" t="str">
        <f>VLOOKUP(G1599,Store!A:H,2,FALSE)</f>
        <v>Santa Cruz Bikes</v>
      </c>
      <c r="N1599" s="3" t="str">
        <f>VLOOKUP(G1599,Store!A:H,6,FALSE)</f>
        <v>Santa Cruz</v>
      </c>
      <c r="O1599" s="3" t="s">
        <v>15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">
        <v>1599.0</v>
      </c>
      <c r="B1600" s="1">
        <v>49.0</v>
      </c>
      <c r="C1600" s="1">
        <v>1.0</v>
      </c>
      <c r="D1600" s="4">
        <v>43219.0</v>
      </c>
      <c r="E1600" s="4">
        <v>43219.0</v>
      </c>
      <c r="F1600" s="1" t="s">
        <v>18</v>
      </c>
      <c r="G1600" s="1">
        <v>2.0</v>
      </c>
      <c r="H1600" s="1">
        <v>7.0</v>
      </c>
      <c r="I1600" s="3" t="str">
        <f>VLOOKUP(B1600,Customers!A:J, 10,FALSE)</f>
        <v>Caroll Hays</v>
      </c>
      <c r="J1600" s="3" t="str">
        <f>VLOOKUP(B1600,Customers!A:J,8,FALSE)</f>
        <v>NY</v>
      </c>
      <c r="K1600" s="3" t="str">
        <f>VLOOKUP(B1600,Customers!A:J,7,FALSE)</f>
        <v>Fairport</v>
      </c>
      <c r="L1600" s="3" t="str">
        <f>VLOOKUP(H1600,Staff!A:I,9,FALSE)</f>
        <v>Venita Daniel</v>
      </c>
      <c r="M1600" s="3" t="str">
        <f>VLOOKUP(G1600,Store!A:H,2,FALSE)</f>
        <v>Baldwin Bikes</v>
      </c>
      <c r="N1600" s="3" t="str">
        <f>VLOOKUP(G1600,Store!A:H,6,FALSE)</f>
        <v>Baldwin</v>
      </c>
      <c r="O1600" s="3" t="s">
        <v>16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">
        <v>1600.0</v>
      </c>
      <c r="B1601" s="1">
        <v>90.0</v>
      </c>
      <c r="C1601" s="1">
        <v>1.0</v>
      </c>
      <c r="D1601" s="4">
        <v>43219.0</v>
      </c>
      <c r="E1601" s="4">
        <v>43219.0</v>
      </c>
      <c r="F1601" s="1" t="s">
        <v>18</v>
      </c>
      <c r="G1601" s="1">
        <v>2.0</v>
      </c>
      <c r="H1601" s="1">
        <v>6.0</v>
      </c>
      <c r="I1601" s="3" t="str">
        <f>VLOOKUP(B1601,Customers!A:J, 10,FALSE)</f>
        <v>Marjorie Logan</v>
      </c>
      <c r="J1601" s="3" t="str">
        <f>VLOOKUP(B1601,Customers!A:J,8,FALSE)</f>
        <v>NY</v>
      </c>
      <c r="K1601" s="3" t="str">
        <f>VLOOKUP(B1601,Customers!A:J,7,FALSE)</f>
        <v>Franklin Square</v>
      </c>
      <c r="L1601" s="3" t="str">
        <f>VLOOKUP(H1601,Staff!A:I,9,FALSE)</f>
        <v>Marcelene Boyer</v>
      </c>
      <c r="M1601" s="3" t="str">
        <f>VLOOKUP(G1601,Store!A:H,2,FALSE)</f>
        <v>Baldwin Bikes</v>
      </c>
      <c r="N1601" s="3" t="str">
        <f>VLOOKUP(G1601,Store!A:H,6,FALSE)</f>
        <v>Baldwin</v>
      </c>
      <c r="O1601" s="3" t="s">
        <v>16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">
        <v>1601.0</v>
      </c>
      <c r="B1602" s="1">
        <v>43.0</v>
      </c>
      <c r="C1602" s="1">
        <v>1.0</v>
      </c>
      <c r="D1602" s="4">
        <v>43219.0</v>
      </c>
      <c r="E1602" s="4">
        <v>43219.0</v>
      </c>
      <c r="F1602" s="1" t="s">
        <v>18</v>
      </c>
      <c r="G1602" s="1">
        <v>3.0</v>
      </c>
      <c r="H1602" s="1">
        <v>8.0</v>
      </c>
      <c r="I1602" s="3" t="str">
        <f>VLOOKUP(B1602,Customers!A:J, 10,FALSE)</f>
        <v>Mozelle Carter</v>
      </c>
      <c r="J1602" s="3" t="str">
        <f>VLOOKUP(B1602,Customers!A:J,8,FALSE)</f>
        <v>TX</v>
      </c>
      <c r="K1602" s="3" t="str">
        <f>VLOOKUP(B1602,Customers!A:J,7,FALSE)</f>
        <v>Houston</v>
      </c>
      <c r="L1602" s="3" t="str">
        <f>VLOOKUP(H1602,Staff!A:I,9,FALSE)</f>
        <v>Kali Vargas</v>
      </c>
      <c r="M1602" s="3" t="str">
        <f>VLOOKUP(G1602,Store!A:H,2,FALSE)</f>
        <v>Rowlett Bikes</v>
      </c>
      <c r="N1602" s="3" t="str">
        <f>VLOOKUP(G1602,Store!A:H,6,FALSE)</f>
        <v>Rowlett</v>
      </c>
      <c r="O1602" s="3" t="s">
        <v>17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">
        <v>1602.0</v>
      </c>
      <c r="B1603" s="1">
        <v>55.0</v>
      </c>
      <c r="C1603" s="1">
        <v>1.0</v>
      </c>
      <c r="D1603" s="4">
        <v>43220.0</v>
      </c>
      <c r="E1603" s="4">
        <v>43220.0</v>
      </c>
      <c r="F1603" s="1" t="s">
        <v>18</v>
      </c>
      <c r="G1603" s="1">
        <v>2.0</v>
      </c>
      <c r="H1603" s="1">
        <v>6.0</v>
      </c>
      <c r="I1603" s="3" t="str">
        <f>VLOOKUP(B1603,Customers!A:J, 10,FALSE)</f>
        <v>Diana Guerra</v>
      </c>
      <c r="J1603" s="3" t="str">
        <f>VLOOKUP(B1603,Customers!A:J,8,FALSE)</f>
        <v>NY</v>
      </c>
      <c r="K1603" s="3" t="str">
        <f>VLOOKUP(B1603,Customers!A:J,7,FALSE)</f>
        <v>Merrick</v>
      </c>
      <c r="L1603" s="3" t="str">
        <f>VLOOKUP(H1603,Staff!A:I,9,FALSE)</f>
        <v>Marcelene Boyer</v>
      </c>
      <c r="M1603" s="3" t="str">
        <f>VLOOKUP(G1603,Store!A:H,2,FALSE)</f>
        <v>Baldwin Bikes</v>
      </c>
      <c r="N1603" s="3" t="str">
        <f>VLOOKUP(G1603,Store!A:H,6,FALSE)</f>
        <v>Baldwin</v>
      </c>
      <c r="O1603" s="3" t="s">
        <v>16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">
        <v>1603.0</v>
      </c>
      <c r="B1604" s="1">
        <v>74.0</v>
      </c>
      <c r="C1604" s="1">
        <v>2.0</v>
      </c>
      <c r="D1604" s="4">
        <v>43220.0</v>
      </c>
      <c r="E1604" s="4">
        <v>43220.0</v>
      </c>
      <c r="F1604" s="1" t="s">
        <v>18</v>
      </c>
      <c r="G1604" s="1">
        <v>2.0</v>
      </c>
      <c r="H1604" s="1">
        <v>6.0</v>
      </c>
      <c r="I1604" s="3" t="str">
        <f>VLOOKUP(B1604,Customers!A:J, 10,FALSE)</f>
        <v>Georgeann Waller</v>
      </c>
      <c r="J1604" s="3" t="str">
        <f>VLOOKUP(B1604,Customers!A:J,8,FALSE)</f>
        <v>NY</v>
      </c>
      <c r="K1604" s="3" t="str">
        <f>VLOOKUP(B1604,Customers!A:J,7,FALSE)</f>
        <v>North Tonawanda</v>
      </c>
      <c r="L1604" s="3" t="str">
        <f>VLOOKUP(H1604,Staff!A:I,9,FALSE)</f>
        <v>Marcelene Boyer</v>
      </c>
      <c r="M1604" s="3" t="str">
        <f>VLOOKUP(G1604,Store!A:H,2,FALSE)</f>
        <v>Baldwin Bikes</v>
      </c>
      <c r="N1604" s="3" t="str">
        <f>VLOOKUP(G1604,Store!A:H,6,FALSE)</f>
        <v>Baldwin</v>
      </c>
      <c r="O1604" s="3" t="s">
        <v>16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">
        <v>1604.0</v>
      </c>
      <c r="B1605" s="1">
        <v>7.0</v>
      </c>
      <c r="C1605" s="1">
        <v>3.0</v>
      </c>
      <c r="D1605" s="4">
        <v>43268.0</v>
      </c>
      <c r="E1605" s="4">
        <v>43268.0</v>
      </c>
      <c r="F1605" s="1" t="s">
        <v>18</v>
      </c>
      <c r="G1605" s="1">
        <v>2.0</v>
      </c>
      <c r="H1605" s="1">
        <v>7.0</v>
      </c>
      <c r="I1605" s="3" t="str">
        <f>VLOOKUP(B1605,Customers!A:J, 10,FALSE)</f>
        <v>Latasha Hays</v>
      </c>
      <c r="J1605" s="3" t="str">
        <f>VLOOKUP(B1605,Customers!A:J,8,FALSE)</f>
        <v>NY</v>
      </c>
      <c r="K1605" s="3" t="str">
        <f>VLOOKUP(B1605,Customers!A:J,7,FALSE)</f>
        <v>Buffalo</v>
      </c>
      <c r="L1605" s="3" t="str">
        <f>VLOOKUP(H1605,Staff!A:I,9,FALSE)</f>
        <v>Venita Daniel</v>
      </c>
      <c r="M1605" s="3" t="str">
        <f>VLOOKUP(G1605,Store!A:H,2,FALSE)</f>
        <v>Baldwin Bikes</v>
      </c>
      <c r="N1605" s="3" t="str">
        <f>VLOOKUP(G1605,Store!A:H,6,FALSE)</f>
        <v>Baldwin</v>
      </c>
      <c r="O1605" s="3" t="s">
        <v>16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">
        <v>1605.0</v>
      </c>
      <c r="B1606" s="1">
        <v>123.0</v>
      </c>
      <c r="C1606" s="1">
        <v>3.0</v>
      </c>
      <c r="D1606" s="4">
        <v>43282.0</v>
      </c>
      <c r="E1606" s="4">
        <v>43282.0</v>
      </c>
      <c r="F1606" s="1" t="s">
        <v>18</v>
      </c>
      <c r="G1606" s="1">
        <v>3.0</v>
      </c>
      <c r="H1606" s="1">
        <v>8.0</v>
      </c>
      <c r="I1606" s="3" t="str">
        <f>VLOOKUP(B1606,Customers!A:J, 10,FALSE)</f>
        <v>Robena Hill</v>
      </c>
      <c r="J1606" s="3" t="str">
        <f>VLOOKUP(B1606,Customers!A:J,8,FALSE)</f>
        <v>TX</v>
      </c>
      <c r="K1606" s="3" t="str">
        <f>VLOOKUP(B1606,Customers!A:J,7,FALSE)</f>
        <v>Corpus Christi</v>
      </c>
      <c r="L1606" s="3" t="str">
        <f>VLOOKUP(H1606,Staff!A:I,9,FALSE)</f>
        <v>Kali Vargas</v>
      </c>
      <c r="M1606" s="3" t="str">
        <f>VLOOKUP(G1606,Store!A:H,2,FALSE)</f>
        <v>Rowlett Bikes</v>
      </c>
      <c r="N1606" s="3" t="str">
        <f>VLOOKUP(G1606,Store!A:H,6,FALSE)</f>
        <v>Rowlett</v>
      </c>
      <c r="O1606" s="3" t="s">
        <v>17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">
        <v>1606.0</v>
      </c>
      <c r="B1607" s="1">
        <v>119.0</v>
      </c>
      <c r="C1607" s="1">
        <v>3.0</v>
      </c>
      <c r="D1607" s="4">
        <v>43291.0</v>
      </c>
      <c r="E1607" s="4">
        <v>43291.0</v>
      </c>
      <c r="F1607" s="1" t="s">
        <v>18</v>
      </c>
      <c r="G1607" s="1">
        <v>3.0</v>
      </c>
      <c r="H1607" s="1">
        <v>8.0</v>
      </c>
      <c r="I1607" s="3" t="str">
        <f>VLOOKUP(B1607,Customers!A:J, 10,FALSE)</f>
        <v>Thalia Dillard</v>
      </c>
      <c r="J1607" s="3" t="str">
        <f>VLOOKUP(B1607,Customers!A:J,8,FALSE)</f>
        <v>TX</v>
      </c>
      <c r="K1607" s="3" t="str">
        <f>VLOOKUP(B1607,Customers!A:J,7,FALSE)</f>
        <v>San Angelo</v>
      </c>
      <c r="L1607" s="3" t="str">
        <f>VLOOKUP(H1607,Staff!A:I,9,FALSE)</f>
        <v>Kali Vargas</v>
      </c>
      <c r="M1607" s="3" t="str">
        <f>VLOOKUP(G1607,Store!A:H,2,FALSE)</f>
        <v>Rowlett Bikes</v>
      </c>
      <c r="N1607" s="3" t="str">
        <f>VLOOKUP(G1607,Store!A:H,6,FALSE)</f>
        <v>Rowlett</v>
      </c>
      <c r="O1607" s="3" t="s">
        <v>17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">
        <v>1607.0</v>
      </c>
      <c r="B1608" s="1">
        <v>33.0</v>
      </c>
      <c r="C1608" s="1">
        <v>3.0</v>
      </c>
      <c r="D1608" s="4">
        <v>43292.0</v>
      </c>
      <c r="E1608" s="4">
        <v>43292.0</v>
      </c>
      <c r="F1608" s="1" t="s">
        <v>18</v>
      </c>
      <c r="G1608" s="1">
        <v>1.0</v>
      </c>
      <c r="H1608" s="1">
        <v>2.0</v>
      </c>
      <c r="I1608" s="3" t="str">
        <f>VLOOKUP(B1608,Customers!A:J, 10,FALSE)</f>
        <v>Deloris Burke</v>
      </c>
      <c r="J1608" s="3" t="str">
        <f>VLOOKUP(B1608,Customers!A:J,8,FALSE)</f>
        <v>CA</v>
      </c>
      <c r="K1608" s="3" t="str">
        <f>VLOOKUP(B1608,Customers!A:J,7,FALSE)</f>
        <v>Palos Verdes Peninsula</v>
      </c>
      <c r="L1608" s="3" t="str">
        <f>VLOOKUP(H1608,Staff!A:I,9,FALSE)</f>
        <v>Mireya Copeland</v>
      </c>
      <c r="M1608" s="3" t="str">
        <f>VLOOKUP(G1608,Store!A:H,2,FALSE)</f>
        <v>Santa Cruz Bikes</v>
      </c>
      <c r="N1608" s="3" t="str">
        <f>VLOOKUP(G1608,Store!A:H,6,FALSE)</f>
        <v>Santa Cruz</v>
      </c>
      <c r="O1608" s="3" t="s">
        <v>15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">
        <v>1608.0</v>
      </c>
      <c r="B1609" s="1">
        <v>53.0</v>
      </c>
      <c r="C1609" s="1">
        <v>3.0</v>
      </c>
      <c r="D1609" s="4">
        <v>43293.0</v>
      </c>
      <c r="E1609" s="4">
        <v>43293.0</v>
      </c>
      <c r="F1609" s="1" t="s">
        <v>18</v>
      </c>
      <c r="G1609" s="1">
        <v>1.0</v>
      </c>
      <c r="H1609" s="1">
        <v>2.0</v>
      </c>
      <c r="I1609" s="3" t="str">
        <f>VLOOKUP(B1609,Customers!A:J, 10,FALSE)</f>
        <v>Saturnina Garner</v>
      </c>
      <c r="J1609" s="3" t="str">
        <f>VLOOKUP(B1609,Customers!A:J,8,FALSE)</f>
        <v>CA</v>
      </c>
      <c r="K1609" s="3" t="str">
        <f>VLOOKUP(B1609,Customers!A:J,7,FALSE)</f>
        <v>Glendora</v>
      </c>
      <c r="L1609" s="3" t="str">
        <f>VLOOKUP(H1609,Staff!A:I,9,FALSE)</f>
        <v>Mireya Copeland</v>
      </c>
      <c r="M1609" s="3" t="str">
        <f>VLOOKUP(G1609,Store!A:H,2,FALSE)</f>
        <v>Santa Cruz Bikes</v>
      </c>
      <c r="N1609" s="3" t="str">
        <f>VLOOKUP(G1609,Store!A:H,6,FALSE)</f>
        <v>Santa Cruz</v>
      </c>
      <c r="O1609" s="3" t="s">
        <v>15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">
        <v>1609.0</v>
      </c>
      <c r="B1610" s="1">
        <v>10.0</v>
      </c>
      <c r="C1610" s="1">
        <v>3.0</v>
      </c>
      <c r="D1610" s="4">
        <v>43335.0</v>
      </c>
      <c r="E1610" s="4">
        <v>43335.0</v>
      </c>
      <c r="F1610" s="1" t="s">
        <v>18</v>
      </c>
      <c r="G1610" s="1">
        <v>2.0</v>
      </c>
      <c r="H1610" s="1">
        <v>7.0</v>
      </c>
      <c r="I1610" s="3" t="str">
        <f>VLOOKUP(B1610,Customers!A:J, 10,FALSE)</f>
        <v>Pamelia Newman</v>
      </c>
      <c r="J1610" s="3" t="str">
        <f>VLOOKUP(B1610,Customers!A:J,8,FALSE)</f>
        <v>NY</v>
      </c>
      <c r="K1610" s="3" t="str">
        <f>VLOOKUP(B1610,Customers!A:J,7,FALSE)</f>
        <v>Monroe</v>
      </c>
      <c r="L1610" s="3" t="str">
        <f>VLOOKUP(H1610,Staff!A:I,9,FALSE)</f>
        <v>Venita Daniel</v>
      </c>
      <c r="M1610" s="3" t="str">
        <f>VLOOKUP(G1610,Store!A:H,2,FALSE)</f>
        <v>Baldwin Bikes</v>
      </c>
      <c r="N1610" s="3" t="str">
        <f>VLOOKUP(G1610,Store!A:H,6,FALSE)</f>
        <v>Baldwin</v>
      </c>
      <c r="O1610" s="3" t="s">
        <v>16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">
        <v>1610.0</v>
      </c>
      <c r="B1611" s="1">
        <v>15.0</v>
      </c>
      <c r="C1611" s="1">
        <v>3.0</v>
      </c>
      <c r="D1611" s="4">
        <v>43337.0</v>
      </c>
      <c r="E1611" s="4">
        <v>43337.0</v>
      </c>
      <c r="F1611" s="1" t="s">
        <v>18</v>
      </c>
      <c r="G1611" s="1">
        <v>2.0</v>
      </c>
      <c r="H1611" s="1">
        <v>7.0</v>
      </c>
      <c r="I1611" s="3" t="str">
        <f>VLOOKUP(B1611,Customers!A:J, 10,FALSE)</f>
        <v>Linnie Branch</v>
      </c>
      <c r="J1611" s="3" t="str">
        <f>VLOOKUP(B1611,Customers!A:J,8,FALSE)</f>
        <v>NY</v>
      </c>
      <c r="K1611" s="3" t="str">
        <f>VLOOKUP(B1611,Customers!A:J,7,FALSE)</f>
        <v>Plattsburgh</v>
      </c>
      <c r="L1611" s="3" t="str">
        <f>VLOOKUP(H1611,Staff!A:I,9,FALSE)</f>
        <v>Venita Daniel</v>
      </c>
      <c r="M1611" s="3" t="str">
        <f>VLOOKUP(G1611,Store!A:H,2,FALSE)</f>
        <v>Baldwin Bikes</v>
      </c>
      <c r="N1611" s="3" t="str">
        <f>VLOOKUP(G1611,Store!A:H,6,FALSE)</f>
        <v>Baldwin</v>
      </c>
      <c r="O1611" s="3" t="s">
        <v>16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">
        <v>1611.0</v>
      </c>
      <c r="B1612" s="1">
        <v>6.0</v>
      </c>
      <c r="C1612" s="1">
        <v>3.0</v>
      </c>
      <c r="D1612" s="4">
        <v>43349.0</v>
      </c>
      <c r="E1612" s="4">
        <v>43349.0</v>
      </c>
      <c r="F1612" s="1" t="s">
        <v>18</v>
      </c>
      <c r="G1612" s="1">
        <v>2.0</v>
      </c>
      <c r="H1612" s="1">
        <v>7.0</v>
      </c>
      <c r="I1612" s="3" t="str">
        <f>VLOOKUP(B1612,Customers!A:J, 10,FALSE)</f>
        <v>Lyndsey Bean</v>
      </c>
      <c r="J1612" s="3" t="str">
        <f>VLOOKUP(B1612,Customers!A:J,8,FALSE)</f>
        <v>NY</v>
      </c>
      <c r="K1612" s="3" t="str">
        <f>VLOOKUP(B1612,Customers!A:J,7,FALSE)</f>
        <v>Fairport</v>
      </c>
      <c r="L1612" s="3" t="str">
        <f>VLOOKUP(H1612,Staff!A:I,9,FALSE)</f>
        <v>Venita Daniel</v>
      </c>
      <c r="M1612" s="3" t="str">
        <f>VLOOKUP(G1612,Store!A:H,2,FALSE)</f>
        <v>Baldwin Bikes</v>
      </c>
      <c r="N1612" s="3" t="str">
        <f>VLOOKUP(G1612,Store!A:H,6,FALSE)</f>
        <v>Baldwin</v>
      </c>
      <c r="O1612" s="3" t="s">
        <v>16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">
        <v>1612.0</v>
      </c>
      <c r="B1613" s="1">
        <v>3.0</v>
      </c>
      <c r="C1613" s="1">
        <v>3.0</v>
      </c>
      <c r="D1613" s="4">
        <v>43394.0</v>
      </c>
      <c r="E1613" s="4">
        <v>43394.0</v>
      </c>
      <c r="F1613" s="1" t="s">
        <v>18</v>
      </c>
      <c r="G1613" s="1">
        <v>1.0</v>
      </c>
      <c r="H1613" s="1">
        <v>3.0</v>
      </c>
      <c r="I1613" s="3" t="str">
        <f>VLOOKUP(B1613,Customers!A:J, 10,FALSE)</f>
        <v>Tameka Fisher</v>
      </c>
      <c r="J1613" s="3" t="str">
        <f>VLOOKUP(B1613,Customers!A:J,8,FALSE)</f>
        <v>CA</v>
      </c>
      <c r="K1613" s="3" t="str">
        <f>VLOOKUP(B1613,Customers!A:J,7,FALSE)</f>
        <v>Redondo Beach</v>
      </c>
      <c r="L1613" s="3" t="str">
        <f>VLOOKUP(H1613,Staff!A:I,9,FALSE)</f>
        <v>Genna Serrano</v>
      </c>
      <c r="M1613" s="3" t="str">
        <f>VLOOKUP(G1613,Store!A:H,2,FALSE)</f>
        <v>Santa Cruz Bikes</v>
      </c>
      <c r="N1613" s="3" t="str">
        <f>VLOOKUP(G1613,Store!A:H,6,FALSE)</f>
        <v>Santa Cruz</v>
      </c>
      <c r="O1613" s="3" t="s">
        <v>15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">
        <v>1613.0</v>
      </c>
      <c r="B1614" s="1">
        <v>1.0</v>
      </c>
      <c r="C1614" s="1">
        <v>3.0</v>
      </c>
      <c r="D1614" s="4">
        <v>43422.0</v>
      </c>
      <c r="E1614" s="4">
        <v>43422.0</v>
      </c>
      <c r="F1614" s="1" t="s">
        <v>18</v>
      </c>
      <c r="G1614" s="1">
        <v>2.0</v>
      </c>
      <c r="H1614" s="1">
        <v>6.0</v>
      </c>
      <c r="I1614" s="3" t="str">
        <f>VLOOKUP(B1614,Customers!A:J, 10,FALSE)</f>
        <v>Debra Burks</v>
      </c>
      <c r="J1614" s="3" t="str">
        <f>VLOOKUP(B1614,Customers!A:J,8,FALSE)</f>
        <v>NY</v>
      </c>
      <c r="K1614" s="3" t="str">
        <f>VLOOKUP(B1614,Customers!A:J,7,FALSE)</f>
        <v>Orchard Park</v>
      </c>
      <c r="L1614" s="3" t="str">
        <f>VLOOKUP(H1614,Staff!A:I,9,FALSE)</f>
        <v>Marcelene Boyer</v>
      </c>
      <c r="M1614" s="3" t="str">
        <f>VLOOKUP(G1614,Store!A:H,2,FALSE)</f>
        <v>Baldwin Bikes</v>
      </c>
      <c r="N1614" s="3" t="str">
        <f>VLOOKUP(G1614,Store!A:H,6,FALSE)</f>
        <v>Baldwin</v>
      </c>
      <c r="O1614" s="3" t="s">
        <v>16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">
        <v>1614.0</v>
      </c>
      <c r="B1615" s="1">
        <v>135.0</v>
      </c>
      <c r="C1615" s="1">
        <v>3.0</v>
      </c>
      <c r="D1615" s="4">
        <v>43432.0</v>
      </c>
      <c r="E1615" s="4">
        <v>43432.0</v>
      </c>
      <c r="F1615" s="1" t="s">
        <v>18</v>
      </c>
      <c r="G1615" s="1">
        <v>3.0</v>
      </c>
      <c r="H1615" s="1">
        <v>8.0</v>
      </c>
      <c r="I1615" s="3" t="str">
        <f>VLOOKUP(B1615,Customers!A:J, 10,FALSE)</f>
        <v>Dorthey Jackson</v>
      </c>
      <c r="J1615" s="3" t="str">
        <f>VLOOKUP(B1615,Customers!A:J,8,FALSE)</f>
        <v>TX</v>
      </c>
      <c r="K1615" s="3" t="str">
        <f>VLOOKUP(B1615,Customers!A:J,7,FALSE)</f>
        <v>Houston</v>
      </c>
      <c r="L1615" s="3" t="str">
        <f>VLOOKUP(H1615,Staff!A:I,9,FALSE)</f>
        <v>Kali Vargas</v>
      </c>
      <c r="M1615" s="3" t="str">
        <f>VLOOKUP(G1615,Store!A:H,2,FALSE)</f>
        <v>Rowlett Bikes</v>
      </c>
      <c r="N1615" s="3" t="str">
        <f>VLOOKUP(G1615,Store!A:H,6,FALSE)</f>
        <v>Rowlett</v>
      </c>
      <c r="O1615" s="3" t="s">
        <v>17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">
        <v>1615.0</v>
      </c>
      <c r="B1616" s="1">
        <v>136.0</v>
      </c>
      <c r="C1616" s="1">
        <v>3.0</v>
      </c>
      <c r="D1616" s="4">
        <v>43462.0</v>
      </c>
      <c r="E1616" s="4">
        <v>43462.0</v>
      </c>
      <c r="F1616" s="1" t="s">
        <v>18</v>
      </c>
      <c r="G1616" s="1">
        <v>3.0</v>
      </c>
      <c r="H1616" s="1">
        <v>8.0</v>
      </c>
      <c r="I1616" s="3" t="str">
        <f>VLOOKUP(B1616,Customers!A:J, 10,FALSE)</f>
        <v>Sarita Parks</v>
      </c>
      <c r="J1616" s="3" t="str">
        <f>VLOOKUP(B1616,Customers!A:J,8,FALSE)</f>
        <v>TX</v>
      </c>
      <c r="K1616" s="3" t="str">
        <f>VLOOKUP(B1616,Customers!A:J,7,FALSE)</f>
        <v>Forney</v>
      </c>
      <c r="L1616" s="3" t="str">
        <f>VLOOKUP(H1616,Staff!A:I,9,FALSE)</f>
        <v>Kali Vargas</v>
      </c>
      <c r="M1616" s="3" t="str">
        <f>VLOOKUP(G1616,Store!A:H,2,FALSE)</f>
        <v>Rowlett Bikes</v>
      </c>
      <c r="N1616" s="3" t="str">
        <f>VLOOKUP(G1616,Store!A:H,6,FALSE)</f>
        <v>Rowlett</v>
      </c>
      <c r="O1616" s="3" t="s">
        <v>17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"/>
      <c r="B1617" s="1"/>
      <c r="C1617" s="1"/>
      <c r="D1617" s="4"/>
      <c r="E1617" s="4"/>
      <c r="F1617" s="1"/>
      <c r="G1617" s="1"/>
      <c r="H1617" s="1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"/>
      <c r="B1618" s="1"/>
      <c r="C1618" s="1"/>
      <c r="D1618" s="4"/>
      <c r="E1618" s="4"/>
      <c r="F1618" s="1"/>
      <c r="G1618" s="1"/>
      <c r="H1618" s="1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"/>
      <c r="B1619" s="1"/>
      <c r="C1619" s="1"/>
      <c r="D1619" s="4"/>
      <c r="E1619" s="4"/>
      <c r="F1619" s="1"/>
      <c r="G1619" s="1"/>
      <c r="H1619" s="1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"/>
      <c r="B1620" s="1"/>
      <c r="C1620" s="1"/>
      <c r="D1620" s="4"/>
      <c r="E1620" s="4"/>
      <c r="F1620" s="1"/>
      <c r="G1620" s="1"/>
      <c r="H1620" s="1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"/>
      <c r="B1621" s="1"/>
      <c r="C1621" s="1"/>
      <c r="D1621" s="4"/>
      <c r="E1621" s="4"/>
      <c r="F1621" s="1"/>
      <c r="G1621" s="1"/>
      <c r="H1621" s="1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"/>
      <c r="B1622" s="1"/>
      <c r="C1622" s="1"/>
      <c r="D1622" s="4"/>
      <c r="E1622" s="4"/>
      <c r="F1622" s="1"/>
      <c r="G1622" s="1"/>
      <c r="H1622" s="1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"/>
      <c r="B1623" s="1"/>
      <c r="C1623" s="1"/>
      <c r="D1623" s="4"/>
      <c r="E1623" s="4"/>
      <c r="F1623" s="1"/>
      <c r="G1623" s="1"/>
      <c r="H1623" s="1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"/>
      <c r="B1624" s="1"/>
      <c r="C1624" s="1"/>
      <c r="D1624" s="4"/>
      <c r="E1624" s="4"/>
      <c r="F1624" s="1"/>
      <c r="G1624" s="1"/>
      <c r="H1624" s="1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"/>
      <c r="B1625" s="1"/>
      <c r="C1625" s="1"/>
      <c r="D1625" s="4"/>
      <c r="E1625" s="4"/>
      <c r="F1625" s="1"/>
      <c r="G1625" s="1"/>
      <c r="H1625" s="1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"/>
      <c r="B1626" s="1"/>
      <c r="C1626" s="1"/>
      <c r="D1626" s="4"/>
      <c r="E1626" s="4"/>
      <c r="F1626" s="1"/>
      <c r="G1626" s="1"/>
      <c r="H1626" s="1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"/>
      <c r="B1627" s="1"/>
      <c r="C1627" s="1"/>
      <c r="D1627" s="4"/>
      <c r="E1627" s="4"/>
      <c r="F1627" s="1"/>
      <c r="G1627" s="1"/>
      <c r="H1627" s="1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"/>
      <c r="B1628" s="1"/>
      <c r="C1628" s="1"/>
      <c r="D1628" s="4"/>
      <c r="E1628" s="4"/>
      <c r="F1628" s="1"/>
      <c r="G1628" s="1"/>
      <c r="H1628" s="1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"/>
      <c r="B1629" s="1"/>
      <c r="C1629" s="1"/>
      <c r="D1629" s="4"/>
      <c r="E1629" s="4"/>
      <c r="F1629" s="1"/>
      <c r="G1629" s="1"/>
      <c r="H1629" s="1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"/>
      <c r="B1630" s="1"/>
      <c r="C1630" s="1"/>
      <c r="D1630" s="4"/>
      <c r="E1630" s="4"/>
      <c r="F1630" s="1"/>
      <c r="G1630" s="1"/>
      <c r="H1630" s="1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"/>
      <c r="B1631" s="1"/>
      <c r="C1631" s="1"/>
      <c r="D1631" s="4"/>
      <c r="E1631" s="4"/>
      <c r="F1631" s="1"/>
      <c r="G1631" s="1"/>
      <c r="H1631" s="1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"/>
      <c r="B1632" s="1"/>
      <c r="C1632" s="1"/>
      <c r="D1632" s="4"/>
      <c r="E1632" s="4"/>
      <c r="F1632" s="1"/>
      <c r="G1632" s="1"/>
      <c r="H1632" s="1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"/>
      <c r="B1633" s="1"/>
      <c r="C1633" s="1"/>
      <c r="D1633" s="4"/>
      <c r="E1633" s="4"/>
      <c r="F1633" s="1"/>
      <c r="G1633" s="1"/>
      <c r="H1633" s="1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"/>
      <c r="B1634" s="1"/>
      <c r="C1634" s="1"/>
      <c r="D1634" s="4"/>
      <c r="E1634" s="4"/>
      <c r="F1634" s="1"/>
      <c r="G1634" s="1"/>
      <c r="H1634" s="1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"/>
      <c r="B1635" s="1"/>
      <c r="C1635" s="1"/>
      <c r="D1635" s="4"/>
      <c r="E1635" s="4"/>
      <c r="F1635" s="1"/>
      <c r="G1635" s="1"/>
      <c r="H1635" s="1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"/>
      <c r="B1636" s="1"/>
      <c r="C1636" s="1"/>
      <c r="D1636" s="4"/>
      <c r="E1636" s="4"/>
      <c r="F1636" s="1"/>
      <c r="G1636" s="1"/>
      <c r="H1636" s="1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1"/>
      <c r="B1637" s="1"/>
      <c r="C1637" s="1"/>
      <c r="D1637" s="4"/>
      <c r="E1637" s="4"/>
      <c r="F1637" s="1"/>
      <c r="G1637" s="1"/>
      <c r="H1637" s="1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"/>
      <c r="B1638" s="1"/>
      <c r="C1638" s="1"/>
      <c r="D1638" s="4"/>
      <c r="E1638" s="4"/>
      <c r="F1638" s="1"/>
      <c r="G1638" s="1"/>
      <c r="H1638" s="1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"/>
      <c r="B1639" s="1"/>
      <c r="C1639" s="1"/>
      <c r="D1639" s="4"/>
      <c r="E1639" s="4"/>
      <c r="F1639" s="1"/>
      <c r="G1639" s="1"/>
      <c r="H1639" s="1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"/>
      <c r="B1640" s="1"/>
      <c r="C1640" s="1"/>
      <c r="D1640" s="4"/>
      <c r="E1640" s="4"/>
      <c r="F1640" s="1"/>
      <c r="G1640" s="1"/>
      <c r="H1640" s="1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"/>
      <c r="B1641" s="1"/>
      <c r="C1641" s="1"/>
      <c r="D1641" s="4"/>
      <c r="E1641" s="4"/>
      <c r="F1641" s="1"/>
      <c r="G1641" s="1"/>
      <c r="H1641" s="1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"/>
      <c r="B1642" s="1"/>
      <c r="C1642" s="1"/>
      <c r="D1642" s="4"/>
      <c r="E1642" s="4"/>
      <c r="F1642" s="1"/>
      <c r="G1642" s="1"/>
      <c r="H1642" s="1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"/>
      <c r="B1643" s="1"/>
      <c r="C1643" s="1"/>
      <c r="D1643" s="4"/>
      <c r="E1643" s="4"/>
      <c r="F1643" s="1"/>
      <c r="G1643" s="1"/>
      <c r="H1643" s="1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"/>
      <c r="B1644" s="1"/>
      <c r="C1644" s="1"/>
      <c r="D1644" s="4"/>
      <c r="E1644" s="4"/>
      <c r="F1644" s="1"/>
      <c r="G1644" s="1"/>
      <c r="H1644" s="1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"/>
      <c r="B1645" s="1"/>
      <c r="C1645" s="1"/>
      <c r="D1645" s="4"/>
      <c r="E1645" s="4"/>
      <c r="F1645" s="1"/>
      <c r="G1645" s="1"/>
      <c r="H1645" s="1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"/>
      <c r="B1646" s="1"/>
      <c r="C1646" s="1"/>
      <c r="D1646" s="4"/>
      <c r="E1646" s="4"/>
      <c r="F1646" s="1"/>
      <c r="G1646" s="1"/>
      <c r="H1646" s="1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"/>
      <c r="B1647" s="1"/>
      <c r="C1647" s="1"/>
      <c r="D1647" s="4"/>
      <c r="E1647" s="4"/>
      <c r="F1647" s="1"/>
      <c r="G1647" s="1"/>
      <c r="H1647" s="1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"/>
      <c r="B1648" s="1"/>
      <c r="C1648" s="1"/>
      <c r="D1648" s="4"/>
      <c r="E1648" s="4"/>
      <c r="F1648" s="1"/>
      <c r="G1648" s="1"/>
      <c r="H1648" s="1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"/>
      <c r="B1649" s="1"/>
      <c r="C1649" s="1"/>
      <c r="D1649" s="4"/>
      <c r="E1649" s="4"/>
      <c r="F1649" s="1"/>
      <c r="G1649" s="1"/>
      <c r="H1649" s="1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"/>
      <c r="B1650" s="1"/>
      <c r="C1650" s="1"/>
      <c r="D1650" s="4"/>
      <c r="E1650" s="4"/>
      <c r="F1650" s="1"/>
      <c r="G1650" s="1"/>
      <c r="H1650" s="1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"/>
      <c r="B1651" s="1"/>
      <c r="C1651" s="1"/>
      <c r="D1651" s="4"/>
      <c r="E1651" s="4"/>
      <c r="F1651" s="1"/>
      <c r="G1651" s="1"/>
      <c r="H1651" s="1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"/>
      <c r="B1652" s="1"/>
      <c r="C1652" s="1"/>
      <c r="D1652" s="4"/>
      <c r="E1652" s="4"/>
      <c r="F1652" s="1"/>
      <c r="G1652" s="1"/>
      <c r="H1652" s="1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"/>
      <c r="B1653" s="1"/>
      <c r="C1653" s="1"/>
      <c r="D1653" s="4"/>
      <c r="E1653" s="4"/>
      <c r="F1653" s="1"/>
      <c r="G1653" s="1"/>
      <c r="H1653" s="1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"/>
      <c r="B1654" s="1"/>
      <c r="C1654" s="1"/>
      <c r="D1654" s="4"/>
      <c r="E1654" s="4"/>
      <c r="F1654" s="1"/>
      <c r="G1654" s="1"/>
      <c r="H1654" s="1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"/>
      <c r="B1655" s="1"/>
      <c r="C1655" s="1"/>
      <c r="D1655" s="4"/>
      <c r="E1655" s="4"/>
      <c r="F1655" s="1"/>
      <c r="G1655" s="1"/>
      <c r="H1655" s="1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"/>
      <c r="B1656" s="1"/>
      <c r="C1656" s="1"/>
      <c r="D1656" s="4"/>
      <c r="E1656" s="4"/>
      <c r="F1656" s="1"/>
      <c r="G1656" s="1"/>
      <c r="H1656" s="1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"/>
      <c r="B1657" s="1"/>
      <c r="C1657" s="1"/>
      <c r="D1657" s="4"/>
      <c r="E1657" s="4"/>
      <c r="F1657" s="1"/>
      <c r="G1657" s="1"/>
      <c r="H1657" s="1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"/>
      <c r="B1658" s="1"/>
      <c r="C1658" s="1"/>
      <c r="D1658" s="4"/>
      <c r="E1658" s="4"/>
      <c r="F1658" s="1"/>
      <c r="G1658" s="1"/>
      <c r="H1658" s="1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"/>
      <c r="B1659" s="1"/>
      <c r="C1659" s="1"/>
      <c r="D1659" s="4"/>
      <c r="E1659" s="4"/>
      <c r="F1659" s="1"/>
      <c r="G1659" s="1"/>
      <c r="H1659" s="1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"/>
      <c r="B1660" s="1"/>
      <c r="C1660" s="1"/>
      <c r="D1660" s="4"/>
      <c r="E1660" s="4"/>
      <c r="F1660" s="1"/>
      <c r="G1660" s="1"/>
      <c r="H1660" s="1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"/>
      <c r="B1661" s="1"/>
      <c r="C1661" s="1"/>
      <c r="D1661" s="4"/>
      <c r="E1661" s="4"/>
      <c r="F1661" s="1"/>
      <c r="G1661" s="1"/>
      <c r="H1661" s="1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"/>
      <c r="B1662" s="1"/>
      <c r="C1662" s="1"/>
      <c r="D1662" s="4"/>
      <c r="E1662" s="4"/>
      <c r="F1662" s="1"/>
      <c r="G1662" s="1"/>
      <c r="H1662" s="1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"/>
      <c r="B1663" s="1"/>
      <c r="C1663" s="1"/>
      <c r="D1663" s="4"/>
      <c r="E1663" s="4"/>
      <c r="F1663" s="1"/>
      <c r="G1663" s="1"/>
      <c r="H1663" s="1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"/>
      <c r="B1664" s="1"/>
      <c r="C1664" s="1"/>
      <c r="D1664" s="4"/>
      <c r="E1664" s="4"/>
      <c r="F1664" s="1"/>
      <c r="G1664" s="1"/>
      <c r="H1664" s="1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"/>
      <c r="B1665" s="1"/>
      <c r="C1665" s="1"/>
      <c r="D1665" s="4"/>
      <c r="E1665" s="4"/>
      <c r="F1665" s="1"/>
      <c r="G1665" s="1"/>
      <c r="H1665" s="1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"/>
      <c r="B1666" s="1"/>
      <c r="C1666" s="1"/>
      <c r="D1666" s="4"/>
      <c r="E1666" s="4"/>
      <c r="F1666" s="1"/>
      <c r="G1666" s="1"/>
      <c r="H1666" s="1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"/>
      <c r="B1667" s="1"/>
      <c r="C1667" s="1"/>
      <c r="D1667" s="4"/>
      <c r="E1667" s="4"/>
      <c r="F1667" s="1"/>
      <c r="G1667" s="1"/>
      <c r="H1667" s="1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"/>
      <c r="B1668" s="1"/>
      <c r="C1668" s="1"/>
      <c r="D1668" s="4"/>
      <c r="E1668" s="4"/>
      <c r="F1668" s="1"/>
      <c r="G1668" s="1"/>
      <c r="H1668" s="1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"/>
      <c r="B1669" s="1"/>
      <c r="C1669" s="1"/>
      <c r="D1669" s="4"/>
      <c r="E1669" s="4"/>
      <c r="F1669" s="1"/>
      <c r="G1669" s="1"/>
      <c r="H1669" s="1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"/>
      <c r="B1670" s="1"/>
      <c r="C1670" s="1"/>
      <c r="D1670" s="4"/>
      <c r="E1670" s="4"/>
      <c r="F1670" s="1"/>
      <c r="G1670" s="1"/>
      <c r="H1670" s="1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"/>
      <c r="B1671" s="1"/>
      <c r="C1671" s="1"/>
      <c r="D1671" s="4"/>
      <c r="E1671" s="4"/>
      <c r="F1671" s="1"/>
      <c r="G1671" s="1"/>
      <c r="H1671" s="1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"/>
      <c r="B1672" s="1"/>
      <c r="C1672" s="1"/>
      <c r="D1672" s="4"/>
      <c r="E1672" s="4"/>
      <c r="F1672" s="1"/>
      <c r="G1672" s="1"/>
      <c r="H1672" s="1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"/>
      <c r="B1673" s="1"/>
      <c r="C1673" s="1"/>
      <c r="D1673" s="4"/>
      <c r="E1673" s="4"/>
      <c r="F1673" s="1"/>
      <c r="G1673" s="1"/>
      <c r="H1673" s="1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"/>
      <c r="B1674" s="1"/>
      <c r="C1674" s="1"/>
      <c r="D1674" s="4"/>
      <c r="E1674" s="4"/>
      <c r="F1674" s="1"/>
      <c r="G1674" s="1"/>
      <c r="H1674" s="1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"/>
      <c r="B1675" s="1"/>
      <c r="C1675" s="1"/>
      <c r="D1675" s="4"/>
      <c r="E1675" s="4"/>
      <c r="F1675" s="1"/>
      <c r="G1675" s="1"/>
      <c r="H1675" s="1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"/>
      <c r="B1676" s="1"/>
      <c r="C1676" s="1"/>
      <c r="D1676" s="4"/>
      <c r="E1676" s="4"/>
      <c r="F1676" s="1"/>
      <c r="G1676" s="1"/>
      <c r="H1676" s="1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"/>
      <c r="B1677" s="1"/>
      <c r="C1677" s="1"/>
      <c r="D1677" s="4"/>
      <c r="E1677" s="4"/>
      <c r="F1677" s="1"/>
      <c r="G1677" s="1"/>
      <c r="H1677" s="1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"/>
      <c r="B1678" s="1"/>
      <c r="C1678" s="1"/>
      <c r="D1678" s="4"/>
      <c r="E1678" s="4"/>
      <c r="F1678" s="1"/>
      <c r="G1678" s="1"/>
      <c r="H1678" s="1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"/>
      <c r="B1679" s="1"/>
      <c r="C1679" s="1"/>
      <c r="D1679" s="4"/>
      <c r="E1679" s="4"/>
      <c r="F1679" s="1"/>
      <c r="G1679" s="1"/>
      <c r="H1679" s="1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"/>
      <c r="B1680" s="1"/>
      <c r="C1680" s="1"/>
      <c r="D1680" s="4"/>
      <c r="E1680" s="4"/>
      <c r="F1680" s="1"/>
      <c r="G1680" s="1"/>
      <c r="H1680" s="1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"/>
      <c r="B1681" s="1"/>
      <c r="C1681" s="1"/>
      <c r="D1681" s="4"/>
      <c r="E1681" s="4"/>
      <c r="F1681" s="1"/>
      <c r="G1681" s="1"/>
      <c r="H1681" s="1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"/>
      <c r="B1682" s="1"/>
      <c r="C1682" s="1"/>
      <c r="D1682" s="4"/>
      <c r="E1682" s="4"/>
      <c r="F1682" s="1"/>
      <c r="G1682" s="1"/>
      <c r="H1682" s="1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"/>
      <c r="B1683" s="1"/>
      <c r="C1683" s="1"/>
      <c r="D1683" s="4"/>
      <c r="E1683" s="4"/>
      <c r="F1683" s="1"/>
      <c r="G1683" s="1"/>
      <c r="H1683" s="1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"/>
      <c r="B1684" s="1"/>
      <c r="C1684" s="1"/>
      <c r="D1684" s="4"/>
      <c r="E1684" s="4"/>
      <c r="F1684" s="1"/>
      <c r="G1684" s="1"/>
      <c r="H1684" s="1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"/>
      <c r="B1685" s="1"/>
      <c r="C1685" s="1"/>
      <c r="D1685" s="4"/>
      <c r="E1685" s="4"/>
      <c r="F1685" s="1"/>
      <c r="G1685" s="1"/>
      <c r="H1685" s="1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"/>
      <c r="B1686" s="1"/>
      <c r="C1686" s="1"/>
      <c r="D1686" s="4"/>
      <c r="E1686" s="4"/>
      <c r="F1686" s="1"/>
      <c r="G1686" s="1"/>
      <c r="H1686" s="1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"/>
      <c r="B1687" s="1"/>
      <c r="C1687" s="1"/>
      <c r="D1687" s="4"/>
      <c r="E1687" s="4"/>
      <c r="F1687" s="1"/>
      <c r="G1687" s="1"/>
      <c r="H1687" s="1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"/>
      <c r="B1688" s="1"/>
      <c r="C1688" s="1"/>
      <c r="D1688" s="4"/>
      <c r="E1688" s="4"/>
      <c r="F1688" s="1"/>
      <c r="G1688" s="1"/>
      <c r="H1688" s="1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"/>
      <c r="B1689" s="1"/>
      <c r="C1689" s="1"/>
      <c r="D1689" s="4"/>
      <c r="E1689" s="4"/>
      <c r="F1689" s="1"/>
      <c r="G1689" s="1"/>
      <c r="H1689" s="1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"/>
      <c r="B1690" s="1"/>
      <c r="C1690" s="1"/>
      <c r="D1690" s="4"/>
      <c r="E1690" s="4"/>
      <c r="F1690" s="1"/>
      <c r="G1690" s="1"/>
      <c r="H1690" s="1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"/>
      <c r="B1691" s="1"/>
      <c r="C1691" s="1"/>
      <c r="D1691" s="4"/>
      <c r="E1691" s="4"/>
      <c r="F1691" s="1"/>
      <c r="G1691" s="1"/>
      <c r="H1691" s="1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"/>
      <c r="B1692" s="1"/>
      <c r="C1692" s="1"/>
      <c r="D1692" s="4"/>
      <c r="E1692" s="4"/>
      <c r="F1692" s="1"/>
      <c r="G1692" s="1"/>
      <c r="H1692" s="1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1"/>
      <c r="B1693" s="1"/>
      <c r="C1693" s="1"/>
      <c r="D1693" s="4"/>
      <c r="E1693" s="4"/>
      <c r="F1693" s="1"/>
      <c r="G1693" s="1"/>
      <c r="H1693" s="1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"/>
      <c r="B1694" s="1"/>
      <c r="C1694" s="1"/>
      <c r="D1694" s="4"/>
      <c r="E1694" s="4"/>
      <c r="F1694" s="1"/>
      <c r="G1694" s="1"/>
      <c r="H1694" s="1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"/>
      <c r="B1695" s="1"/>
      <c r="C1695" s="1"/>
      <c r="D1695" s="4"/>
      <c r="E1695" s="4"/>
      <c r="F1695" s="1"/>
      <c r="G1695" s="1"/>
      <c r="H1695" s="1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"/>
      <c r="B1696" s="1"/>
      <c r="C1696" s="1"/>
      <c r="D1696" s="4"/>
      <c r="E1696" s="4"/>
      <c r="F1696" s="1"/>
      <c r="G1696" s="1"/>
      <c r="H1696" s="1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"/>
      <c r="B1697" s="1"/>
      <c r="C1697" s="1"/>
      <c r="D1697" s="4"/>
      <c r="E1697" s="4"/>
      <c r="F1697" s="1"/>
      <c r="G1697" s="1"/>
      <c r="H1697" s="1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"/>
      <c r="B1698" s="1"/>
      <c r="C1698" s="1"/>
      <c r="D1698" s="4"/>
      <c r="E1698" s="4"/>
      <c r="F1698" s="1"/>
      <c r="G1698" s="1"/>
      <c r="H1698" s="1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"/>
      <c r="B1699" s="1"/>
      <c r="C1699" s="1"/>
      <c r="D1699" s="4"/>
      <c r="E1699" s="4"/>
      <c r="F1699" s="1"/>
      <c r="G1699" s="1"/>
      <c r="H1699" s="1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"/>
      <c r="B1700" s="1"/>
      <c r="C1700" s="1"/>
      <c r="D1700" s="4"/>
      <c r="E1700" s="4"/>
      <c r="F1700" s="1"/>
      <c r="G1700" s="1"/>
      <c r="H1700" s="1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"/>
      <c r="B1701" s="1"/>
      <c r="C1701" s="1"/>
      <c r="D1701" s="4"/>
      <c r="E1701" s="4"/>
      <c r="F1701" s="1"/>
      <c r="G1701" s="1"/>
      <c r="H1701" s="1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"/>
      <c r="B1702" s="1"/>
      <c r="C1702" s="1"/>
      <c r="D1702" s="4"/>
      <c r="E1702" s="4"/>
      <c r="F1702" s="1"/>
      <c r="G1702" s="1"/>
      <c r="H1702" s="1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"/>
      <c r="B1703" s="1"/>
      <c r="C1703" s="1"/>
      <c r="D1703" s="4"/>
      <c r="E1703" s="4"/>
      <c r="F1703" s="1"/>
      <c r="G1703" s="1"/>
      <c r="H1703" s="1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"/>
      <c r="B1704" s="1"/>
      <c r="C1704" s="1"/>
      <c r="D1704" s="4"/>
      <c r="E1704" s="4"/>
      <c r="F1704" s="1"/>
      <c r="G1704" s="1"/>
      <c r="H1704" s="1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"/>
      <c r="B1705" s="1"/>
      <c r="C1705" s="1"/>
      <c r="D1705" s="4"/>
      <c r="E1705" s="4"/>
      <c r="F1705" s="1"/>
      <c r="G1705" s="1"/>
      <c r="H1705" s="1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"/>
      <c r="B1706" s="1"/>
      <c r="C1706" s="1"/>
      <c r="D1706" s="4"/>
      <c r="E1706" s="4"/>
      <c r="F1706" s="1"/>
      <c r="G1706" s="1"/>
      <c r="H1706" s="1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1"/>
      <c r="B1707" s="1"/>
      <c r="C1707" s="1"/>
      <c r="D1707" s="4"/>
      <c r="E1707" s="4"/>
      <c r="F1707" s="1"/>
      <c r="G1707" s="1"/>
      <c r="H1707" s="1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"/>
      <c r="B1708" s="1"/>
      <c r="C1708" s="1"/>
      <c r="D1708" s="4"/>
      <c r="E1708" s="4"/>
      <c r="F1708" s="1"/>
      <c r="G1708" s="1"/>
      <c r="H1708" s="1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"/>
      <c r="B1709" s="1"/>
      <c r="C1709" s="1"/>
      <c r="D1709" s="4"/>
      <c r="E1709" s="4"/>
      <c r="F1709" s="1"/>
      <c r="G1709" s="1"/>
      <c r="H1709" s="1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"/>
      <c r="B1710" s="1"/>
      <c r="C1710" s="1"/>
      <c r="D1710" s="4"/>
      <c r="E1710" s="4"/>
      <c r="F1710" s="1"/>
      <c r="G1710" s="1"/>
      <c r="H1710" s="1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"/>
      <c r="B1711" s="1"/>
      <c r="C1711" s="1"/>
      <c r="D1711" s="4"/>
      <c r="E1711" s="4"/>
      <c r="F1711" s="1"/>
      <c r="G1711" s="1"/>
      <c r="H1711" s="1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"/>
      <c r="B1712" s="1"/>
      <c r="C1712" s="1"/>
      <c r="D1712" s="4"/>
      <c r="E1712" s="4"/>
      <c r="F1712" s="1"/>
      <c r="G1712" s="1"/>
      <c r="H1712" s="1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"/>
      <c r="B1713" s="1"/>
      <c r="C1713" s="1"/>
      <c r="D1713" s="4"/>
      <c r="E1713" s="4"/>
      <c r="F1713" s="1"/>
      <c r="G1713" s="1"/>
      <c r="H1713" s="1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"/>
      <c r="B1714" s="1"/>
      <c r="C1714" s="1"/>
      <c r="D1714" s="4"/>
      <c r="E1714" s="4"/>
      <c r="F1714" s="1"/>
      <c r="G1714" s="1"/>
      <c r="H1714" s="1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"/>
      <c r="B1715" s="1"/>
      <c r="C1715" s="1"/>
      <c r="D1715" s="4"/>
      <c r="E1715" s="4"/>
      <c r="F1715" s="1"/>
      <c r="G1715" s="1"/>
      <c r="H1715" s="1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"/>
      <c r="B1716" s="1"/>
      <c r="C1716" s="1"/>
      <c r="D1716" s="4"/>
      <c r="E1716" s="4"/>
      <c r="F1716" s="1"/>
      <c r="G1716" s="1"/>
      <c r="H1716" s="1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"/>
      <c r="B1717" s="1"/>
      <c r="C1717" s="1"/>
      <c r="D1717" s="4"/>
      <c r="E1717" s="4"/>
      <c r="F1717" s="1"/>
      <c r="G1717" s="1"/>
      <c r="H1717" s="1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"/>
      <c r="B1718" s="1"/>
      <c r="C1718" s="1"/>
      <c r="D1718" s="4"/>
      <c r="E1718" s="4"/>
      <c r="F1718" s="1"/>
      <c r="G1718" s="1"/>
      <c r="H1718" s="1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"/>
      <c r="B1719" s="1"/>
      <c r="C1719" s="1"/>
      <c r="D1719" s="4"/>
      <c r="E1719" s="4"/>
      <c r="F1719" s="1"/>
      <c r="G1719" s="1"/>
      <c r="H1719" s="1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"/>
      <c r="B1720" s="1"/>
      <c r="C1720" s="1"/>
      <c r="D1720" s="4"/>
      <c r="E1720" s="4"/>
      <c r="F1720" s="1"/>
      <c r="G1720" s="1"/>
      <c r="H1720" s="1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1"/>
      <c r="B1721" s="1"/>
      <c r="C1721" s="1"/>
      <c r="D1721" s="4"/>
      <c r="E1721" s="4"/>
      <c r="F1721" s="1"/>
      <c r="G1721" s="1"/>
      <c r="H1721" s="1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"/>
      <c r="B1722" s="1"/>
      <c r="C1722" s="1"/>
      <c r="D1722" s="4"/>
      <c r="E1722" s="4"/>
      <c r="F1722" s="1"/>
      <c r="G1722" s="1"/>
      <c r="H1722" s="1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"/>
      <c r="B1723" s="1"/>
      <c r="C1723" s="1"/>
      <c r="D1723" s="4"/>
      <c r="E1723" s="4"/>
      <c r="F1723" s="1"/>
      <c r="G1723" s="1"/>
      <c r="H1723" s="1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"/>
      <c r="B1724" s="1"/>
      <c r="C1724" s="1"/>
      <c r="D1724" s="4"/>
      <c r="E1724" s="4"/>
      <c r="F1724" s="1"/>
      <c r="G1724" s="1"/>
      <c r="H1724" s="1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"/>
      <c r="B1725" s="1"/>
      <c r="C1725" s="1"/>
      <c r="D1725" s="4"/>
      <c r="E1725" s="4"/>
      <c r="F1725" s="1"/>
      <c r="G1725" s="1"/>
      <c r="H1725" s="1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"/>
      <c r="B1726" s="1"/>
      <c r="C1726" s="1"/>
      <c r="D1726" s="4"/>
      <c r="E1726" s="4"/>
      <c r="F1726" s="1"/>
      <c r="G1726" s="1"/>
      <c r="H1726" s="1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"/>
      <c r="B1727" s="1"/>
      <c r="C1727" s="1"/>
      <c r="D1727" s="4"/>
      <c r="E1727" s="4"/>
      <c r="F1727" s="1"/>
      <c r="G1727" s="1"/>
      <c r="H1727" s="1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"/>
      <c r="B1728" s="1"/>
      <c r="C1728" s="1"/>
      <c r="D1728" s="4"/>
      <c r="E1728" s="4"/>
      <c r="F1728" s="1"/>
      <c r="G1728" s="1"/>
      <c r="H1728" s="1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"/>
      <c r="B1729" s="1"/>
      <c r="C1729" s="1"/>
      <c r="D1729" s="4"/>
      <c r="E1729" s="4"/>
      <c r="F1729" s="1"/>
      <c r="G1729" s="1"/>
      <c r="H1729" s="1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"/>
      <c r="B1730" s="1"/>
      <c r="C1730" s="1"/>
      <c r="D1730" s="4"/>
      <c r="E1730" s="4"/>
      <c r="F1730" s="1"/>
      <c r="G1730" s="1"/>
      <c r="H1730" s="1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"/>
      <c r="B1731" s="1"/>
      <c r="C1731" s="1"/>
      <c r="D1731" s="4"/>
      <c r="E1731" s="4"/>
      <c r="F1731" s="1"/>
      <c r="G1731" s="1"/>
      <c r="H1731" s="1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1"/>
      <c r="B1732" s="1"/>
      <c r="C1732" s="1"/>
      <c r="D1732" s="4"/>
      <c r="E1732" s="4"/>
      <c r="F1732" s="1"/>
      <c r="G1732" s="1"/>
      <c r="H1732" s="1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"/>
      <c r="B1733" s="1"/>
      <c r="C1733" s="1"/>
      <c r="D1733" s="4"/>
      <c r="E1733" s="4"/>
      <c r="F1733" s="1"/>
      <c r="G1733" s="1"/>
      <c r="H1733" s="1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"/>
      <c r="B1734" s="1"/>
      <c r="C1734" s="1"/>
      <c r="D1734" s="4"/>
      <c r="E1734" s="4"/>
      <c r="F1734" s="1"/>
      <c r="G1734" s="1"/>
      <c r="H1734" s="1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"/>
      <c r="B1735" s="1"/>
      <c r="C1735" s="1"/>
      <c r="D1735" s="4"/>
      <c r="E1735" s="4"/>
      <c r="F1735" s="1"/>
      <c r="G1735" s="1"/>
      <c r="H1735" s="1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"/>
      <c r="B1736" s="1"/>
      <c r="C1736" s="1"/>
      <c r="D1736" s="4"/>
      <c r="E1736" s="4"/>
      <c r="F1736" s="1"/>
      <c r="G1736" s="1"/>
      <c r="H1736" s="1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"/>
      <c r="B1737" s="1"/>
      <c r="C1737" s="1"/>
      <c r="D1737" s="4"/>
      <c r="E1737" s="4"/>
      <c r="F1737" s="1"/>
      <c r="G1737" s="1"/>
      <c r="H1737" s="1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"/>
      <c r="B1738" s="1"/>
      <c r="C1738" s="1"/>
      <c r="D1738" s="4"/>
      <c r="E1738" s="4"/>
      <c r="F1738" s="1"/>
      <c r="G1738" s="1"/>
      <c r="H1738" s="1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"/>
      <c r="B1739" s="1"/>
      <c r="C1739" s="1"/>
      <c r="D1739" s="4"/>
      <c r="E1739" s="4"/>
      <c r="F1739" s="1"/>
      <c r="G1739" s="1"/>
      <c r="H1739" s="1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"/>
      <c r="B1740" s="1"/>
      <c r="C1740" s="1"/>
      <c r="D1740" s="4"/>
      <c r="E1740" s="4"/>
      <c r="F1740" s="1"/>
      <c r="G1740" s="1"/>
      <c r="H1740" s="1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"/>
      <c r="B1741" s="1"/>
      <c r="C1741" s="1"/>
      <c r="D1741" s="4"/>
      <c r="E1741" s="4"/>
      <c r="F1741" s="1"/>
      <c r="G1741" s="1"/>
      <c r="H1741" s="1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"/>
      <c r="B1742" s="1"/>
      <c r="C1742" s="1"/>
      <c r="D1742" s="4"/>
      <c r="E1742" s="4"/>
      <c r="F1742" s="1"/>
      <c r="G1742" s="1"/>
      <c r="H1742" s="1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"/>
      <c r="B1743" s="1"/>
      <c r="C1743" s="1"/>
      <c r="D1743" s="4"/>
      <c r="E1743" s="4"/>
      <c r="F1743" s="1"/>
      <c r="G1743" s="1"/>
      <c r="H1743" s="1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"/>
      <c r="B1744" s="1"/>
      <c r="C1744" s="1"/>
      <c r="D1744" s="4"/>
      <c r="E1744" s="4"/>
      <c r="F1744" s="1"/>
      <c r="G1744" s="1"/>
      <c r="H1744" s="1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"/>
      <c r="B1745" s="1"/>
      <c r="C1745" s="1"/>
      <c r="D1745" s="4"/>
      <c r="E1745" s="4"/>
      <c r="F1745" s="1"/>
      <c r="G1745" s="1"/>
      <c r="H1745" s="1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"/>
      <c r="B1746" s="1"/>
      <c r="C1746" s="1"/>
      <c r="D1746" s="4"/>
      <c r="E1746" s="4"/>
      <c r="F1746" s="1"/>
      <c r="G1746" s="1"/>
      <c r="H1746" s="1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"/>
      <c r="B1747" s="1"/>
      <c r="C1747" s="1"/>
      <c r="D1747" s="4"/>
      <c r="E1747" s="4"/>
      <c r="F1747" s="1"/>
      <c r="G1747" s="1"/>
      <c r="H1747" s="1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"/>
      <c r="B1748" s="1"/>
      <c r="C1748" s="1"/>
      <c r="D1748" s="4"/>
      <c r="E1748" s="4"/>
      <c r="F1748" s="1"/>
      <c r="G1748" s="1"/>
      <c r="H1748" s="1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"/>
      <c r="B1749" s="1"/>
      <c r="C1749" s="1"/>
      <c r="D1749" s="4"/>
      <c r="E1749" s="4"/>
      <c r="F1749" s="1"/>
      <c r="G1749" s="1"/>
      <c r="H1749" s="1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"/>
      <c r="B1750" s="1"/>
      <c r="C1750" s="1"/>
      <c r="D1750" s="4"/>
      <c r="E1750" s="4"/>
      <c r="F1750" s="1"/>
      <c r="G1750" s="1"/>
      <c r="H1750" s="1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"/>
      <c r="B1751" s="1"/>
      <c r="C1751" s="1"/>
      <c r="D1751" s="4"/>
      <c r="E1751" s="4"/>
      <c r="F1751" s="1"/>
      <c r="G1751" s="1"/>
      <c r="H1751" s="1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"/>
      <c r="B1752" s="1"/>
      <c r="C1752" s="1"/>
      <c r="D1752" s="4"/>
      <c r="E1752" s="4"/>
      <c r="F1752" s="1"/>
      <c r="G1752" s="1"/>
      <c r="H1752" s="1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"/>
      <c r="B1753" s="1"/>
      <c r="C1753" s="1"/>
      <c r="D1753" s="4"/>
      <c r="E1753" s="4"/>
      <c r="F1753" s="1"/>
      <c r="G1753" s="1"/>
      <c r="H1753" s="1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"/>
      <c r="B1754" s="1"/>
      <c r="C1754" s="1"/>
      <c r="D1754" s="4"/>
      <c r="E1754" s="4"/>
      <c r="F1754" s="1"/>
      <c r="G1754" s="1"/>
      <c r="H1754" s="1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"/>
      <c r="B1755" s="1"/>
      <c r="C1755" s="1"/>
      <c r="D1755" s="4"/>
      <c r="E1755" s="4"/>
      <c r="F1755" s="1"/>
      <c r="G1755" s="1"/>
      <c r="H1755" s="1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"/>
      <c r="B1756" s="1"/>
      <c r="C1756" s="1"/>
      <c r="D1756" s="4"/>
      <c r="E1756" s="4"/>
      <c r="F1756" s="1"/>
      <c r="G1756" s="1"/>
      <c r="H1756" s="1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"/>
      <c r="B1757" s="1"/>
      <c r="C1757" s="1"/>
      <c r="D1757" s="4"/>
      <c r="E1757" s="4"/>
      <c r="F1757" s="1"/>
      <c r="G1757" s="1"/>
      <c r="H1757" s="1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"/>
      <c r="B1758" s="1"/>
      <c r="C1758" s="1"/>
      <c r="D1758" s="4"/>
      <c r="E1758" s="4"/>
      <c r="F1758" s="1"/>
      <c r="G1758" s="1"/>
      <c r="H1758" s="1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"/>
      <c r="B1759" s="1"/>
      <c r="C1759" s="1"/>
      <c r="D1759" s="4"/>
      <c r="E1759" s="4"/>
      <c r="F1759" s="1"/>
      <c r="G1759" s="1"/>
      <c r="H1759" s="1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"/>
      <c r="B1760" s="1"/>
      <c r="C1760" s="1"/>
      <c r="D1760" s="4"/>
      <c r="E1760" s="4"/>
      <c r="F1760" s="1"/>
      <c r="G1760" s="1"/>
      <c r="H1760" s="1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"/>
      <c r="B1761" s="1"/>
      <c r="C1761" s="1"/>
      <c r="D1761" s="4"/>
      <c r="E1761" s="4"/>
      <c r="F1761" s="1"/>
      <c r="G1761" s="1"/>
      <c r="H1761" s="1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"/>
      <c r="B1762" s="1"/>
      <c r="C1762" s="1"/>
      <c r="D1762" s="4"/>
      <c r="E1762" s="4"/>
      <c r="F1762" s="1"/>
      <c r="G1762" s="1"/>
      <c r="H1762" s="1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"/>
      <c r="B1763" s="1"/>
      <c r="C1763" s="1"/>
      <c r="D1763" s="4"/>
      <c r="E1763" s="4"/>
      <c r="F1763" s="1"/>
      <c r="G1763" s="1"/>
      <c r="H1763" s="1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"/>
      <c r="B1764" s="1"/>
      <c r="C1764" s="1"/>
      <c r="D1764" s="4"/>
      <c r="E1764" s="4"/>
      <c r="F1764" s="1"/>
      <c r="G1764" s="1"/>
      <c r="H1764" s="1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"/>
      <c r="B1765" s="1"/>
      <c r="C1765" s="1"/>
      <c r="D1765" s="4"/>
      <c r="E1765" s="4"/>
      <c r="F1765" s="1"/>
      <c r="G1765" s="1"/>
      <c r="H1765" s="1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"/>
      <c r="B1766" s="1"/>
      <c r="C1766" s="1"/>
      <c r="D1766" s="4"/>
      <c r="E1766" s="4"/>
      <c r="F1766" s="1"/>
      <c r="G1766" s="1"/>
      <c r="H1766" s="1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"/>
      <c r="B1767" s="1"/>
      <c r="C1767" s="1"/>
      <c r="D1767" s="4"/>
      <c r="E1767" s="4"/>
      <c r="F1767" s="1"/>
      <c r="G1767" s="1"/>
      <c r="H1767" s="1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"/>
      <c r="B1768" s="1"/>
      <c r="C1768" s="1"/>
      <c r="D1768" s="4"/>
      <c r="E1768" s="4"/>
      <c r="F1768" s="1"/>
      <c r="G1768" s="1"/>
      <c r="H1768" s="1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"/>
      <c r="B1769" s="1"/>
      <c r="C1769" s="1"/>
      <c r="D1769" s="4"/>
      <c r="E1769" s="4"/>
      <c r="F1769" s="1"/>
      <c r="G1769" s="1"/>
      <c r="H1769" s="1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"/>
      <c r="B1770" s="1"/>
      <c r="C1770" s="1"/>
      <c r="D1770" s="4"/>
      <c r="E1770" s="4"/>
      <c r="F1770" s="1"/>
      <c r="G1770" s="1"/>
      <c r="H1770" s="1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"/>
      <c r="B1771" s="1"/>
      <c r="C1771" s="1"/>
      <c r="D1771" s="4"/>
      <c r="E1771" s="4"/>
      <c r="F1771" s="1"/>
      <c r="G1771" s="1"/>
      <c r="H1771" s="1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"/>
      <c r="B1772" s="1"/>
      <c r="C1772" s="1"/>
      <c r="D1772" s="4"/>
      <c r="E1772" s="4"/>
      <c r="F1772" s="1"/>
      <c r="G1772" s="1"/>
      <c r="H1772" s="1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"/>
      <c r="B1773" s="1"/>
      <c r="C1773" s="1"/>
      <c r="D1773" s="4"/>
      <c r="E1773" s="4"/>
      <c r="F1773" s="1"/>
      <c r="G1773" s="1"/>
      <c r="H1773" s="1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"/>
      <c r="B1774" s="1"/>
      <c r="C1774" s="1"/>
      <c r="D1774" s="4"/>
      <c r="E1774" s="4"/>
      <c r="F1774" s="1"/>
      <c r="G1774" s="1"/>
      <c r="H1774" s="1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"/>
      <c r="B1775" s="1"/>
      <c r="C1775" s="1"/>
      <c r="D1775" s="4"/>
      <c r="E1775" s="4"/>
      <c r="F1775" s="1"/>
      <c r="G1775" s="1"/>
      <c r="H1775" s="1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"/>
      <c r="B1776" s="1"/>
      <c r="C1776" s="1"/>
      <c r="D1776" s="4"/>
      <c r="E1776" s="4"/>
      <c r="F1776" s="1"/>
      <c r="G1776" s="1"/>
      <c r="H1776" s="1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"/>
      <c r="B1777" s="1"/>
      <c r="C1777" s="1"/>
      <c r="D1777" s="4"/>
      <c r="E1777" s="4"/>
      <c r="F1777" s="1"/>
      <c r="G1777" s="1"/>
      <c r="H1777" s="1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"/>
      <c r="B1778" s="1"/>
      <c r="C1778" s="1"/>
      <c r="D1778" s="4"/>
      <c r="E1778" s="4"/>
      <c r="F1778" s="1"/>
      <c r="G1778" s="1"/>
      <c r="H1778" s="1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"/>
      <c r="B1779" s="1"/>
      <c r="C1779" s="1"/>
      <c r="D1779" s="4"/>
      <c r="E1779" s="4"/>
      <c r="F1779" s="1"/>
      <c r="G1779" s="1"/>
      <c r="H1779" s="1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"/>
      <c r="B1780" s="1"/>
      <c r="C1780" s="1"/>
      <c r="D1780" s="4"/>
      <c r="E1780" s="4"/>
      <c r="F1780" s="1"/>
      <c r="G1780" s="1"/>
      <c r="H1780" s="1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"/>
      <c r="B1781" s="1"/>
      <c r="C1781" s="1"/>
      <c r="D1781" s="4"/>
      <c r="E1781" s="4"/>
      <c r="F1781" s="1"/>
      <c r="G1781" s="1"/>
      <c r="H1781" s="1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"/>
      <c r="B1782" s="1"/>
      <c r="C1782" s="1"/>
      <c r="D1782" s="4"/>
      <c r="E1782" s="4"/>
      <c r="F1782" s="1"/>
      <c r="G1782" s="1"/>
      <c r="H1782" s="1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"/>
      <c r="B1783" s="1"/>
      <c r="C1783" s="1"/>
      <c r="D1783" s="4"/>
      <c r="E1783" s="4"/>
      <c r="F1783" s="1"/>
      <c r="G1783" s="1"/>
      <c r="H1783" s="1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"/>
      <c r="B1784" s="1"/>
      <c r="C1784" s="1"/>
      <c r="D1784" s="4"/>
      <c r="E1784" s="4"/>
      <c r="F1784" s="1"/>
      <c r="G1784" s="1"/>
      <c r="H1784" s="1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"/>
      <c r="B1785" s="1"/>
      <c r="C1785" s="1"/>
      <c r="D1785" s="4"/>
      <c r="E1785" s="4"/>
      <c r="F1785" s="1"/>
      <c r="G1785" s="1"/>
      <c r="H1785" s="1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"/>
      <c r="B1786" s="1"/>
      <c r="C1786" s="1"/>
      <c r="D1786" s="4"/>
      <c r="E1786" s="4"/>
      <c r="F1786" s="1"/>
      <c r="G1786" s="1"/>
      <c r="H1786" s="1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"/>
      <c r="B1787" s="1"/>
      <c r="C1787" s="1"/>
      <c r="D1787" s="4"/>
      <c r="E1787" s="4"/>
      <c r="F1787" s="1"/>
      <c r="G1787" s="1"/>
      <c r="H1787" s="1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"/>
      <c r="B1788" s="1"/>
      <c r="C1788" s="1"/>
      <c r="D1788" s="4"/>
      <c r="E1788" s="4"/>
      <c r="F1788" s="1"/>
      <c r="G1788" s="1"/>
      <c r="H1788" s="1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"/>
      <c r="B1789" s="1"/>
      <c r="C1789" s="1"/>
      <c r="D1789" s="4"/>
      <c r="E1789" s="4"/>
      <c r="F1789" s="1"/>
      <c r="G1789" s="1"/>
      <c r="H1789" s="1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"/>
      <c r="B1790" s="1"/>
      <c r="C1790" s="1"/>
      <c r="D1790" s="4"/>
      <c r="E1790" s="4"/>
      <c r="F1790" s="1"/>
      <c r="G1790" s="1"/>
      <c r="H1790" s="1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"/>
      <c r="B1791" s="1"/>
      <c r="C1791" s="1"/>
      <c r="D1791" s="4"/>
      <c r="E1791" s="4"/>
      <c r="F1791" s="1"/>
      <c r="G1791" s="1"/>
      <c r="H1791" s="1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"/>
      <c r="B1792" s="1"/>
      <c r="C1792" s="1"/>
      <c r="D1792" s="4"/>
      <c r="E1792" s="4"/>
      <c r="F1792" s="1"/>
      <c r="G1792" s="1"/>
      <c r="H1792" s="1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"/>
      <c r="B1793" s="1"/>
      <c r="C1793" s="1"/>
      <c r="D1793" s="4"/>
      <c r="E1793" s="4"/>
      <c r="F1793" s="1"/>
      <c r="G1793" s="1"/>
      <c r="H1793" s="1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"/>
      <c r="B1794" s="1"/>
      <c r="C1794" s="1"/>
      <c r="D1794" s="4"/>
      <c r="E1794" s="4"/>
      <c r="F1794" s="1"/>
      <c r="G1794" s="1"/>
      <c r="H1794" s="1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"/>
      <c r="B1795" s="1"/>
      <c r="C1795" s="1"/>
      <c r="D1795" s="4"/>
      <c r="E1795" s="4"/>
      <c r="F1795" s="1"/>
      <c r="G1795" s="1"/>
      <c r="H1795" s="1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"/>
      <c r="B1796" s="1"/>
      <c r="C1796" s="1"/>
      <c r="D1796" s="4"/>
      <c r="E1796" s="4"/>
      <c r="F1796" s="1"/>
      <c r="G1796" s="1"/>
      <c r="H1796" s="1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"/>
      <c r="B1797" s="1"/>
      <c r="C1797" s="1"/>
      <c r="D1797" s="4"/>
      <c r="E1797" s="4"/>
      <c r="F1797" s="1"/>
      <c r="G1797" s="1"/>
      <c r="H1797" s="1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"/>
      <c r="B1798" s="1"/>
      <c r="C1798" s="1"/>
      <c r="D1798" s="4"/>
      <c r="E1798" s="4"/>
      <c r="F1798" s="1"/>
      <c r="G1798" s="1"/>
      <c r="H1798" s="1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"/>
      <c r="B1799" s="1"/>
      <c r="C1799" s="1"/>
      <c r="D1799" s="4"/>
      <c r="E1799" s="4"/>
      <c r="F1799" s="1"/>
      <c r="G1799" s="1"/>
      <c r="H1799" s="1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"/>
      <c r="B1800" s="1"/>
      <c r="C1800" s="1"/>
      <c r="D1800" s="4"/>
      <c r="E1800" s="4"/>
      <c r="F1800" s="1"/>
      <c r="G1800" s="1"/>
      <c r="H1800" s="1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"/>
      <c r="B1801" s="1"/>
      <c r="C1801" s="1"/>
      <c r="D1801" s="4"/>
      <c r="E1801" s="4"/>
      <c r="F1801" s="1"/>
      <c r="G1801" s="1"/>
      <c r="H1801" s="1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"/>
      <c r="B1802" s="1"/>
      <c r="C1802" s="1"/>
      <c r="D1802" s="4"/>
      <c r="E1802" s="4"/>
      <c r="F1802" s="1"/>
      <c r="G1802" s="1"/>
      <c r="H1802" s="1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"/>
      <c r="B1803" s="1"/>
      <c r="C1803" s="1"/>
      <c r="D1803" s="4"/>
      <c r="E1803" s="4"/>
      <c r="F1803" s="1"/>
      <c r="G1803" s="1"/>
      <c r="H1803" s="1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"/>
      <c r="B1804" s="1"/>
      <c r="C1804" s="1"/>
      <c r="D1804" s="4"/>
      <c r="E1804" s="4"/>
      <c r="F1804" s="1"/>
      <c r="G1804" s="1"/>
      <c r="H1804" s="1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"/>
      <c r="B1805" s="1"/>
      <c r="C1805" s="1"/>
      <c r="D1805" s="4"/>
      <c r="E1805" s="4"/>
      <c r="F1805" s="1"/>
      <c r="G1805" s="1"/>
      <c r="H1805" s="1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"/>
      <c r="B1806" s="1"/>
      <c r="C1806" s="1"/>
      <c r="D1806" s="4"/>
      <c r="E1806" s="4"/>
      <c r="F1806" s="1"/>
      <c r="G1806" s="1"/>
      <c r="H1806" s="1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"/>
      <c r="B1807" s="1"/>
      <c r="C1807" s="1"/>
      <c r="D1807" s="4"/>
      <c r="E1807" s="4"/>
      <c r="F1807" s="1"/>
      <c r="G1807" s="1"/>
      <c r="H1807" s="1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"/>
      <c r="B1808" s="1"/>
      <c r="C1808" s="1"/>
      <c r="D1808" s="4"/>
      <c r="E1808" s="4"/>
      <c r="F1808" s="1"/>
      <c r="G1808" s="1"/>
      <c r="H1808" s="1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"/>
      <c r="B1809" s="1"/>
      <c r="C1809" s="1"/>
      <c r="D1809" s="4"/>
      <c r="E1809" s="4"/>
      <c r="F1809" s="1"/>
      <c r="G1809" s="1"/>
      <c r="H1809" s="1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"/>
      <c r="B1810" s="1"/>
      <c r="C1810" s="1"/>
      <c r="D1810" s="4"/>
      <c r="E1810" s="4"/>
      <c r="F1810" s="1"/>
      <c r="G1810" s="1"/>
      <c r="H1810" s="1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"/>
      <c r="B1811" s="1"/>
      <c r="C1811" s="1"/>
      <c r="D1811" s="4"/>
      <c r="E1811" s="4"/>
      <c r="F1811" s="1"/>
      <c r="G1811" s="1"/>
      <c r="H1811" s="1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"/>
      <c r="B1812" s="1"/>
      <c r="C1812" s="1"/>
      <c r="D1812" s="4"/>
      <c r="E1812" s="4"/>
      <c r="F1812" s="1"/>
      <c r="G1812" s="1"/>
      <c r="H1812" s="1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"/>
      <c r="B1813" s="1"/>
      <c r="C1813" s="1"/>
      <c r="D1813" s="4"/>
      <c r="E1813" s="4"/>
      <c r="F1813" s="1"/>
      <c r="G1813" s="1"/>
      <c r="H1813" s="1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"/>
      <c r="B1814" s="1"/>
      <c r="C1814" s="1"/>
      <c r="D1814" s="4"/>
      <c r="E1814" s="4"/>
      <c r="F1814" s="1"/>
      <c r="G1814" s="1"/>
      <c r="H1814" s="1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"/>
      <c r="B1815" s="1"/>
      <c r="C1815" s="1"/>
      <c r="D1815" s="4"/>
      <c r="E1815" s="4"/>
      <c r="F1815" s="1"/>
      <c r="G1815" s="1"/>
      <c r="H1815" s="1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"/>
      <c r="B1816" s="1"/>
      <c r="C1816" s="1"/>
      <c r="D1816" s="4"/>
      <c r="E1816" s="4"/>
      <c r="F1816" s="1"/>
      <c r="G1816" s="1"/>
      <c r="H1816" s="1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"/>
      <c r="B1817" s="1"/>
      <c r="C1817" s="1"/>
      <c r="D1817" s="4"/>
      <c r="E1817" s="4"/>
      <c r="F1817" s="1"/>
      <c r="G1817" s="1"/>
      <c r="H1817" s="1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"/>
      <c r="B1818" s="1"/>
      <c r="C1818" s="1"/>
      <c r="D1818" s="4"/>
      <c r="E1818" s="4"/>
      <c r="F1818" s="1"/>
      <c r="G1818" s="1"/>
      <c r="H1818" s="1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"/>
      <c r="B1819" s="1"/>
      <c r="C1819" s="1"/>
      <c r="D1819" s="4"/>
      <c r="E1819" s="4"/>
      <c r="F1819" s="1"/>
      <c r="G1819" s="1"/>
      <c r="H1819" s="1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"/>
      <c r="B1820" s="1"/>
      <c r="C1820" s="1"/>
      <c r="D1820" s="4"/>
      <c r="E1820" s="4"/>
      <c r="F1820" s="1"/>
      <c r="G1820" s="1"/>
      <c r="H1820" s="1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"/>
      <c r="B1821" s="1"/>
      <c r="C1821" s="1"/>
      <c r="D1821" s="4"/>
      <c r="E1821" s="4"/>
      <c r="F1821" s="1"/>
      <c r="G1821" s="1"/>
      <c r="H1821" s="1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"/>
      <c r="B1822" s="1"/>
      <c r="C1822" s="1"/>
      <c r="D1822" s="4"/>
      <c r="E1822" s="4"/>
      <c r="F1822" s="1"/>
      <c r="G1822" s="1"/>
      <c r="H1822" s="1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"/>
      <c r="B1823" s="1"/>
      <c r="C1823" s="1"/>
      <c r="D1823" s="4"/>
      <c r="E1823" s="4"/>
      <c r="F1823" s="1"/>
      <c r="G1823" s="1"/>
      <c r="H1823" s="1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"/>
      <c r="B1824" s="1"/>
      <c r="C1824" s="1"/>
      <c r="D1824" s="4"/>
      <c r="E1824" s="4"/>
      <c r="F1824" s="1"/>
      <c r="G1824" s="1"/>
      <c r="H1824" s="1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"/>
      <c r="B1825" s="1"/>
      <c r="C1825" s="1"/>
      <c r="D1825" s="4"/>
      <c r="E1825" s="4"/>
      <c r="F1825" s="1"/>
      <c r="G1825" s="1"/>
      <c r="H1825" s="1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"/>
      <c r="B1826" s="1"/>
      <c r="C1826" s="1"/>
      <c r="D1826" s="4"/>
      <c r="E1826" s="4"/>
      <c r="F1826" s="1"/>
      <c r="G1826" s="1"/>
      <c r="H1826" s="1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"/>
      <c r="B1827" s="1"/>
      <c r="C1827" s="1"/>
      <c r="D1827" s="4"/>
      <c r="E1827" s="4"/>
      <c r="F1827" s="1"/>
      <c r="G1827" s="1"/>
      <c r="H1827" s="1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"/>
      <c r="B1828" s="1"/>
      <c r="C1828" s="1"/>
      <c r="D1828" s="4"/>
      <c r="E1828" s="4"/>
      <c r="F1828" s="1"/>
      <c r="G1828" s="1"/>
      <c r="H1828" s="1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"/>
      <c r="B1829" s="1"/>
      <c r="C1829" s="1"/>
      <c r="D1829" s="4"/>
      <c r="E1829" s="4"/>
      <c r="F1829" s="1"/>
      <c r="G1829" s="1"/>
      <c r="H1829" s="1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"/>
      <c r="B1830" s="1"/>
      <c r="C1830" s="1"/>
      <c r="D1830" s="4"/>
      <c r="E1830" s="4"/>
      <c r="F1830" s="1"/>
      <c r="G1830" s="1"/>
      <c r="H1830" s="1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"/>
      <c r="B1831" s="1"/>
      <c r="C1831" s="1"/>
      <c r="D1831" s="4"/>
      <c r="E1831" s="4"/>
      <c r="F1831" s="1"/>
      <c r="G1831" s="1"/>
      <c r="H1831" s="1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"/>
      <c r="B1832" s="1"/>
      <c r="C1832" s="1"/>
      <c r="D1832" s="4"/>
      <c r="E1832" s="4"/>
      <c r="F1832" s="1"/>
      <c r="G1832" s="1"/>
      <c r="H1832" s="1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"/>
      <c r="B1833" s="1"/>
      <c r="C1833" s="1"/>
      <c r="D1833" s="4"/>
      <c r="E1833" s="4"/>
      <c r="F1833" s="1"/>
      <c r="G1833" s="1"/>
      <c r="H1833" s="1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"/>
      <c r="B1834" s="1"/>
      <c r="C1834" s="1"/>
      <c r="D1834" s="4"/>
      <c r="E1834" s="4"/>
      <c r="F1834" s="1"/>
      <c r="G1834" s="1"/>
      <c r="H1834" s="1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"/>
      <c r="B1835" s="1"/>
      <c r="C1835" s="1"/>
      <c r="D1835" s="4"/>
      <c r="E1835" s="4"/>
      <c r="F1835" s="1"/>
      <c r="G1835" s="1"/>
      <c r="H1835" s="1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"/>
      <c r="B1836" s="1"/>
      <c r="C1836" s="1"/>
      <c r="D1836" s="4"/>
      <c r="E1836" s="4"/>
      <c r="F1836" s="1"/>
      <c r="G1836" s="1"/>
      <c r="H1836" s="1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"/>
      <c r="B1837" s="1"/>
      <c r="C1837" s="1"/>
      <c r="D1837" s="4"/>
      <c r="E1837" s="4"/>
      <c r="F1837" s="1"/>
      <c r="G1837" s="1"/>
      <c r="H1837" s="1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"/>
      <c r="B1838" s="1"/>
      <c r="C1838" s="1"/>
      <c r="D1838" s="4"/>
      <c r="E1838" s="4"/>
      <c r="F1838" s="1"/>
      <c r="G1838" s="1"/>
      <c r="H1838" s="1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"/>
      <c r="B1839" s="1"/>
      <c r="C1839" s="1"/>
      <c r="D1839" s="4"/>
      <c r="E1839" s="4"/>
      <c r="F1839" s="1"/>
      <c r="G1839" s="1"/>
      <c r="H1839" s="1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"/>
      <c r="B1840" s="1"/>
      <c r="C1840" s="1"/>
      <c r="D1840" s="4"/>
      <c r="E1840" s="4"/>
      <c r="F1840" s="1"/>
      <c r="G1840" s="1"/>
      <c r="H1840" s="1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"/>
      <c r="B1841" s="1"/>
      <c r="C1841" s="1"/>
      <c r="D1841" s="4"/>
      <c r="E1841" s="4"/>
      <c r="F1841" s="1"/>
      <c r="G1841" s="1"/>
      <c r="H1841" s="1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"/>
      <c r="B1842" s="1"/>
      <c r="C1842" s="1"/>
      <c r="D1842" s="4"/>
      <c r="E1842" s="4"/>
      <c r="F1842" s="1"/>
      <c r="G1842" s="1"/>
      <c r="H1842" s="1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"/>
      <c r="B1843" s="1"/>
      <c r="C1843" s="1"/>
      <c r="D1843" s="4"/>
      <c r="E1843" s="4"/>
      <c r="F1843" s="1"/>
      <c r="G1843" s="1"/>
      <c r="H1843" s="1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"/>
      <c r="B1844" s="1"/>
      <c r="C1844" s="1"/>
      <c r="D1844" s="4"/>
      <c r="E1844" s="4"/>
      <c r="F1844" s="1"/>
      <c r="G1844" s="1"/>
      <c r="H1844" s="1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"/>
      <c r="B1845" s="1"/>
      <c r="C1845" s="1"/>
      <c r="D1845" s="4"/>
      <c r="E1845" s="4"/>
      <c r="F1845" s="1"/>
      <c r="G1845" s="1"/>
      <c r="H1845" s="1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"/>
      <c r="B1846" s="1"/>
      <c r="C1846" s="1"/>
      <c r="D1846" s="4"/>
      <c r="E1846" s="4"/>
      <c r="F1846" s="1"/>
      <c r="G1846" s="1"/>
      <c r="H1846" s="1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"/>
      <c r="B1847" s="1"/>
      <c r="C1847" s="1"/>
      <c r="D1847" s="4"/>
      <c r="E1847" s="4"/>
      <c r="F1847" s="1"/>
      <c r="G1847" s="1"/>
      <c r="H1847" s="1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"/>
      <c r="B1848" s="1"/>
      <c r="C1848" s="1"/>
      <c r="D1848" s="4"/>
      <c r="E1848" s="4"/>
      <c r="F1848" s="1"/>
      <c r="G1848" s="1"/>
      <c r="H1848" s="1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"/>
      <c r="B1849" s="1"/>
      <c r="C1849" s="1"/>
      <c r="D1849" s="4"/>
      <c r="E1849" s="4"/>
      <c r="F1849" s="1"/>
      <c r="G1849" s="1"/>
      <c r="H1849" s="1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"/>
      <c r="B1850" s="1"/>
      <c r="C1850" s="1"/>
      <c r="D1850" s="4"/>
      <c r="E1850" s="4"/>
      <c r="F1850" s="1"/>
      <c r="G1850" s="1"/>
      <c r="H1850" s="1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"/>
      <c r="B1851" s="1"/>
      <c r="C1851" s="1"/>
      <c r="D1851" s="4"/>
      <c r="E1851" s="4"/>
      <c r="F1851" s="1"/>
      <c r="G1851" s="1"/>
      <c r="H1851" s="1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"/>
      <c r="B1852" s="1"/>
      <c r="C1852" s="1"/>
      <c r="D1852" s="4"/>
      <c r="E1852" s="4"/>
      <c r="F1852" s="1"/>
      <c r="G1852" s="1"/>
      <c r="H1852" s="1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"/>
      <c r="B1853" s="1"/>
      <c r="C1853" s="1"/>
      <c r="D1853" s="4"/>
      <c r="E1853" s="4"/>
      <c r="F1853" s="1"/>
      <c r="G1853" s="1"/>
      <c r="H1853" s="1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"/>
      <c r="B1854" s="1"/>
      <c r="C1854" s="1"/>
      <c r="D1854" s="4"/>
      <c r="E1854" s="4"/>
      <c r="F1854" s="1"/>
      <c r="G1854" s="1"/>
      <c r="H1854" s="1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"/>
      <c r="B1855" s="1"/>
      <c r="C1855" s="1"/>
      <c r="D1855" s="4"/>
      <c r="E1855" s="4"/>
      <c r="F1855" s="1"/>
      <c r="G1855" s="1"/>
      <c r="H1855" s="1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"/>
      <c r="B1856" s="1"/>
      <c r="C1856" s="1"/>
      <c r="D1856" s="4"/>
      <c r="E1856" s="4"/>
      <c r="F1856" s="1"/>
      <c r="G1856" s="1"/>
      <c r="H1856" s="1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"/>
      <c r="B1857" s="1"/>
      <c r="C1857" s="1"/>
      <c r="D1857" s="4"/>
      <c r="E1857" s="4"/>
      <c r="F1857" s="1"/>
      <c r="G1857" s="1"/>
      <c r="H1857" s="1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"/>
      <c r="B1858" s="1"/>
      <c r="C1858" s="1"/>
      <c r="D1858" s="4"/>
      <c r="E1858" s="4"/>
      <c r="F1858" s="1"/>
      <c r="G1858" s="1"/>
      <c r="H1858" s="1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"/>
      <c r="B1859" s="1"/>
      <c r="C1859" s="1"/>
      <c r="D1859" s="4"/>
      <c r="E1859" s="4"/>
      <c r="F1859" s="1"/>
      <c r="G1859" s="1"/>
      <c r="H1859" s="1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"/>
      <c r="B1860" s="1"/>
      <c r="C1860" s="1"/>
      <c r="D1860" s="4"/>
      <c r="E1860" s="4"/>
      <c r="F1860" s="1"/>
      <c r="G1860" s="1"/>
      <c r="H1860" s="1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"/>
      <c r="B1861" s="1"/>
      <c r="C1861" s="1"/>
      <c r="D1861" s="4"/>
      <c r="E1861" s="4"/>
      <c r="F1861" s="1"/>
      <c r="G1861" s="1"/>
      <c r="H1861" s="1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"/>
      <c r="B1862" s="1"/>
      <c r="C1862" s="1"/>
      <c r="D1862" s="4"/>
      <c r="E1862" s="4"/>
      <c r="F1862" s="1"/>
      <c r="G1862" s="1"/>
      <c r="H1862" s="1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"/>
      <c r="B1863" s="1"/>
      <c r="C1863" s="1"/>
      <c r="D1863" s="4"/>
      <c r="E1863" s="4"/>
      <c r="F1863" s="1"/>
      <c r="G1863" s="1"/>
      <c r="H1863" s="1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"/>
      <c r="B1864" s="1"/>
      <c r="C1864" s="1"/>
      <c r="D1864" s="4"/>
      <c r="E1864" s="4"/>
      <c r="F1864" s="1"/>
      <c r="G1864" s="1"/>
      <c r="H1864" s="1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"/>
      <c r="B1865" s="1"/>
      <c r="C1865" s="1"/>
      <c r="D1865" s="4"/>
      <c r="E1865" s="4"/>
      <c r="F1865" s="1"/>
      <c r="G1865" s="1"/>
      <c r="H1865" s="1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"/>
      <c r="B1866" s="1"/>
      <c r="C1866" s="1"/>
      <c r="D1866" s="4"/>
      <c r="E1866" s="4"/>
      <c r="F1866" s="1"/>
      <c r="G1866" s="1"/>
      <c r="H1866" s="1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"/>
      <c r="B1867" s="1"/>
      <c r="C1867" s="1"/>
      <c r="D1867" s="4"/>
      <c r="E1867" s="4"/>
      <c r="F1867" s="1"/>
      <c r="G1867" s="1"/>
      <c r="H1867" s="1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"/>
      <c r="B1868" s="1"/>
      <c r="C1868" s="1"/>
      <c r="D1868" s="4"/>
      <c r="E1868" s="4"/>
      <c r="F1868" s="1"/>
      <c r="G1868" s="1"/>
      <c r="H1868" s="1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"/>
      <c r="B1869" s="1"/>
      <c r="C1869" s="1"/>
      <c r="D1869" s="4"/>
      <c r="E1869" s="4"/>
      <c r="F1869" s="1"/>
      <c r="G1869" s="1"/>
      <c r="H1869" s="1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"/>
      <c r="B1870" s="1"/>
      <c r="C1870" s="1"/>
      <c r="D1870" s="4"/>
      <c r="E1870" s="4"/>
      <c r="F1870" s="1"/>
      <c r="G1870" s="1"/>
      <c r="H1870" s="1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"/>
      <c r="B1871" s="1"/>
      <c r="C1871" s="1"/>
      <c r="D1871" s="4"/>
      <c r="E1871" s="4"/>
      <c r="F1871" s="1"/>
      <c r="G1871" s="1"/>
      <c r="H1871" s="1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"/>
      <c r="B1872" s="1"/>
      <c r="C1872" s="1"/>
      <c r="D1872" s="4"/>
      <c r="E1872" s="4"/>
      <c r="F1872" s="1"/>
      <c r="G1872" s="1"/>
      <c r="H1872" s="1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"/>
      <c r="B1873" s="1"/>
      <c r="C1873" s="1"/>
      <c r="D1873" s="4"/>
      <c r="E1873" s="4"/>
      <c r="F1873" s="1"/>
      <c r="G1873" s="1"/>
      <c r="H1873" s="1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"/>
      <c r="B1874" s="1"/>
      <c r="C1874" s="1"/>
      <c r="D1874" s="4"/>
      <c r="E1874" s="4"/>
      <c r="F1874" s="1"/>
      <c r="G1874" s="1"/>
      <c r="H1874" s="1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"/>
      <c r="B1875" s="1"/>
      <c r="C1875" s="1"/>
      <c r="D1875" s="4"/>
      <c r="E1875" s="4"/>
      <c r="F1875" s="1"/>
      <c r="G1875" s="1"/>
      <c r="H1875" s="1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"/>
      <c r="B1876" s="1"/>
      <c r="C1876" s="1"/>
      <c r="D1876" s="4"/>
      <c r="E1876" s="4"/>
      <c r="F1876" s="1"/>
      <c r="G1876" s="1"/>
      <c r="H1876" s="1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"/>
      <c r="B1877" s="1"/>
      <c r="C1877" s="1"/>
      <c r="D1877" s="4"/>
      <c r="E1877" s="4"/>
      <c r="F1877" s="1"/>
      <c r="G1877" s="1"/>
      <c r="H1877" s="1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"/>
      <c r="B1878" s="1"/>
      <c r="C1878" s="1"/>
      <c r="D1878" s="4"/>
      <c r="E1878" s="4"/>
      <c r="F1878" s="1"/>
      <c r="G1878" s="1"/>
      <c r="H1878" s="1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"/>
      <c r="B1879" s="1"/>
      <c r="C1879" s="1"/>
      <c r="D1879" s="4"/>
      <c r="E1879" s="4"/>
      <c r="F1879" s="1"/>
      <c r="G1879" s="1"/>
      <c r="H1879" s="1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"/>
      <c r="B1880" s="1"/>
      <c r="C1880" s="1"/>
      <c r="D1880" s="4"/>
      <c r="E1880" s="4"/>
      <c r="F1880" s="1"/>
      <c r="G1880" s="1"/>
      <c r="H1880" s="1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"/>
      <c r="B1881" s="1"/>
      <c r="C1881" s="1"/>
      <c r="D1881" s="4"/>
      <c r="E1881" s="4"/>
      <c r="F1881" s="1"/>
      <c r="G1881" s="1"/>
      <c r="H1881" s="1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"/>
      <c r="B1882" s="1"/>
      <c r="C1882" s="1"/>
      <c r="D1882" s="4"/>
      <c r="E1882" s="4"/>
      <c r="F1882" s="1"/>
      <c r="G1882" s="1"/>
      <c r="H1882" s="1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"/>
      <c r="B1883" s="1"/>
      <c r="C1883" s="1"/>
      <c r="D1883" s="4"/>
      <c r="E1883" s="4"/>
      <c r="F1883" s="1"/>
      <c r="G1883" s="1"/>
      <c r="H1883" s="1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"/>
      <c r="B1884" s="1"/>
      <c r="C1884" s="1"/>
      <c r="D1884" s="4"/>
      <c r="E1884" s="4"/>
      <c r="F1884" s="1"/>
      <c r="G1884" s="1"/>
      <c r="H1884" s="1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"/>
      <c r="B1885" s="1"/>
      <c r="C1885" s="1"/>
      <c r="D1885" s="4"/>
      <c r="E1885" s="4"/>
      <c r="F1885" s="1"/>
      <c r="G1885" s="1"/>
      <c r="H1885" s="1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"/>
      <c r="B1886" s="1"/>
      <c r="C1886" s="1"/>
      <c r="D1886" s="4"/>
      <c r="E1886" s="4"/>
      <c r="F1886" s="1"/>
      <c r="G1886" s="1"/>
      <c r="H1886" s="1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"/>
      <c r="B1887" s="1"/>
      <c r="C1887" s="1"/>
      <c r="D1887" s="4"/>
      <c r="E1887" s="4"/>
      <c r="F1887" s="1"/>
      <c r="G1887" s="1"/>
      <c r="H1887" s="1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"/>
      <c r="B1888" s="1"/>
      <c r="C1888" s="1"/>
      <c r="D1888" s="4"/>
      <c r="E1888" s="4"/>
      <c r="F1888" s="1"/>
      <c r="G1888" s="1"/>
      <c r="H1888" s="1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"/>
      <c r="B1889" s="1"/>
      <c r="C1889" s="1"/>
      <c r="D1889" s="4"/>
      <c r="E1889" s="4"/>
      <c r="F1889" s="1"/>
      <c r="G1889" s="1"/>
      <c r="H1889" s="1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"/>
      <c r="B1890" s="1"/>
      <c r="C1890" s="1"/>
      <c r="D1890" s="4"/>
      <c r="E1890" s="4"/>
      <c r="F1890" s="1"/>
      <c r="G1890" s="1"/>
      <c r="H1890" s="1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"/>
      <c r="B1891" s="1"/>
      <c r="C1891" s="1"/>
      <c r="D1891" s="4"/>
      <c r="E1891" s="4"/>
      <c r="F1891" s="1"/>
      <c r="G1891" s="1"/>
      <c r="H1891" s="1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"/>
      <c r="B1892" s="1"/>
      <c r="C1892" s="1"/>
      <c r="D1892" s="4"/>
      <c r="E1892" s="4"/>
      <c r="F1892" s="1"/>
      <c r="G1892" s="1"/>
      <c r="H1892" s="1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"/>
      <c r="B1893" s="1"/>
      <c r="C1893" s="1"/>
      <c r="D1893" s="4"/>
      <c r="E1893" s="4"/>
      <c r="F1893" s="1"/>
      <c r="G1893" s="1"/>
      <c r="H1893" s="1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"/>
      <c r="B1894" s="1"/>
      <c r="C1894" s="1"/>
      <c r="D1894" s="4"/>
      <c r="E1894" s="4"/>
      <c r="F1894" s="1"/>
      <c r="G1894" s="1"/>
      <c r="H1894" s="1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"/>
      <c r="B1895" s="1"/>
      <c r="C1895" s="1"/>
      <c r="D1895" s="4"/>
      <c r="E1895" s="4"/>
      <c r="F1895" s="1"/>
      <c r="G1895" s="1"/>
      <c r="H1895" s="1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"/>
      <c r="B1896" s="1"/>
      <c r="C1896" s="1"/>
      <c r="D1896" s="4"/>
      <c r="E1896" s="4"/>
      <c r="F1896" s="1"/>
      <c r="G1896" s="1"/>
      <c r="H1896" s="1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"/>
      <c r="B1897" s="1"/>
      <c r="C1897" s="1"/>
      <c r="D1897" s="4"/>
      <c r="E1897" s="4"/>
      <c r="F1897" s="1"/>
      <c r="G1897" s="1"/>
      <c r="H1897" s="1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"/>
      <c r="B1898" s="1"/>
      <c r="C1898" s="1"/>
      <c r="D1898" s="4"/>
      <c r="E1898" s="4"/>
      <c r="F1898" s="1"/>
      <c r="G1898" s="1"/>
      <c r="H1898" s="1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"/>
      <c r="B1899" s="1"/>
      <c r="C1899" s="1"/>
      <c r="D1899" s="4"/>
      <c r="E1899" s="4"/>
      <c r="F1899" s="1"/>
      <c r="G1899" s="1"/>
      <c r="H1899" s="1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"/>
      <c r="B1900" s="1"/>
      <c r="C1900" s="1"/>
      <c r="D1900" s="4"/>
      <c r="E1900" s="4"/>
      <c r="F1900" s="1"/>
      <c r="G1900" s="1"/>
      <c r="H1900" s="1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"/>
      <c r="B1901" s="1"/>
      <c r="C1901" s="1"/>
      <c r="D1901" s="4"/>
      <c r="E1901" s="4"/>
      <c r="F1901" s="1"/>
      <c r="G1901" s="1"/>
      <c r="H1901" s="1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"/>
      <c r="B1902" s="1"/>
      <c r="C1902" s="1"/>
      <c r="D1902" s="4"/>
      <c r="E1902" s="4"/>
      <c r="F1902" s="1"/>
      <c r="G1902" s="1"/>
      <c r="H1902" s="1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"/>
      <c r="B1903" s="1"/>
      <c r="C1903" s="1"/>
      <c r="D1903" s="4"/>
      <c r="E1903" s="4"/>
      <c r="F1903" s="1"/>
      <c r="G1903" s="1"/>
      <c r="H1903" s="1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"/>
      <c r="B1904" s="1"/>
      <c r="C1904" s="1"/>
      <c r="D1904" s="4"/>
      <c r="E1904" s="4"/>
      <c r="F1904" s="1"/>
      <c r="G1904" s="1"/>
      <c r="H1904" s="1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"/>
      <c r="B1905" s="1"/>
      <c r="C1905" s="1"/>
      <c r="D1905" s="4"/>
      <c r="E1905" s="4"/>
      <c r="F1905" s="1"/>
      <c r="G1905" s="1"/>
      <c r="H1905" s="1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"/>
      <c r="B1906" s="1"/>
      <c r="C1906" s="1"/>
      <c r="D1906" s="4"/>
      <c r="E1906" s="4"/>
      <c r="F1906" s="1"/>
      <c r="G1906" s="1"/>
      <c r="H1906" s="1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"/>
      <c r="B1907" s="1"/>
      <c r="C1907" s="1"/>
      <c r="D1907" s="4"/>
      <c r="E1907" s="4"/>
      <c r="F1907" s="1"/>
      <c r="G1907" s="1"/>
      <c r="H1907" s="1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"/>
      <c r="B1908" s="1"/>
      <c r="C1908" s="1"/>
      <c r="D1908" s="4"/>
      <c r="E1908" s="4"/>
      <c r="F1908" s="1"/>
      <c r="G1908" s="1"/>
      <c r="H1908" s="1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"/>
      <c r="B1909" s="1"/>
      <c r="C1909" s="1"/>
      <c r="D1909" s="4"/>
      <c r="E1909" s="4"/>
      <c r="F1909" s="1"/>
      <c r="G1909" s="1"/>
      <c r="H1909" s="1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"/>
      <c r="B1910" s="1"/>
      <c r="C1910" s="1"/>
      <c r="D1910" s="4"/>
      <c r="E1910" s="4"/>
      <c r="F1910" s="1"/>
      <c r="G1910" s="1"/>
      <c r="H1910" s="1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"/>
      <c r="B1911" s="1"/>
      <c r="C1911" s="1"/>
      <c r="D1911" s="4"/>
      <c r="E1911" s="4"/>
      <c r="F1911" s="1"/>
      <c r="G1911" s="1"/>
      <c r="H1911" s="1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"/>
      <c r="B1912" s="1"/>
      <c r="C1912" s="1"/>
      <c r="D1912" s="4"/>
      <c r="E1912" s="4"/>
      <c r="F1912" s="1"/>
      <c r="G1912" s="1"/>
      <c r="H1912" s="1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"/>
      <c r="B1913" s="1"/>
      <c r="C1913" s="1"/>
      <c r="D1913" s="4"/>
      <c r="E1913" s="4"/>
      <c r="F1913" s="1"/>
      <c r="G1913" s="1"/>
      <c r="H1913" s="1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"/>
      <c r="B1914" s="1"/>
      <c r="C1914" s="1"/>
      <c r="D1914" s="4"/>
      <c r="E1914" s="4"/>
      <c r="F1914" s="1"/>
      <c r="G1914" s="1"/>
      <c r="H1914" s="1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1"/>
      <c r="B1915" s="1"/>
      <c r="C1915" s="1"/>
      <c r="D1915" s="4"/>
      <c r="E1915" s="4"/>
      <c r="F1915" s="1"/>
      <c r="G1915" s="1"/>
      <c r="H1915" s="1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"/>
      <c r="B1916" s="1"/>
      <c r="C1916" s="1"/>
      <c r="D1916" s="4"/>
      <c r="E1916" s="4"/>
      <c r="F1916" s="1"/>
      <c r="G1916" s="1"/>
      <c r="H1916" s="1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"/>
      <c r="B1917" s="1"/>
      <c r="C1917" s="1"/>
      <c r="D1917" s="4"/>
      <c r="E1917" s="4"/>
      <c r="F1917" s="1"/>
      <c r="G1917" s="1"/>
      <c r="H1917" s="1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"/>
      <c r="B1918" s="1"/>
      <c r="C1918" s="1"/>
      <c r="D1918" s="4"/>
      <c r="E1918" s="4"/>
      <c r="F1918" s="1"/>
      <c r="G1918" s="1"/>
      <c r="H1918" s="1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"/>
      <c r="B1919" s="1"/>
      <c r="C1919" s="1"/>
      <c r="D1919" s="4"/>
      <c r="E1919" s="4"/>
      <c r="F1919" s="1"/>
      <c r="G1919" s="1"/>
      <c r="H1919" s="1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1"/>
      <c r="B1920" s="1"/>
      <c r="C1920" s="1"/>
      <c r="D1920" s="4"/>
      <c r="E1920" s="4"/>
      <c r="F1920" s="1"/>
      <c r="G1920" s="1"/>
      <c r="H1920" s="1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"/>
      <c r="B1921" s="1"/>
      <c r="C1921" s="1"/>
      <c r="D1921" s="4"/>
      <c r="E1921" s="4"/>
      <c r="F1921" s="1"/>
      <c r="G1921" s="1"/>
      <c r="H1921" s="1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"/>
      <c r="B1922" s="1"/>
      <c r="C1922" s="1"/>
      <c r="D1922" s="4"/>
      <c r="E1922" s="4"/>
      <c r="F1922" s="1"/>
      <c r="G1922" s="1"/>
      <c r="H1922" s="1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"/>
      <c r="B1923" s="1"/>
      <c r="C1923" s="1"/>
      <c r="D1923" s="4"/>
      <c r="E1923" s="4"/>
      <c r="F1923" s="1"/>
      <c r="G1923" s="1"/>
      <c r="H1923" s="1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"/>
      <c r="B1924" s="1"/>
      <c r="C1924" s="1"/>
      <c r="D1924" s="4"/>
      <c r="E1924" s="4"/>
      <c r="F1924" s="1"/>
      <c r="G1924" s="1"/>
      <c r="H1924" s="1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"/>
      <c r="B1925" s="1"/>
      <c r="C1925" s="1"/>
      <c r="D1925" s="4"/>
      <c r="E1925" s="4"/>
      <c r="F1925" s="1"/>
      <c r="G1925" s="1"/>
      <c r="H1925" s="1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1"/>
      <c r="B1926" s="1"/>
      <c r="C1926" s="1"/>
      <c r="D1926" s="4"/>
      <c r="E1926" s="4"/>
      <c r="F1926" s="1"/>
      <c r="G1926" s="1"/>
      <c r="H1926" s="1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"/>
      <c r="B1927" s="1"/>
      <c r="C1927" s="1"/>
      <c r="D1927" s="4"/>
      <c r="E1927" s="4"/>
      <c r="F1927" s="1"/>
      <c r="G1927" s="1"/>
      <c r="H1927" s="1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"/>
      <c r="B1928" s="1"/>
      <c r="C1928" s="1"/>
      <c r="D1928" s="4"/>
      <c r="E1928" s="4"/>
      <c r="F1928" s="1"/>
      <c r="G1928" s="1"/>
      <c r="H1928" s="1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"/>
      <c r="B1929" s="1"/>
      <c r="C1929" s="1"/>
      <c r="D1929" s="4"/>
      <c r="E1929" s="4"/>
      <c r="F1929" s="1"/>
      <c r="G1929" s="1"/>
      <c r="H1929" s="1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"/>
      <c r="B1930" s="1"/>
      <c r="C1930" s="1"/>
      <c r="D1930" s="4"/>
      <c r="E1930" s="4"/>
      <c r="F1930" s="1"/>
      <c r="G1930" s="1"/>
      <c r="H1930" s="1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"/>
      <c r="B1931" s="1"/>
      <c r="C1931" s="1"/>
      <c r="D1931" s="4"/>
      <c r="E1931" s="4"/>
      <c r="F1931" s="1"/>
      <c r="G1931" s="1"/>
      <c r="H1931" s="1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"/>
      <c r="B1932" s="1"/>
      <c r="C1932" s="1"/>
      <c r="D1932" s="4"/>
      <c r="E1932" s="4"/>
      <c r="F1932" s="1"/>
      <c r="G1932" s="1"/>
      <c r="H1932" s="1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1"/>
      <c r="B1933" s="1"/>
      <c r="C1933" s="1"/>
      <c r="D1933" s="4"/>
      <c r="E1933" s="4"/>
      <c r="F1933" s="1"/>
      <c r="G1933" s="1"/>
      <c r="H1933" s="1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"/>
      <c r="B1934" s="1"/>
      <c r="C1934" s="1"/>
      <c r="D1934" s="4"/>
      <c r="E1934" s="4"/>
      <c r="F1934" s="1"/>
      <c r="G1934" s="1"/>
      <c r="H1934" s="1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"/>
      <c r="B1935" s="1"/>
      <c r="C1935" s="1"/>
      <c r="D1935" s="4"/>
      <c r="E1935" s="4"/>
      <c r="F1935" s="1"/>
      <c r="G1935" s="1"/>
      <c r="H1935" s="1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"/>
      <c r="B1936" s="1"/>
      <c r="C1936" s="1"/>
      <c r="D1936" s="4"/>
      <c r="E1936" s="4"/>
      <c r="F1936" s="1"/>
      <c r="G1936" s="1"/>
      <c r="H1936" s="1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"/>
      <c r="B1937" s="1"/>
      <c r="C1937" s="1"/>
      <c r="D1937" s="4"/>
      <c r="E1937" s="4"/>
      <c r="F1937" s="1"/>
      <c r="G1937" s="1"/>
      <c r="H1937" s="1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1"/>
      <c r="B1938" s="1"/>
      <c r="C1938" s="1"/>
      <c r="D1938" s="4"/>
      <c r="E1938" s="4"/>
      <c r="F1938" s="1"/>
      <c r="G1938" s="1"/>
      <c r="H1938" s="1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"/>
      <c r="B1939" s="1"/>
      <c r="C1939" s="1"/>
      <c r="D1939" s="4"/>
      <c r="E1939" s="4"/>
      <c r="F1939" s="1"/>
      <c r="G1939" s="1"/>
      <c r="H1939" s="1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"/>
      <c r="B1940" s="1"/>
      <c r="C1940" s="1"/>
      <c r="D1940" s="4"/>
      <c r="E1940" s="4"/>
      <c r="F1940" s="1"/>
      <c r="G1940" s="1"/>
      <c r="H1940" s="1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"/>
      <c r="B1941" s="1"/>
      <c r="C1941" s="1"/>
      <c r="D1941" s="4"/>
      <c r="E1941" s="4"/>
      <c r="F1941" s="1"/>
      <c r="G1941" s="1"/>
      <c r="H1941" s="1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1"/>
      <c r="B1942" s="1"/>
      <c r="C1942" s="1"/>
      <c r="D1942" s="4"/>
      <c r="E1942" s="4"/>
      <c r="F1942" s="1"/>
      <c r="G1942" s="1"/>
      <c r="H1942" s="1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"/>
      <c r="B1943" s="1"/>
      <c r="C1943" s="1"/>
      <c r="D1943" s="4"/>
      <c r="E1943" s="4"/>
      <c r="F1943" s="1"/>
      <c r="G1943" s="1"/>
      <c r="H1943" s="1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"/>
      <c r="B1944" s="1"/>
      <c r="C1944" s="1"/>
      <c r="D1944" s="4"/>
      <c r="E1944" s="4"/>
      <c r="F1944" s="1"/>
      <c r="G1944" s="1"/>
      <c r="H1944" s="1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1"/>
      <c r="B1945" s="1"/>
      <c r="C1945" s="1"/>
      <c r="D1945" s="4"/>
      <c r="E1945" s="4"/>
      <c r="F1945" s="1"/>
      <c r="G1945" s="1"/>
      <c r="H1945" s="1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"/>
      <c r="B1946" s="1"/>
      <c r="C1946" s="1"/>
      <c r="D1946" s="4"/>
      <c r="E1946" s="4"/>
      <c r="F1946" s="1"/>
      <c r="G1946" s="1"/>
      <c r="H1946" s="1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"/>
      <c r="B1947" s="1"/>
      <c r="C1947" s="1"/>
      <c r="D1947" s="4"/>
      <c r="E1947" s="4"/>
      <c r="F1947" s="1"/>
      <c r="G1947" s="1"/>
      <c r="H1947" s="1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"/>
      <c r="B1948" s="1"/>
      <c r="C1948" s="1"/>
      <c r="D1948" s="4"/>
      <c r="E1948" s="4"/>
      <c r="F1948" s="1"/>
      <c r="G1948" s="1"/>
      <c r="H1948" s="1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"/>
      <c r="B1949" s="1"/>
      <c r="C1949" s="1"/>
      <c r="D1949" s="4"/>
      <c r="E1949" s="4"/>
      <c r="F1949" s="1"/>
      <c r="G1949" s="1"/>
      <c r="H1949" s="1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1"/>
      <c r="B1950" s="1"/>
      <c r="C1950" s="1"/>
      <c r="D1950" s="4"/>
      <c r="E1950" s="4"/>
      <c r="F1950" s="1"/>
      <c r="G1950" s="1"/>
      <c r="H1950" s="1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"/>
      <c r="B1951" s="1"/>
      <c r="C1951" s="1"/>
      <c r="D1951" s="4"/>
      <c r="E1951" s="4"/>
      <c r="F1951" s="1"/>
      <c r="G1951" s="1"/>
      <c r="H1951" s="1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"/>
      <c r="B1952" s="1"/>
      <c r="C1952" s="1"/>
      <c r="D1952" s="4"/>
      <c r="E1952" s="4"/>
      <c r="F1952" s="1"/>
      <c r="G1952" s="1"/>
      <c r="H1952" s="1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1"/>
      <c r="B1953" s="1"/>
      <c r="C1953" s="1"/>
      <c r="D1953" s="4"/>
      <c r="E1953" s="4"/>
      <c r="F1953" s="1"/>
      <c r="G1953" s="1"/>
      <c r="H1953" s="1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"/>
      <c r="B1954" s="1"/>
      <c r="C1954" s="1"/>
      <c r="D1954" s="4"/>
      <c r="E1954" s="4"/>
      <c r="F1954" s="1"/>
      <c r="G1954" s="1"/>
      <c r="H1954" s="1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"/>
      <c r="B1955" s="1"/>
      <c r="C1955" s="1"/>
      <c r="D1955" s="4"/>
      <c r="E1955" s="4"/>
      <c r="F1955" s="1"/>
      <c r="G1955" s="1"/>
      <c r="H1955" s="1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"/>
      <c r="B1956" s="1"/>
      <c r="C1956" s="1"/>
      <c r="D1956" s="4"/>
      <c r="E1956" s="4"/>
      <c r="F1956" s="1"/>
      <c r="G1956" s="1"/>
      <c r="H1956" s="1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"/>
      <c r="B1957" s="1"/>
      <c r="C1957" s="1"/>
      <c r="D1957" s="4"/>
      <c r="E1957" s="4"/>
      <c r="F1957" s="1"/>
      <c r="G1957" s="1"/>
      <c r="H1957" s="1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1"/>
      <c r="B1958" s="1"/>
      <c r="C1958" s="1"/>
      <c r="D1958" s="4"/>
      <c r="E1958" s="4"/>
      <c r="F1958" s="1"/>
      <c r="G1958" s="1"/>
      <c r="H1958" s="1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"/>
      <c r="B1959" s="1"/>
      <c r="C1959" s="1"/>
      <c r="D1959" s="4"/>
      <c r="E1959" s="4"/>
      <c r="F1959" s="1"/>
      <c r="G1959" s="1"/>
      <c r="H1959" s="1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"/>
      <c r="B1960" s="1"/>
      <c r="C1960" s="1"/>
      <c r="D1960" s="4"/>
      <c r="E1960" s="4"/>
      <c r="F1960" s="1"/>
      <c r="G1960" s="1"/>
      <c r="H1960" s="1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"/>
      <c r="B1961" s="1"/>
      <c r="C1961" s="1"/>
      <c r="D1961" s="4"/>
      <c r="E1961" s="4"/>
      <c r="F1961" s="1"/>
      <c r="G1961" s="1"/>
      <c r="H1961" s="1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"/>
      <c r="B1962" s="1"/>
      <c r="C1962" s="1"/>
      <c r="D1962" s="4"/>
      <c r="E1962" s="4"/>
      <c r="F1962" s="1"/>
      <c r="G1962" s="1"/>
      <c r="H1962" s="1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"/>
      <c r="B1963" s="1"/>
      <c r="C1963" s="1"/>
      <c r="D1963" s="4"/>
      <c r="E1963" s="4"/>
      <c r="F1963" s="1"/>
      <c r="G1963" s="1"/>
      <c r="H1963" s="1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1"/>
      <c r="B1964" s="1"/>
      <c r="C1964" s="1"/>
      <c r="D1964" s="4"/>
      <c r="E1964" s="4"/>
      <c r="F1964" s="1"/>
      <c r="G1964" s="1"/>
      <c r="H1964" s="1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"/>
      <c r="B1965" s="1"/>
      <c r="C1965" s="1"/>
      <c r="D1965" s="4"/>
      <c r="E1965" s="4"/>
      <c r="F1965" s="1"/>
      <c r="G1965" s="1"/>
      <c r="H1965" s="1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"/>
      <c r="B1966" s="1"/>
      <c r="C1966" s="1"/>
      <c r="D1966" s="4"/>
      <c r="E1966" s="4"/>
      <c r="F1966" s="1"/>
      <c r="G1966" s="1"/>
      <c r="H1966" s="1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"/>
      <c r="B1967" s="1"/>
      <c r="C1967" s="1"/>
      <c r="D1967" s="4"/>
      <c r="E1967" s="4"/>
      <c r="F1967" s="1"/>
      <c r="G1967" s="1"/>
      <c r="H1967" s="1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"/>
      <c r="B1968" s="1"/>
      <c r="C1968" s="1"/>
      <c r="D1968" s="4"/>
      <c r="E1968" s="4"/>
      <c r="F1968" s="1"/>
      <c r="G1968" s="1"/>
      <c r="H1968" s="1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"/>
      <c r="B1969" s="1"/>
      <c r="C1969" s="1"/>
      <c r="D1969" s="4"/>
      <c r="E1969" s="4"/>
      <c r="F1969" s="1"/>
      <c r="G1969" s="1"/>
      <c r="H1969" s="1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"/>
      <c r="B1970" s="1"/>
      <c r="C1970" s="1"/>
      <c r="D1970" s="4"/>
      <c r="E1970" s="4"/>
      <c r="F1970" s="1"/>
      <c r="G1970" s="1"/>
      <c r="H1970" s="1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"/>
      <c r="B1971" s="1"/>
      <c r="C1971" s="1"/>
      <c r="D1971" s="4"/>
      <c r="E1971" s="4"/>
      <c r="F1971" s="1"/>
      <c r="G1971" s="1"/>
      <c r="H1971" s="1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"/>
      <c r="B1972" s="1"/>
      <c r="C1972" s="1"/>
      <c r="D1972" s="4"/>
      <c r="E1972" s="4"/>
      <c r="F1972" s="1"/>
      <c r="G1972" s="1"/>
      <c r="H1972" s="1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1"/>
      <c r="B1973" s="1"/>
      <c r="C1973" s="1"/>
      <c r="D1973" s="4"/>
      <c r="E1973" s="4"/>
      <c r="F1973" s="1"/>
      <c r="G1973" s="1"/>
      <c r="H1973" s="1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"/>
      <c r="B1974" s="1"/>
      <c r="C1974" s="1"/>
      <c r="D1974" s="4"/>
      <c r="E1974" s="4"/>
      <c r="F1974" s="1"/>
      <c r="G1974" s="1"/>
      <c r="H1974" s="1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"/>
      <c r="B1975" s="1"/>
      <c r="C1975" s="1"/>
      <c r="D1975" s="4"/>
      <c r="E1975" s="4"/>
      <c r="F1975" s="1"/>
      <c r="G1975" s="1"/>
      <c r="H1975" s="1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"/>
      <c r="B1976" s="1"/>
      <c r="C1976" s="1"/>
      <c r="D1976" s="4"/>
      <c r="E1976" s="4"/>
      <c r="F1976" s="1"/>
      <c r="G1976" s="1"/>
      <c r="H1976" s="1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"/>
      <c r="B1977" s="1"/>
      <c r="C1977" s="1"/>
      <c r="D1977" s="4"/>
      <c r="E1977" s="4"/>
      <c r="F1977" s="1"/>
      <c r="G1977" s="1"/>
      <c r="H1977" s="1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"/>
      <c r="B1978" s="1"/>
      <c r="C1978" s="1"/>
      <c r="D1978" s="4"/>
      <c r="E1978" s="4"/>
      <c r="F1978" s="1"/>
      <c r="G1978" s="1"/>
      <c r="H1978" s="1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1"/>
      <c r="B1979" s="1"/>
      <c r="C1979" s="1"/>
      <c r="D1979" s="4"/>
      <c r="E1979" s="4"/>
      <c r="F1979" s="1"/>
      <c r="G1979" s="1"/>
      <c r="H1979" s="1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"/>
      <c r="B1980" s="1"/>
      <c r="C1980" s="1"/>
      <c r="D1980" s="4"/>
      <c r="E1980" s="4"/>
      <c r="F1980" s="1"/>
      <c r="G1980" s="1"/>
      <c r="H1980" s="1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"/>
      <c r="B1981" s="1"/>
      <c r="C1981" s="1"/>
      <c r="D1981" s="4"/>
      <c r="E1981" s="4"/>
      <c r="F1981" s="1"/>
      <c r="G1981" s="1"/>
      <c r="H1981" s="1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"/>
      <c r="B1982" s="1"/>
      <c r="C1982" s="1"/>
      <c r="D1982" s="4"/>
      <c r="E1982" s="4"/>
      <c r="F1982" s="1"/>
      <c r="G1982" s="1"/>
      <c r="H1982" s="1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"/>
      <c r="B1983" s="1"/>
      <c r="C1983" s="1"/>
      <c r="D1983" s="4"/>
      <c r="E1983" s="4"/>
      <c r="F1983" s="1"/>
      <c r="G1983" s="1"/>
      <c r="H1983" s="1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1"/>
      <c r="B1984" s="1"/>
      <c r="C1984" s="1"/>
      <c r="D1984" s="4"/>
      <c r="E1984" s="4"/>
      <c r="F1984" s="1"/>
      <c r="G1984" s="1"/>
      <c r="H1984" s="1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"/>
      <c r="B1985" s="1"/>
      <c r="C1985" s="1"/>
      <c r="D1985" s="4"/>
      <c r="E1985" s="4"/>
      <c r="F1985" s="1"/>
      <c r="G1985" s="1"/>
      <c r="H1985" s="1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"/>
      <c r="B1986" s="1"/>
      <c r="C1986" s="1"/>
      <c r="D1986" s="4"/>
      <c r="E1986" s="4"/>
      <c r="F1986" s="1"/>
      <c r="G1986" s="1"/>
      <c r="H1986" s="1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"/>
      <c r="B1987" s="1"/>
      <c r="C1987" s="1"/>
      <c r="D1987" s="4"/>
      <c r="E1987" s="4"/>
      <c r="F1987" s="1"/>
      <c r="G1987" s="1"/>
      <c r="H1987" s="1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"/>
      <c r="B1988" s="1"/>
      <c r="C1988" s="1"/>
      <c r="D1988" s="4"/>
      <c r="E1988" s="4"/>
      <c r="F1988" s="1"/>
      <c r="G1988" s="1"/>
      <c r="H1988" s="1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1"/>
      <c r="B1989" s="1"/>
      <c r="C1989" s="1"/>
      <c r="D1989" s="4"/>
      <c r="E1989" s="4"/>
      <c r="F1989" s="1"/>
      <c r="G1989" s="1"/>
      <c r="H1989" s="1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"/>
      <c r="B1990" s="1"/>
      <c r="C1990" s="1"/>
      <c r="D1990" s="4"/>
      <c r="E1990" s="4"/>
      <c r="F1990" s="1"/>
      <c r="G1990" s="1"/>
      <c r="H1990" s="1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"/>
      <c r="B1991" s="1"/>
      <c r="C1991" s="1"/>
      <c r="D1991" s="4"/>
      <c r="E1991" s="4"/>
      <c r="F1991" s="1"/>
      <c r="G1991" s="1"/>
      <c r="H1991" s="1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"/>
      <c r="B1992" s="1"/>
      <c r="C1992" s="1"/>
      <c r="D1992" s="4"/>
      <c r="E1992" s="4"/>
      <c r="F1992" s="1"/>
      <c r="G1992" s="1"/>
      <c r="H1992" s="1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"/>
      <c r="B1993" s="1"/>
      <c r="C1993" s="1"/>
      <c r="D1993" s="4"/>
      <c r="E1993" s="4"/>
      <c r="F1993" s="1"/>
      <c r="G1993" s="1"/>
      <c r="H1993" s="1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1"/>
      <c r="B1994" s="1"/>
      <c r="C1994" s="1"/>
      <c r="D1994" s="4"/>
      <c r="E1994" s="4"/>
      <c r="F1994" s="1"/>
      <c r="G1994" s="1"/>
      <c r="H1994" s="1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"/>
      <c r="B1995" s="1"/>
      <c r="C1995" s="1"/>
      <c r="D1995" s="4"/>
      <c r="E1995" s="4"/>
      <c r="F1995" s="1"/>
      <c r="G1995" s="1"/>
      <c r="H1995" s="1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"/>
      <c r="B1996" s="1"/>
      <c r="C1996" s="1"/>
      <c r="D1996" s="4"/>
      <c r="E1996" s="4"/>
      <c r="F1996" s="1"/>
      <c r="G1996" s="1"/>
      <c r="H1996" s="1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"/>
      <c r="B1997" s="1"/>
      <c r="C1997" s="1"/>
      <c r="D1997" s="4"/>
      <c r="E1997" s="4"/>
      <c r="F1997" s="1"/>
      <c r="G1997" s="1"/>
      <c r="H1997" s="1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"/>
      <c r="B1998" s="1"/>
      <c r="C1998" s="1"/>
      <c r="D1998" s="4"/>
      <c r="E1998" s="4"/>
      <c r="F1998" s="1"/>
      <c r="G1998" s="1"/>
      <c r="H1998" s="1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"/>
      <c r="B1999" s="1"/>
      <c r="C1999" s="1"/>
      <c r="D1999" s="4"/>
      <c r="E1999" s="4"/>
      <c r="F1999" s="1"/>
      <c r="G1999" s="1"/>
      <c r="H1999" s="1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1"/>
      <c r="B2000" s="1"/>
      <c r="C2000" s="1"/>
      <c r="D2000" s="4"/>
      <c r="E2000" s="4"/>
      <c r="F2000" s="1"/>
      <c r="G2000" s="1"/>
      <c r="H2000" s="1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"/>
      <c r="B2001" s="1"/>
      <c r="C2001" s="1"/>
      <c r="D2001" s="4"/>
      <c r="E2001" s="4"/>
      <c r="F2001" s="1"/>
      <c r="G2001" s="1"/>
      <c r="H2001" s="1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1"/>
      <c r="B2002" s="1"/>
      <c r="C2002" s="1"/>
      <c r="D2002" s="4"/>
      <c r="E2002" s="4"/>
      <c r="F2002" s="1"/>
      <c r="G2002" s="1"/>
      <c r="H2002" s="1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"/>
      <c r="B2003" s="1"/>
      <c r="C2003" s="1"/>
      <c r="D2003" s="4"/>
      <c r="E2003" s="4"/>
      <c r="F2003" s="1"/>
      <c r="G2003" s="1"/>
      <c r="H2003" s="1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"/>
      <c r="B2004" s="1"/>
      <c r="C2004" s="1"/>
      <c r="D2004" s="4"/>
      <c r="E2004" s="4"/>
      <c r="F2004" s="1"/>
      <c r="G2004" s="1"/>
      <c r="H2004" s="1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"/>
      <c r="B2005" s="1"/>
      <c r="C2005" s="1"/>
      <c r="D2005" s="4"/>
      <c r="E2005" s="4"/>
      <c r="F2005" s="1"/>
      <c r="G2005" s="1"/>
      <c r="H2005" s="1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"/>
      <c r="B2006" s="1"/>
      <c r="C2006" s="1"/>
      <c r="D2006" s="4"/>
      <c r="E2006" s="4"/>
      <c r="F2006" s="1"/>
      <c r="G2006" s="1"/>
      <c r="H2006" s="1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1"/>
      <c r="B2007" s="1"/>
      <c r="C2007" s="1"/>
      <c r="D2007" s="4"/>
      <c r="E2007" s="4"/>
      <c r="F2007" s="1"/>
      <c r="G2007" s="1"/>
      <c r="H2007" s="1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"/>
      <c r="B2008" s="1"/>
      <c r="C2008" s="1"/>
      <c r="D2008" s="4"/>
      <c r="E2008" s="4"/>
      <c r="F2008" s="1"/>
      <c r="G2008" s="1"/>
      <c r="H2008" s="1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"/>
      <c r="B2009" s="1"/>
      <c r="C2009" s="1"/>
      <c r="D2009" s="4"/>
      <c r="E2009" s="4"/>
      <c r="F2009" s="1"/>
      <c r="G2009" s="1"/>
      <c r="H2009" s="1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1"/>
      <c r="B2010" s="1"/>
      <c r="C2010" s="1"/>
      <c r="D2010" s="4"/>
      <c r="E2010" s="4"/>
      <c r="F2010" s="1"/>
      <c r="G2010" s="1"/>
      <c r="H2010" s="1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"/>
      <c r="B2011" s="1"/>
      <c r="C2011" s="1"/>
      <c r="D2011" s="4"/>
      <c r="E2011" s="4"/>
      <c r="F2011" s="1"/>
      <c r="G2011" s="1"/>
      <c r="H2011" s="1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"/>
      <c r="B2012" s="1"/>
      <c r="C2012" s="1"/>
      <c r="D2012" s="4"/>
      <c r="E2012" s="4"/>
      <c r="F2012" s="1"/>
      <c r="G2012" s="1"/>
      <c r="H2012" s="1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1"/>
      <c r="B2013" s="1"/>
      <c r="C2013" s="1"/>
      <c r="D2013" s="4"/>
      <c r="E2013" s="4"/>
      <c r="F2013" s="1"/>
      <c r="G2013" s="1"/>
      <c r="H2013" s="1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"/>
      <c r="B2014" s="1"/>
      <c r="C2014" s="1"/>
      <c r="D2014" s="4"/>
      <c r="E2014" s="4"/>
      <c r="F2014" s="1"/>
      <c r="G2014" s="1"/>
      <c r="H2014" s="1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"/>
      <c r="B2015" s="1"/>
      <c r="C2015" s="1"/>
      <c r="D2015" s="4"/>
      <c r="E2015" s="4"/>
      <c r="F2015" s="1"/>
      <c r="G2015" s="1"/>
      <c r="H2015" s="1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"/>
      <c r="B2016" s="1"/>
      <c r="C2016" s="1"/>
      <c r="D2016" s="4"/>
      <c r="E2016" s="4"/>
      <c r="F2016" s="1"/>
      <c r="G2016" s="1"/>
      <c r="H2016" s="1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"/>
      <c r="B2017" s="1"/>
      <c r="C2017" s="1"/>
      <c r="D2017" s="4"/>
      <c r="E2017" s="4"/>
      <c r="F2017" s="1"/>
      <c r="G2017" s="1"/>
      <c r="H2017" s="1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1"/>
      <c r="B2018" s="1"/>
      <c r="C2018" s="1"/>
      <c r="D2018" s="4"/>
      <c r="E2018" s="4"/>
      <c r="F2018" s="1"/>
      <c r="G2018" s="1"/>
      <c r="H2018" s="1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"/>
      <c r="B2019" s="1"/>
      <c r="C2019" s="1"/>
      <c r="D2019" s="4"/>
      <c r="E2019" s="4"/>
      <c r="F2019" s="1"/>
      <c r="G2019" s="1"/>
      <c r="H2019" s="1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"/>
      <c r="B2020" s="1"/>
      <c r="C2020" s="1"/>
      <c r="D2020" s="4"/>
      <c r="E2020" s="4"/>
      <c r="F2020" s="1"/>
      <c r="G2020" s="1"/>
      <c r="H2020" s="1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"/>
      <c r="B2021" s="1"/>
      <c r="C2021" s="1"/>
      <c r="D2021" s="4"/>
      <c r="E2021" s="4"/>
      <c r="F2021" s="1"/>
      <c r="G2021" s="1"/>
      <c r="H2021" s="1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"/>
      <c r="B2022" s="1"/>
      <c r="C2022" s="1"/>
      <c r="D2022" s="4"/>
      <c r="E2022" s="4"/>
      <c r="F2022" s="1"/>
      <c r="G2022" s="1"/>
      <c r="H2022" s="1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1"/>
      <c r="B2023" s="1"/>
      <c r="C2023" s="1"/>
      <c r="D2023" s="4"/>
      <c r="E2023" s="4"/>
      <c r="F2023" s="1"/>
      <c r="G2023" s="1"/>
      <c r="H2023" s="1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"/>
      <c r="B2024" s="1"/>
      <c r="C2024" s="1"/>
      <c r="D2024" s="4"/>
      <c r="E2024" s="4"/>
      <c r="F2024" s="1"/>
      <c r="G2024" s="1"/>
      <c r="H2024" s="1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"/>
      <c r="B2025" s="1"/>
      <c r="C2025" s="1"/>
      <c r="D2025" s="4"/>
      <c r="E2025" s="4"/>
      <c r="F2025" s="1"/>
      <c r="G2025" s="1"/>
      <c r="H2025" s="1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"/>
      <c r="B2026" s="1"/>
      <c r="C2026" s="1"/>
      <c r="D2026" s="4"/>
      <c r="E2026" s="4"/>
      <c r="F2026" s="1"/>
      <c r="G2026" s="1"/>
      <c r="H2026" s="1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1"/>
      <c r="B2027" s="1"/>
      <c r="C2027" s="1"/>
      <c r="D2027" s="4"/>
      <c r="E2027" s="4"/>
      <c r="F2027" s="1"/>
      <c r="G2027" s="1"/>
      <c r="H2027" s="1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"/>
      <c r="B2028" s="1"/>
      <c r="C2028" s="1"/>
      <c r="D2028" s="4"/>
      <c r="E2028" s="4"/>
      <c r="F2028" s="1"/>
      <c r="G2028" s="1"/>
      <c r="H2028" s="1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"/>
      <c r="B2029" s="1"/>
      <c r="C2029" s="1"/>
      <c r="D2029" s="4"/>
      <c r="E2029" s="4"/>
      <c r="F2029" s="1"/>
      <c r="G2029" s="1"/>
      <c r="H2029" s="1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"/>
      <c r="B2030" s="1"/>
      <c r="C2030" s="1"/>
      <c r="D2030" s="4"/>
      <c r="E2030" s="4"/>
      <c r="F2030" s="1"/>
      <c r="G2030" s="1"/>
      <c r="H2030" s="1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"/>
      <c r="B2031" s="1"/>
      <c r="C2031" s="1"/>
      <c r="D2031" s="4"/>
      <c r="E2031" s="4"/>
      <c r="F2031" s="1"/>
      <c r="G2031" s="1"/>
      <c r="H2031" s="1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"/>
      <c r="B2032" s="1"/>
      <c r="C2032" s="1"/>
      <c r="D2032" s="4"/>
      <c r="E2032" s="4"/>
      <c r="F2032" s="1"/>
      <c r="G2032" s="1"/>
      <c r="H2032" s="1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1"/>
      <c r="B2033" s="1"/>
      <c r="C2033" s="1"/>
      <c r="D2033" s="4"/>
      <c r="E2033" s="4"/>
      <c r="F2033" s="1"/>
      <c r="G2033" s="1"/>
      <c r="H2033" s="1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"/>
      <c r="B2034" s="1"/>
      <c r="C2034" s="1"/>
      <c r="D2034" s="4"/>
      <c r="E2034" s="4"/>
      <c r="F2034" s="1"/>
      <c r="G2034" s="1"/>
      <c r="H2034" s="1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"/>
      <c r="B2035" s="1"/>
      <c r="C2035" s="1"/>
      <c r="D2035" s="4"/>
      <c r="E2035" s="4"/>
      <c r="F2035" s="1"/>
      <c r="G2035" s="1"/>
      <c r="H2035" s="1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"/>
      <c r="B2036" s="1"/>
      <c r="C2036" s="1"/>
      <c r="D2036" s="4"/>
      <c r="E2036" s="4"/>
      <c r="F2036" s="1"/>
      <c r="G2036" s="1"/>
      <c r="H2036" s="1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"/>
      <c r="B2037" s="1"/>
      <c r="C2037" s="1"/>
      <c r="D2037" s="4"/>
      <c r="E2037" s="4"/>
      <c r="F2037" s="1"/>
      <c r="G2037" s="1"/>
      <c r="H2037" s="1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"/>
      <c r="B2038" s="1"/>
      <c r="C2038" s="1"/>
      <c r="D2038" s="4"/>
      <c r="E2038" s="4"/>
      <c r="F2038" s="1"/>
      <c r="G2038" s="1"/>
      <c r="H2038" s="1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"/>
      <c r="B2039" s="1"/>
      <c r="C2039" s="1"/>
      <c r="D2039" s="4"/>
      <c r="E2039" s="4"/>
      <c r="F2039" s="1"/>
      <c r="G2039" s="1"/>
      <c r="H2039" s="1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"/>
      <c r="B2040" s="1"/>
      <c r="C2040" s="1"/>
      <c r="D2040" s="4"/>
      <c r="E2040" s="4"/>
      <c r="F2040" s="1"/>
      <c r="G2040" s="1"/>
      <c r="H2040" s="1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1"/>
      <c r="B2041" s="1"/>
      <c r="C2041" s="1"/>
      <c r="D2041" s="4"/>
      <c r="E2041" s="4"/>
      <c r="F2041" s="1"/>
      <c r="G2041" s="1"/>
      <c r="H2041" s="1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"/>
      <c r="B2042" s="1"/>
      <c r="C2042" s="1"/>
      <c r="D2042" s="4"/>
      <c r="E2042" s="4"/>
      <c r="F2042" s="1"/>
      <c r="G2042" s="1"/>
      <c r="H2042" s="1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"/>
      <c r="B2043" s="1"/>
      <c r="C2043" s="1"/>
      <c r="D2043" s="4"/>
      <c r="E2043" s="4"/>
      <c r="F2043" s="1"/>
      <c r="G2043" s="1"/>
      <c r="H2043" s="1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"/>
      <c r="B2044" s="1"/>
      <c r="C2044" s="1"/>
      <c r="D2044" s="4"/>
      <c r="E2044" s="4"/>
      <c r="F2044" s="1"/>
      <c r="G2044" s="1"/>
      <c r="H2044" s="1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1"/>
      <c r="B2045" s="1"/>
      <c r="C2045" s="1"/>
      <c r="D2045" s="4"/>
      <c r="E2045" s="4"/>
      <c r="F2045" s="1"/>
      <c r="G2045" s="1"/>
      <c r="H2045" s="1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"/>
      <c r="B2046" s="1"/>
      <c r="C2046" s="1"/>
      <c r="D2046" s="4"/>
      <c r="E2046" s="4"/>
      <c r="F2046" s="1"/>
      <c r="G2046" s="1"/>
      <c r="H2046" s="1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"/>
      <c r="B2047" s="1"/>
      <c r="C2047" s="1"/>
      <c r="D2047" s="4"/>
      <c r="E2047" s="4"/>
      <c r="F2047" s="1"/>
      <c r="G2047" s="1"/>
      <c r="H2047" s="1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"/>
      <c r="B2048" s="1"/>
      <c r="C2048" s="1"/>
      <c r="D2048" s="4"/>
      <c r="E2048" s="4"/>
      <c r="F2048" s="1"/>
      <c r="G2048" s="1"/>
      <c r="H2048" s="1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1"/>
      <c r="B2049" s="1"/>
      <c r="C2049" s="1"/>
      <c r="D2049" s="4"/>
      <c r="E2049" s="4"/>
      <c r="F2049" s="1"/>
      <c r="G2049" s="1"/>
      <c r="H2049" s="1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"/>
      <c r="B2050" s="1"/>
      <c r="C2050" s="1"/>
      <c r="D2050" s="4"/>
      <c r="E2050" s="4"/>
      <c r="F2050" s="1"/>
      <c r="G2050" s="1"/>
      <c r="H2050" s="1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"/>
      <c r="B2051" s="1"/>
      <c r="C2051" s="1"/>
      <c r="D2051" s="4"/>
      <c r="E2051" s="4"/>
      <c r="F2051" s="1"/>
      <c r="G2051" s="1"/>
      <c r="H2051" s="1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"/>
      <c r="B2052" s="1"/>
      <c r="C2052" s="1"/>
      <c r="D2052" s="4"/>
      <c r="E2052" s="4"/>
      <c r="F2052" s="1"/>
      <c r="G2052" s="1"/>
      <c r="H2052" s="1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"/>
      <c r="B2053" s="1"/>
      <c r="C2053" s="1"/>
      <c r="D2053" s="4"/>
      <c r="E2053" s="4"/>
      <c r="F2053" s="1"/>
      <c r="G2053" s="1"/>
      <c r="H2053" s="1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1"/>
      <c r="B2054" s="1"/>
      <c r="C2054" s="1"/>
      <c r="D2054" s="4"/>
      <c r="E2054" s="4"/>
      <c r="F2054" s="1"/>
      <c r="G2054" s="1"/>
      <c r="H2054" s="1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"/>
      <c r="B2055" s="1"/>
      <c r="C2055" s="1"/>
      <c r="D2055" s="4"/>
      <c r="E2055" s="4"/>
      <c r="F2055" s="1"/>
      <c r="G2055" s="1"/>
      <c r="H2055" s="1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"/>
      <c r="B2056" s="1"/>
      <c r="C2056" s="1"/>
      <c r="D2056" s="4"/>
      <c r="E2056" s="4"/>
      <c r="F2056" s="1"/>
      <c r="G2056" s="1"/>
      <c r="H2056" s="1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1"/>
      <c r="B2057" s="1"/>
      <c r="C2057" s="1"/>
      <c r="D2057" s="4"/>
      <c r="E2057" s="4"/>
      <c r="F2057" s="1"/>
      <c r="G2057" s="1"/>
      <c r="H2057" s="1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"/>
      <c r="B2058" s="1"/>
      <c r="C2058" s="1"/>
      <c r="D2058" s="4"/>
      <c r="E2058" s="4"/>
      <c r="F2058" s="1"/>
      <c r="G2058" s="1"/>
      <c r="H2058" s="1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"/>
      <c r="B2059" s="1"/>
      <c r="C2059" s="1"/>
      <c r="D2059" s="4"/>
      <c r="E2059" s="4"/>
      <c r="F2059" s="1"/>
      <c r="G2059" s="1"/>
      <c r="H2059" s="1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"/>
      <c r="B2060" s="1"/>
      <c r="C2060" s="1"/>
      <c r="D2060" s="4"/>
      <c r="E2060" s="4"/>
      <c r="F2060" s="1"/>
      <c r="G2060" s="1"/>
      <c r="H2060" s="1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1"/>
      <c r="B2061" s="1"/>
      <c r="C2061" s="1"/>
      <c r="D2061" s="4"/>
      <c r="E2061" s="4"/>
      <c r="F2061" s="1"/>
      <c r="G2061" s="1"/>
      <c r="H2061" s="1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"/>
      <c r="B2062" s="1"/>
      <c r="C2062" s="1"/>
      <c r="D2062" s="4"/>
      <c r="E2062" s="4"/>
      <c r="F2062" s="1"/>
      <c r="G2062" s="1"/>
      <c r="H2062" s="1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"/>
      <c r="B2063" s="1"/>
      <c r="C2063" s="1"/>
      <c r="D2063" s="4"/>
      <c r="E2063" s="4"/>
      <c r="F2063" s="1"/>
      <c r="G2063" s="1"/>
      <c r="H2063" s="1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"/>
      <c r="B2064" s="1"/>
      <c r="C2064" s="1"/>
      <c r="D2064" s="4"/>
      <c r="E2064" s="4"/>
      <c r="F2064" s="1"/>
      <c r="G2064" s="1"/>
      <c r="H2064" s="1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"/>
      <c r="B2065" s="1"/>
      <c r="C2065" s="1"/>
      <c r="D2065" s="4"/>
      <c r="E2065" s="4"/>
      <c r="F2065" s="1"/>
      <c r="G2065" s="1"/>
      <c r="H2065" s="1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1"/>
      <c r="B2066" s="1"/>
      <c r="C2066" s="1"/>
      <c r="D2066" s="4"/>
      <c r="E2066" s="4"/>
      <c r="F2066" s="1"/>
      <c r="G2066" s="1"/>
      <c r="H2066" s="1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"/>
      <c r="B2067" s="1"/>
      <c r="C2067" s="1"/>
      <c r="D2067" s="4"/>
      <c r="E2067" s="4"/>
      <c r="F2067" s="1"/>
      <c r="G2067" s="1"/>
      <c r="H2067" s="1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"/>
      <c r="B2068" s="1"/>
      <c r="C2068" s="1"/>
      <c r="D2068" s="4"/>
      <c r="E2068" s="4"/>
      <c r="F2068" s="1"/>
      <c r="G2068" s="1"/>
      <c r="H2068" s="1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1"/>
      <c r="B2069" s="1"/>
      <c r="C2069" s="1"/>
      <c r="D2069" s="4"/>
      <c r="E2069" s="4"/>
      <c r="F2069" s="1"/>
      <c r="G2069" s="1"/>
      <c r="H2069" s="1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"/>
      <c r="B2070" s="1"/>
      <c r="C2070" s="1"/>
      <c r="D2070" s="4"/>
      <c r="E2070" s="4"/>
      <c r="F2070" s="1"/>
      <c r="G2070" s="1"/>
      <c r="H2070" s="1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"/>
      <c r="B2071" s="1"/>
      <c r="C2071" s="1"/>
      <c r="D2071" s="4"/>
      <c r="E2071" s="4"/>
      <c r="F2071" s="1"/>
      <c r="G2071" s="1"/>
      <c r="H2071" s="1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"/>
      <c r="B2072" s="1"/>
      <c r="C2072" s="1"/>
      <c r="D2072" s="4"/>
      <c r="E2072" s="4"/>
      <c r="F2072" s="1"/>
      <c r="G2072" s="1"/>
      <c r="H2072" s="1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"/>
      <c r="B2073" s="1"/>
      <c r="C2073" s="1"/>
      <c r="D2073" s="4"/>
      <c r="E2073" s="4"/>
      <c r="F2073" s="1"/>
      <c r="G2073" s="1"/>
      <c r="H2073" s="1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1"/>
      <c r="B2074" s="1"/>
      <c r="C2074" s="1"/>
      <c r="D2074" s="4"/>
      <c r="E2074" s="4"/>
      <c r="F2074" s="1"/>
      <c r="G2074" s="1"/>
      <c r="H2074" s="1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"/>
      <c r="B2075" s="1"/>
      <c r="C2075" s="1"/>
      <c r="D2075" s="4"/>
      <c r="E2075" s="4"/>
      <c r="F2075" s="1"/>
      <c r="G2075" s="1"/>
      <c r="H2075" s="1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"/>
      <c r="B2076" s="1"/>
      <c r="C2076" s="1"/>
      <c r="D2076" s="4"/>
      <c r="E2076" s="4"/>
      <c r="F2076" s="1"/>
      <c r="G2076" s="1"/>
      <c r="H2076" s="1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1"/>
      <c r="B2077" s="1"/>
      <c r="C2077" s="1"/>
      <c r="D2077" s="4"/>
      <c r="E2077" s="4"/>
      <c r="F2077" s="1"/>
      <c r="G2077" s="1"/>
      <c r="H2077" s="1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"/>
      <c r="B2078" s="1"/>
      <c r="C2078" s="1"/>
      <c r="D2078" s="4"/>
      <c r="E2078" s="4"/>
      <c r="F2078" s="1"/>
      <c r="G2078" s="1"/>
      <c r="H2078" s="1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"/>
      <c r="B2079" s="1"/>
      <c r="C2079" s="1"/>
      <c r="D2079" s="4"/>
      <c r="E2079" s="4"/>
      <c r="F2079" s="1"/>
      <c r="G2079" s="1"/>
      <c r="H2079" s="1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"/>
      <c r="B2080" s="1"/>
      <c r="C2080" s="1"/>
      <c r="D2080" s="4"/>
      <c r="E2080" s="4"/>
      <c r="F2080" s="1"/>
      <c r="G2080" s="1"/>
      <c r="H2080" s="1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1"/>
      <c r="B2081" s="1"/>
      <c r="C2081" s="1"/>
      <c r="D2081" s="4"/>
      <c r="E2081" s="4"/>
      <c r="F2081" s="1"/>
      <c r="G2081" s="1"/>
      <c r="H2081" s="1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"/>
      <c r="B2082" s="1"/>
      <c r="C2082" s="1"/>
      <c r="D2082" s="4"/>
      <c r="E2082" s="4"/>
      <c r="F2082" s="1"/>
      <c r="G2082" s="1"/>
      <c r="H2082" s="1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"/>
      <c r="B2083" s="1"/>
      <c r="C2083" s="1"/>
      <c r="D2083" s="4"/>
      <c r="E2083" s="4"/>
      <c r="F2083" s="1"/>
      <c r="G2083" s="1"/>
      <c r="H2083" s="1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"/>
      <c r="B2084" s="1"/>
      <c r="C2084" s="1"/>
      <c r="D2084" s="4"/>
      <c r="E2084" s="4"/>
      <c r="F2084" s="1"/>
      <c r="G2084" s="1"/>
      <c r="H2084" s="1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"/>
      <c r="B2085" s="1"/>
      <c r="C2085" s="1"/>
      <c r="D2085" s="4"/>
      <c r="E2085" s="4"/>
      <c r="F2085" s="1"/>
      <c r="G2085" s="1"/>
      <c r="H2085" s="1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"/>
      <c r="B2086" s="1"/>
      <c r="C2086" s="1"/>
      <c r="D2086" s="4"/>
      <c r="E2086" s="4"/>
      <c r="F2086" s="1"/>
      <c r="G2086" s="1"/>
      <c r="H2086" s="1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"/>
      <c r="B2087" s="1"/>
      <c r="C2087" s="1"/>
      <c r="D2087" s="4"/>
      <c r="E2087" s="4"/>
      <c r="F2087" s="1"/>
      <c r="G2087" s="1"/>
      <c r="H2087" s="1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1"/>
      <c r="B2088" s="1"/>
      <c r="C2088" s="1"/>
      <c r="D2088" s="4"/>
      <c r="E2088" s="4"/>
      <c r="F2088" s="1"/>
      <c r="G2088" s="1"/>
      <c r="H2088" s="1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"/>
      <c r="B2089" s="1"/>
      <c r="C2089" s="1"/>
      <c r="D2089" s="4"/>
      <c r="E2089" s="4"/>
      <c r="F2089" s="1"/>
      <c r="G2089" s="1"/>
      <c r="H2089" s="1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"/>
      <c r="B2090" s="1"/>
      <c r="C2090" s="1"/>
      <c r="D2090" s="4"/>
      <c r="E2090" s="4"/>
      <c r="F2090" s="1"/>
      <c r="G2090" s="1"/>
      <c r="H2090" s="1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"/>
      <c r="B2091" s="1"/>
      <c r="C2091" s="1"/>
      <c r="D2091" s="4"/>
      <c r="E2091" s="4"/>
      <c r="F2091" s="1"/>
      <c r="G2091" s="1"/>
      <c r="H2091" s="1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"/>
      <c r="B2092" s="1"/>
      <c r="C2092" s="1"/>
      <c r="D2092" s="4"/>
      <c r="E2092" s="4"/>
      <c r="F2092" s="1"/>
      <c r="G2092" s="1"/>
      <c r="H2092" s="1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1"/>
      <c r="B2093" s="1"/>
      <c r="C2093" s="1"/>
      <c r="D2093" s="4"/>
      <c r="E2093" s="4"/>
      <c r="F2093" s="1"/>
      <c r="G2093" s="1"/>
      <c r="H2093" s="1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"/>
      <c r="B2094" s="1"/>
      <c r="C2094" s="1"/>
      <c r="D2094" s="4"/>
      <c r="E2094" s="4"/>
      <c r="F2094" s="1"/>
      <c r="G2094" s="1"/>
      <c r="H2094" s="1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"/>
      <c r="B2095" s="1"/>
      <c r="C2095" s="1"/>
      <c r="D2095" s="4"/>
      <c r="E2095" s="4"/>
      <c r="F2095" s="1"/>
      <c r="G2095" s="1"/>
      <c r="H2095" s="1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"/>
      <c r="B2096" s="1"/>
      <c r="C2096" s="1"/>
      <c r="D2096" s="4"/>
      <c r="E2096" s="4"/>
      <c r="F2096" s="1"/>
      <c r="G2096" s="1"/>
      <c r="H2096" s="1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1"/>
      <c r="B2097" s="1"/>
      <c r="C2097" s="1"/>
      <c r="D2097" s="4"/>
      <c r="E2097" s="4"/>
      <c r="F2097" s="1"/>
      <c r="G2097" s="1"/>
      <c r="H2097" s="1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"/>
      <c r="B2098" s="1"/>
      <c r="C2098" s="1"/>
      <c r="D2098" s="4"/>
      <c r="E2098" s="4"/>
      <c r="F2098" s="1"/>
      <c r="G2098" s="1"/>
      <c r="H2098" s="1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"/>
      <c r="B2099" s="1"/>
      <c r="C2099" s="1"/>
      <c r="D2099" s="4"/>
      <c r="E2099" s="4"/>
      <c r="F2099" s="1"/>
      <c r="G2099" s="1"/>
      <c r="H2099" s="1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"/>
      <c r="B2100" s="1"/>
      <c r="C2100" s="1"/>
      <c r="D2100" s="4"/>
      <c r="E2100" s="4"/>
      <c r="F2100" s="1"/>
      <c r="G2100" s="1"/>
      <c r="H2100" s="1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1"/>
      <c r="B2101" s="1"/>
      <c r="C2101" s="1"/>
      <c r="D2101" s="4"/>
      <c r="E2101" s="4"/>
      <c r="F2101" s="1"/>
      <c r="G2101" s="1"/>
      <c r="H2101" s="1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"/>
      <c r="B2102" s="1"/>
      <c r="C2102" s="1"/>
      <c r="D2102" s="4"/>
      <c r="E2102" s="4"/>
      <c r="F2102" s="1"/>
      <c r="G2102" s="1"/>
      <c r="H2102" s="1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"/>
      <c r="B2103" s="1"/>
      <c r="C2103" s="1"/>
      <c r="D2103" s="4"/>
      <c r="E2103" s="4"/>
      <c r="F2103" s="1"/>
      <c r="G2103" s="1"/>
      <c r="H2103" s="1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"/>
      <c r="B2104" s="1"/>
      <c r="C2104" s="1"/>
      <c r="D2104" s="4"/>
      <c r="E2104" s="4"/>
      <c r="F2104" s="1"/>
      <c r="G2104" s="1"/>
      <c r="H2104" s="1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"/>
      <c r="B2105" s="1"/>
      <c r="C2105" s="1"/>
      <c r="D2105" s="4"/>
      <c r="E2105" s="4"/>
      <c r="F2105" s="1"/>
      <c r="G2105" s="1"/>
      <c r="H2105" s="1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"/>
      <c r="B2106" s="1"/>
      <c r="C2106" s="1"/>
      <c r="D2106" s="4"/>
      <c r="E2106" s="4"/>
      <c r="F2106" s="1"/>
      <c r="G2106" s="1"/>
      <c r="H2106" s="1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"/>
      <c r="B2107" s="1"/>
      <c r="C2107" s="1"/>
      <c r="D2107" s="4"/>
      <c r="E2107" s="4"/>
      <c r="F2107" s="1"/>
      <c r="G2107" s="1"/>
      <c r="H2107" s="1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1"/>
      <c r="B2108" s="1"/>
      <c r="C2108" s="1"/>
      <c r="D2108" s="4"/>
      <c r="E2108" s="4"/>
      <c r="F2108" s="1"/>
      <c r="G2108" s="1"/>
      <c r="H2108" s="1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"/>
      <c r="B2109" s="1"/>
      <c r="C2109" s="1"/>
      <c r="D2109" s="4"/>
      <c r="E2109" s="4"/>
      <c r="F2109" s="1"/>
      <c r="G2109" s="1"/>
      <c r="H2109" s="1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"/>
      <c r="B2110" s="1"/>
      <c r="C2110" s="1"/>
      <c r="D2110" s="4"/>
      <c r="E2110" s="4"/>
      <c r="F2110" s="1"/>
      <c r="G2110" s="1"/>
      <c r="H2110" s="1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"/>
      <c r="B2111" s="1"/>
      <c r="C2111" s="1"/>
      <c r="D2111" s="4"/>
      <c r="E2111" s="4"/>
      <c r="F2111" s="1"/>
      <c r="G2111" s="1"/>
      <c r="H2111" s="1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"/>
      <c r="B2112" s="1"/>
      <c r="C2112" s="1"/>
      <c r="D2112" s="4"/>
      <c r="E2112" s="4"/>
      <c r="F2112" s="1"/>
      <c r="G2112" s="1"/>
      <c r="H2112" s="1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"/>
      <c r="B2113" s="1"/>
      <c r="C2113" s="1"/>
      <c r="D2113" s="4"/>
      <c r="E2113" s="4"/>
      <c r="F2113" s="1"/>
      <c r="G2113" s="1"/>
      <c r="H2113" s="1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"/>
      <c r="B2114" s="1"/>
      <c r="C2114" s="1"/>
      <c r="D2114" s="4"/>
      <c r="E2114" s="4"/>
      <c r="F2114" s="1"/>
      <c r="G2114" s="1"/>
      <c r="H2114" s="1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"/>
      <c r="B2115" s="1"/>
      <c r="C2115" s="1"/>
      <c r="D2115" s="4"/>
      <c r="E2115" s="4"/>
      <c r="F2115" s="1"/>
      <c r="G2115" s="1"/>
      <c r="H2115" s="1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"/>
      <c r="B2116" s="1"/>
      <c r="C2116" s="1"/>
      <c r="D2116" s="4"/>
      <c r="E2116" s="4"/>
      <c r="F2116" s="1"/>
      <c r="G2116" s="1"/>
      <c r="H2116" s="1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1"/>
      <c r="B2117" s="1"/>
      <c r="C2117" s="1"/>
      <c r="D2117" s="4"/>
      <c r="E2117" s="4"/>
      <c r="F2117" s="1"/>
      <c r="G2117" s="1"/>
      <c r="H2117" s="1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"/>
      <c r="B2118" s="1"/>
      <c r="C2118" s="1"/>
      <c r="D2118" s="4"/>
      <c r="E2118" s="4"/>
      <c r="F2118" s="1"/>
      <c r="G2118" s="1"/>
      <c r="H2118" s="1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"/>
      <c r="B2119" s="1"/>
      <c r="C2119" s="1"/>
      <c r="D2119" s="4"/>
      <c r="E2119" s="4"/>
      <c r="F2119" s="1"/>
      <c r="G2119" s="1"/>
      <c r="H2119" s="1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"/>
      <c r="B2120" s="1"/>
      <c r="C2120" s="1"/>
      <c r="D2120" s="4"/>
      <c r="E2120" s="4"/>
      <c r="F2120" s="1"/>
      <c r="G2120" s="1"/>
      <c r="H2120" s="1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"/>
      <c r="B2121" s="1"/>
      <c r="C2121" s="1"/>
      <c r="D2121" s="4"/>
      <c r="E2121" s="4"/>
      <c r="F2121" s="1"/>
      <c r="G2121" s="1"/>
      <c r="H2121" s="1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1"/>
      <c r="B2122" s="1"/>
      <c r="C2122" s="1"/>
      <c r="D2122" s="4"/>
      <c r="E2122" s="4"/>
      <c r="F2122" s="1"/>
      <c r="G2122" s="1"/>
      <c r="H2122" s="1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"/>
      <c r="B2123" s="1"/>
      <c r="C2123" s="1"/>
      <c r="D2123" s="4"/>
      <c r="E2123" s="4"/>
      <c r="F2123" s="1"/>
      <c r="G2123" s="1"/>
      <c r="H2123" s="1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"/>
      <c r="B2124" s="1"/>
      <c r="C2124" s="1"/>
      <c r="D2124" s="4"/>
      <c r="E2124" s="4"/>
      <c r="F2124" s="1"/>
      <c r="G2124" s="1"/>
      <c r="H2124" s="1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"/>
      <c r="B2125" s="1"/>
      <c r="C2125" s="1"/>
      <c r="D2125" s="4"/>
      <c r="E2125" s="4"/>
      <c r="F2125" s="1"/>
      <c r="G2125" s="1"/>
      <c r="H2125" s="1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1"/>
      <c r="B2126" s="1"/>
      <c r="C2126" s="1"/>
      <c r="D2126" s="4"/>
      <c r="E2126" s="4"/>
      <c r="F2126" s="1"/>
      <c r="G2126" s="1"/>
      <c r="H2126" s="1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"/>
      <c r="B2127" s="1"/>
      <c r="C2127" s="1"/>
      <c r="D2127" s="4"/>
      <c r="E2127" s="4"/>
      <c r="F2127" s="1"/>
      <c r="G2127" s="1"/>
      <c r="H2127" s="1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"/>
      <c r="B2128" s="1"/>
      <c r="C2128" s="1"/>
      <c r="D2128" s="4"/>
      <c r="E2128" s="4"/>
      <c r="F2128" s="1"/>
      <c r="G2128" s="1"/>
      <c r="H2128" s="1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"/>
      <c r="B2129" s="1"/>
      <c r="C2129" s="1"/>
      <c r="D2129" s="4"/>
      <c r="E2129" s="4"/>
      <c r="F2129" s="1"/>
      <c r="G2129" s="1"/>
      <c r="H2129" s="1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1"/>
      <c r="B2130" s="1"/>
      <c r="C2130" s="1"/>
      <c r="D2130" s="4"/>
      <c r="E2130" s="4"/>
      <c r="F2130" s="1"/>
      <c r="G2130" s="1"/>
      <c r="H2130" s="1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"/>
      <c r="B2131" s="1"/>
      <c r="C2131" s="1"/>
      <c r="D2131" s="4"/>
      <c r="E2131" s="4"/>
      <c r="F2131" s="1"/>
      <c r="G2131" s="1"/>
      <c r="H2131" s="1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"/>
      <c r="B2132" s="1"/>
      <c r="C2132" s="1"/>
      <c r="D2132" s="4"/>
      <c r="E2132" s="4"/>
      <c r="F2132" s="1"/>
      <c r="G2132" s="1"/>
      <c r="H2132" s="1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"/>
      <c r="B2133" s="1"/>
      <c r="C2133" s="1"/>
      <c r="D2133" s="4"/>
      <c r="E2133" s="4"/>
      <c r="F2133" s="1"/>
      <c r="G2133" s="1"/>
      <c r="H2133" s="1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1"/>
      <c r="B2134" s="1"/>
      <c r="C2134" s="1"/>
      <c r="D2134" s="4"/>
      <c r="E2134" s="4"/>
      <c r="F2134" s="1"/>
      <c r="G2134" s="1"/>
      <c r="H2134" s="1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"/>
      <c r="B2135" s="1"/>
      <c r="C2135" s="1"/>
      <c r="D2135" s="4"/>
      <c r="E2135" s="4"/>
      <c r="F2135" s="1"/>
      <c r="G2135" s="1"/>
      <c r="H2135" s="1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"/>
      <c r="B2136" s="1"/>
      <c r="C2136" s="1"/>
      <c r="D2136" s="4"/>
      <c r="E2136" s="4"/>
      <c r="F2136" s="1"/>
      <c r="G2136" s="1"/>
      <c r="H2136" s="1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"/>
      <c r="B2137" s="1"/>
      <c r="C2137" s="1"/>
      <c r="D2137" s="4"/>
      <c r="E2137" s="4"/>
      <c r="F2137" s="1"/>
      <c r="G2137" s="1"/>
      <c r="H2137" s="1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1"/>
      <c r="B2138" s="1"/>
      <c r="C2138" s="1"/>
      <c r="D2138" s="4"/>
      <c r="E2138" s="4"/>
      <c r="F2138" s="1"/>
      <c r="G2138" s="1"/>
      <c r="H2138" s="1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"/>
      <c r="B2139" s="1"/>
      <c r="C2139" s="1"/>
      <c r="D2139" s="4"/>
      <c r="E2139" s="4"/>
      <c r="F2139" s="1"/>
      <c r="G2139" s="1"/>
      <c r="H2139" s="1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"/>
      <c r="B2140" s="1"/>
      <c r="C2140" s="1"/>
      <c r="D2140" s="4"/>
      <c r="E2140" s="4"/>
      <c r="F2140" s="1"/>
      <c r="G2140" s="1"/>
      <c r="H2140" s="1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"/>
      <c r="B2141" s="1"/>
      <c r="C2141" s="1"/>
      <c r="D2141" s="4"/>
      <c r="E2141" s="4"/>
      <c r="F2141" s="1"/>
      <c r="G2141" s="1"/>
      <c r="H2141" s="1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1"/>
      <c r="B2142" s="1"/>
      <c r="C2142" s="1"/>
      <c r="D2142" s="4"/>
      <c r="E2142" s="4"/>
      <c r="F2142" s="1"/>
      <c r="G2142" s="1"/>
      <c r="H2142" s="1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"/>
      <c r="B2143" s="1"/>
      <c r="C2143" s="1"/>
      <c r="D2143" s="4"/>
      <c r="E2143" s="4"/>
      <c r="F2143" s="1"/>
      <c r="G2143" s="1"/>
      <c r="H2143" s="1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"/>
      <c r="B2144" s="1"/>
      <c r="C2144" s="1"/>
      <c r="D2144" s="4"/>
      <c r="E2144" s="4"/>
      <c r="F2144" s="1"/>
      <c r="G2144" s="1"/>
      <c r="H2144" s="1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"/>
      <c r="B2145" s="1"/>
      <c r="C2145" s="1"/>
      <c r="D2145" s="4"/>
      <c r="E2145" s="4"/>
      <c r="F2145" s="1"/>
      <c r="G2145" s="1"/>
      <c r="H2145" s="1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"/>
      <c r="B2146" s="1"/>
      <c r="C2146" s="1"/>
      <c r="D2146" s="4"/>
      <c r="E2146" s="4"/>
      <c r="F2146" s="1"/>
      <c r="G2146" s="1"/>
      <c r="H2146" s="1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1"/>
      <c r="B2147" s="1"/>
      <c r="C2147" s="1"/>
      <c r="D2147" s="4"/>
      <c r="E2147" s="4"/>
      <c r="F2147" s="1"/>
      <c r="G2147" s="1"/>
      <c r="H2147" s="1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"/>
      <c r="B2148" s="1"/>
      <c r="C2148" s="1"/>
      <c r="D2148" s="4"/>
      <c r="E2148" s="4"/>
      <c r="F2148" s="1"/>
      <c r="G2148" s="1"/>
      <c r="H2148" s="1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"/>
      <c r="B2149" s="1"/>
      <c r="C2149" s="1"/>
      <c r="D2149" s="4"/>
      <c r="E2149" s="4"/>
      <c r="F2149" s="1"/>
      <c r="G2149" s="1"/>
      <c r="H2149" s="1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"/>
      <c r="B2150" s="1"/>
      <c r="C2150" s="1"/>
      <c r="D2150" s="4"/>
      <c r="E2150" s="4"/>
      <c r="F2150" s="1"/>
      <c r="G2150" s="1"/>
      <c r="H2150" s="1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"/>
      <c r="B2151" s="1"/>
      <c r="C2151" s="1"/>
      <c r="D2151" s="4"/>
      <c r="E2151" s="4"/>
      <c r="F2151" s="1"/>
      <c r="G2151" s="1"/>
      <c r="H2151" s="1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"/>
      <c r="B2152" s="1"/>
      <c r="C2152" s="1"/>
      <c r="D2152" s="4"/>
      <c r="E2152" s="4"/>
      <c r="F2152" s="1"/>
      <c r="G2152" s="1"/>
      <c r="H2152" s="1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1"/>
      <c r="B2153" s="1"/>
      <c r="C2153" s="1"/>
      <c r="D2153" s="4"/>
      <c r="E2153" s="4"/>
      <c r="F2153" s="1"/>
      <c r="G2153" s="1"/>
      <c r="H2153" s="1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"/>
      <c r="B2154" s="1"/>
      <c r="C2154" s="1"/>
      <c r="D2154" s="4"/>
      <c r="E2154" s="4"/>
      <c r="F2154" s="1"/>
      <c r="G2154" s="1"/>
      <c r="H2154" s="1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"/>
      <c r="B2155" s="1"/>
      <c r="C2155" s="1"/>
      <c r="D2155" s="4"/>
      <c r="E2155" s="4"/>
      <c r="F2155" s="1"/>
      <c r="G2155" s="1"/>
      <c r="H2155" s="1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1"/>
      <c r="B2156" s="1"/>
      <c r="C2156" s="1"/>
      <c r="D2156" s="4"/>
      <c r="E2156" s="4"/>
      <c r="F2156" s="1"/>
      <c r="G2156" s="1"/>
      <c r="H2156" s="1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1"/>
      <c r="B2157" s="1"/>
      <c r="C2157" s="1"/>
      <c r="D2157" s="4"/>
      <c r="E2157" s="4"/>
      <c r="F2157" s="1"/>
      <c r="G2157" s="1"/>
      <c r="H2157" s="1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1"/>
      <c r="B2158" s="1"/>
      <c r="C2158" s="1"/>
      <c r="D2158" s="4"/>
      <c r="E2158" s="4"/>
      <c r="F2158" s="1"/>
      <c r="G2158" s="1"/>
      <c r="H2158" s="1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1"/>
      <c r="B2159" s="1"/>
      <c r="C2159" s="1"/>
      <c r="D2159" s="4"/>
      <c r="E2159" s="4"/>
      <c r="F2159" s="1"/>
      <c r="G2159" s="1"/>
      <c r="H2159" s="1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1"/>
      <c r="B2160" s="1"/>
      <c r="C2160" s="1"/>
      <c r="D2160" s="4"/>
      <c r="E2160" s="4"/>
      <c r="F2160" s="1"/>
      <c r="G2160" s="1"/>
      <c r="H2160" s="1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1"/>
      <c r="B2161" s="1"/>
      <c r="C2161" s="1"/>
      <c r="D2161" s="4"/>
      <c r="E2161" s="4"/>
      <c r="F2161" s="1"/>
      <c r="G2161" s="1"/>
      <c r="H2161" s="1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1"/>
      <c r="B2162" s="1"/>
      <c r="C2162" s="1"/>
      <c r="D2162" s="4"/>
      <c r="E2162" s="4"/>
      <c r="F2162" s="1"/>
      <c r="G2162" s="1"/>
      <c r="H2162" s="1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1"/>
      <c r="B2163" s="1"/>
      <c r="C2163" s="1"/>
      <c r="D2163" s="4"/>
      <c r="E2163" s="4"/>
      <c r="F2163" s="1"/>
      <c r="G2163" s="1"/>
      <c r="H2163" s="1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1"/>
      <c r="B2164" s="1"/>
      <c r="C2164" s="1"/>
      <c r="D2164" s="4"/>
      <c r="E2164" s="4"/>
      <c r="F2164" s="1"/>
      <c r="G2164" s="1"/>
      <c r="H2164" s="1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1"/>
      <c r="B2165" s="1"/>
      <c r="C2165" s="1"/>
      <c r="D2165" s="4"/>
      <c r="E2165" s="4"/>
      <c r="F2165" s="1"/>
      <c r="G2165" s="1"/>
      <c r="H2165" s="1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1"/>
      <c r="B2166" s="1"/>
      <c r="C2166" s="1"/>
      <c r="D2166" s="4"/>
      <c r="E2166" s="4"/>
      <c r="F2166" s="1"/>
      <c r="G2166" s="1"/>
      <c r="H2166" s="1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1"/>
      <c r="B2167" s="1"/>
      <c r="C2167" s="1"/>
      <c r="D2167" s="4"/>
      <c r="E2167" s="4"/>
      <c r="F2167" s="1"/>
      <c r="G2167" s="1"/>
      <c r="H2167" s="1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1"/>
      <c r="B2168" s="1"/>
      <c r="C2168" s="1"/>
      <c r="D2168" s="4"/>
      <c r="E2168" s="4"/>
      <c r="F2168" s="1"/>
      <c r="G2168" s="1"/>
      <c r="H2168" s="1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1"/>
      <c r="B2169" s="1"/>
      <c r="C2169" s="1"/>
      <c r="D2169" s="4"/>
      <c r="E2169" s="4"/>
      <c r="F2169" s="1"/>
      <c r="G2169" s="1"/>
      <c r="H2169" s="1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1"/>
      <c r="B2170" s="1"/>
      <c r="C2170" s="1"/>
      <c r="D2170" s="4"/>
      <c r="E2170" s="4"/>
      <c r="F2170" s="1"/>
      <c r="G2170" s="1"/>
      <c r="H2170" s="1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1"/>
      <c r="B2171" s="1"/>
      <c r="C2171" s="1"/>
      <c r="D2171" s="4"/>
      <c r="E2171" s="4"/>
      <c r="F2171" s="1"/>
      <c r="G2171" s="1"/>
      <c r="H2171" s="1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1"/>
      <c r="B2172" s="1"/>
      <c r="C2172" s="1"/>
      <c r="D2172" s="4"/>
      <c r="E2172" s="4"/>
      <c r="F2172" s="1"/>
      <c r="G2172" s="1"/>
      <c r="H2172" s="1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1"/>
      <c r="B2173" s="1"/>
      <c r="C2173" s="1"/>
      <c r="D2173" s="4"/>
      <c r="E2173" s="4"/>
      <c r="F2173" s="1"/>
      <c r="G2173" s="1"/>
      <c r="H2173" s="1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1"/>
      <c r="B2174" s="1"/>
      <c r="C2174" s="1"/>
      <c r="D2174" s="4"/>
      <c r="E2174" s="4"/>
      <c r="F2174" s="1"/>
      <c r="G2174" s="1"/>
      <c r="H2174" s="1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1"/>
      <c r="B2175" s="1"/>
      <c r="C2175" s="1"/>
      <c r="D2175" s="4"/>
      <c r="E2175" s="4"/>
      <c r="F2175" s="1"/>
      <c r="G2175" s="1"/>
      <c r="H2175" s="1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1"/>
      <c r="B2176" s="1"/>
      <c r="C2176" s="1"/>
      <c r="D2176" s="4"/>
      <c r="E2176" s="4"/>
      <c r="F2176" s="1"/>
      <c r="G2176" s="1"/>
      <c r="H2176" s="1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1"/>
      <c r="B2177" s="1"/>
      <c r="C2177" s="1"/>
      <c r="D2177" s="4"/>
      <c r="E2177" s="4"/>
      <c r="F2177" s="1"/>
      <c r="G2177" s="1"/>
      <c r="H2177" s="1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1"/>
      <c r="B2178" s="1"/>
      <c r="C2178" s="1"/>
      <c r="D2178" s="4"/>
      <c r="E2178" s="4"/>
      <c r="F2178" s="1"/>
      <c r="G2178" s="1"/>
      <c r="H2178" s="1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1"/>
      <c r="B2179" s="1"/>
      <c r="C2179" s="1"/>
      <c r="D2179" s="4"/>
      <c r="E2179" s="4"/>
      <c r="F2179" s="1"/>
      <c r="G2179" s="1"/>
      <c r="H2179" s="1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1"/>
      <c r="B2180" s="1"/>
      <c r="C2180" s="1"/>
      <c r="D2180" s="4"/>
      <c r="E2180" s="4"/>
      <c r="F2180" s="1"/>
      <c r="G2180" s="1"/>
      <c r="H2180" s="1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1"/>
      <c r="B2181" s="1"/>
      <c r="C2181" s="1"/>
      <c r="D2181" s="4"/>
      <c r="E2181" s="4"/>
      <c r="F2181" s="1"/>
      <c r="G2181" s="1"/>
      <c r="H2181" s="1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1"/>
      <c r="B2182" s="1"/>
      <c r="C2182" s="1"/>
      <c r="D2182" s="4"/>
      <c r="E2182" s="4"/>
      <c r="F2182" s="1"/>
      <c r="G2182" s="1"/>
      <c r="H2182" s="1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1"/>
      <c r="B2183" s="1"/>
      <c r="C2183" s="1"/>
      <c r="D2183" s="4"/>
      <c r="E2183" s="4"/>
      <c r="F2183" s="1"/>
      <c r="G2183" s="1"/>
      <c r="H2183" s="1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1"/>
      <c r="B2184" s="1"/>
      <c r="C2184" s="1"/>
      <c r="D2184" s="4"/>
      <c r="E2184" s="4"/>
      <c r="F2184" s="1"/>
      <c r="G2184" s="1"/>
      <c r="H2184" s="1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1"/>
      <c r="B2185" s="1"/>
      <c r="C2185" s="1"/>
      <c r="D2185" s="4"/>
      <c r="E2185" s="4"/>
      <c r="F2185" s="1"/>
      <c r="G2185" s="1"/>
      <c r="H2185" s="1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1"/>
      <c r="B2186" s="1"/>
      <c r="C2186" s="1"/>
      <c r="D2186" s="4"/>
      <c r="E2186" s="4"/>
      <c r="F2186" s="1"/>
      <c r="G2186" s="1"/>
      <c r="H2186" s="1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1"/>
      <c r="B2187" s="1"/>
      <c r="C2187" s="1"/>
      <c r="D2187" s="4"/>
      <c r="E2187" s="4"/>
      <c r="F2187" s="1"/>
      <c r="G2187" s="1"/>
      <c r="H2187" s="1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1"/>
      <c r="B2188" s="1"/>
      <c r="C2188" s="1"/>
      <c r="D2188" s="4"/>
      <c r="E2188" s="4"/>
      <c r="F2188" s="1"/>
      <c r="G2188" s="1"/>
      <c r="H2188" s="1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1"/>
      <c r="B2189" s="1"/>
      <c r="C2189" s="1"/>
      <c r="D2189" s="4"/>
      <c r="E2189" s="4"/>
      <c r="F2189" s="1"/>
      <c r="G2189" s="1"/>
      <c r="H2189" s="1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1"/>
      <c r="B2190" s="1"/>
      <c r="C2190" s="1"/>
      <c r="D2190" s="4"/>
      <c r="E2190" s="4"/>
      <c r="F2190" s="1"/>
      <c r="G2190" s="1"/>
      <c r="H2190" s="1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1"/>
      <c r="B2191" s="1"/>
      <c r="C2191" s="1"/>
      <c r="D2191" s="4"/>
      <c r="E2191" s="4"/>
      <c r="F2191" s="1"/>
      <c r="G2191" s="1"/>
      <c r="H2191" s="1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1"/>
      <c r="B2192" s="1"/>
      <c r="C2192" s="1"/>
      <c r="D2192" s="4"/>
      <c r="E2192" s="4"/>
      <c r="F2192" s="1"/>
      <c r="G2192" s="1"/>
      <c r="H2192" s="1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1"/>
      <c r="B2193" s="1"/>
      <c r="C2193" s="1"/>
      <c r="D2193" s="4"/>
      <c r="E2193" s="4"/>
      <c r="F2193" s="1"/>
      <c r="G2193" s="1"/>
      <c r="H2193" s="1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1"/>
      <c r="B2194" s="1"/>
      <c r="C2194" s="1"/>
      <c r="D2194" s="4"/>
      <c r="E2194" s="4"/>
      <c r="F2194" s="1"/>
      <c r="G2194" s="1"/>
      <c r="H2194" s="1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1"/>
      <c r="B2195" s="1"/>
      <c r="C2195" s="1"/>
      <c r="D2195" s="4"/>
      <c r="E2195" s="4"/>
      <c r="F2195" s="1"/>
      <c r="G2195" s="1"/>
      <c r="H2195" s="1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1"/>
      <c r="B2196" s="1"/>
      <c r="C2196" s="1"/>
      <c r="D2196" s="4"/>
      <c r="E2196" s="4"/>
      <c r="F2196" s="1"/>
      <c r="G2196" s="1"/>
      <c r="H2196" s="1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1"/>
      <c r="B2197" s="1"/>
      <c r="C2197" s="1"/>
      <c r="D2197" s="4"/>
      <c r="E2197" s="4"/>
      <c r="F2197" s="1"/>
      <c r="G2197" s="1"/>
      <c r="H2197" s="1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1"/>
      <c r="B2198" s="1"/>
      <c r="C2198" s="1"/>
      <c r="D2198" s="4"/>
      <c r="E2198" s="4"/>
      <c r="F2198" s="1"/>
      <c r="G2198" s="1"/>
      <c r="H2198" s="1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1"/>
      <c r="B2199" s="1"/>
      <c r="C2199" s="1"/>
      <c r="D2199" s="4"/>
      <c r="E2199" s="4"/>
      <c r="F2199" s="1"/>
      <c r="G2199" s="1"/>
      <c r="H2199" s="1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1"/>
      <c r="B2200" s="1"/>
      <c r="C2200" s="1"/>
      <c r="D2200" s="4"/>
      <c r="E2200" s="4"/>
      <c r="F2200" s="1"/>
      <c r="G2200" s="1"/>
      <c r="H2200" s="1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1"/>
      <c r="B2201" s="1"/>
      <c r="C2201" s="1"/>
      <c r="D2201" s="4"/>
      <c r="E2201" s="4"/>
      <c r="F2201" s="1"/>
      <c r="G2201" s="1"/>
      <c r="H2201" s="1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1"/>
      <c r="B2202" s="1"/>
      <c r="C2202" s="1"/>
      <c r="D2202" s="4"/>
      <c r="E2202" s="4"/>
      <c r="F2202" s="1"/>
      <c r="G2202" s="1"/>
      <c r="H2202" s="1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1"/>
      <c r="B2203" s="1"/>
      <c r="C2203" s="1"/>
      <c r="D2203" s="4"/>
      <c r="E2203" s="4"/>
      <c r="F2203" s="1"/>
      <c r="G2203" s="1"/>
      <c r="H2203" s="1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1"/>
      <c r="B2204" s="1"/>
      <c r="C2204" s="1"/>
      <c r="D2204" s="4"/>
      <c r="E2204" s="4"/>
      <c r="F2204" s="1"/>
      <c r="G2204" s="1"/>
      <c r="H2204" s="1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1"/>
      <c r="B2205" s="1"/>
      <c r="C2205" s="1"/>
      <c r="D2205" s="4"/>
      <c r="E2205" s="4"/>
      <c r="F2205" s="1"/>
      <c r="G2205" s="1"/>
      <c r="H2205" s="1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1"/>
      <c r="B2206" s="1"/>
      <c r="C2206" s="1"/>
      <c r="D2206" s="4"/>
      <c r="E2206" s="4"/>
      <c r="F2206" s="1"/>
      <c r="G2206" s="1"/>
      <c r="H2206" s="1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1"/>
      <c r="B2207" s="1"/>
      <c r="C2207" s="1"/>
      <c r="D2207" s="4"/>
      <c r="E2207" s="4"/>
      <c r="F2207" s="1"/>
      <c r="G2207" s="1"/>
      <c r="H2207" s="1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1"/>
      <c r="B2208" s="1"/>
      <c r="C2208" s="1"/>
      <c r="D2208" s="4"/>
      <c r="E2208" s="4"/>
      <c r="F2208" s="1"/>
      <c r="G2208" s="1"/>
      <c r="H2208" s="1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1"/>
      <c r="B2209" s="1"/>
      <c r="C2209" s="1"/>
      <c r="D2209" s="4"/>
      <c r="E2209" s="4"/>
      <c r="F2209" s="1"/>
      <c r="G2209" s="1"/>
      <c r="H2209" s="1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1"/>
      <c r="B2210" s="1"/>
      <c r="C2210" s="1"/>
      <c r="D2210" s="4"/>
      <c r="E2210" s="4"/>
      <c r="F2210" s="1"/>
      <c r="G2210" s="1"/>
      <c r="H2210" s="1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1"/>
      <c r="B2211" s="1"/>
      <c r="C2211" s="1"/>
      <c r="D2211" s="4"/>
      <c r="E2211" s="4"/>
      <c r="F2211" s="1"/>
      <c r="G2211" s="1"/>
      <c r="H2211" s="1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1"/>
      <c r="B2212" s="1"/>
      <c r="C2212" s="1"/>
      <c r="D2212" s="4"/>
      <c r="E2212" s="4"/>
      <c r="F2212" s="1"/>
      <c r="G2212" s="1"/>
      <c r="H2212" s="1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1"/>
      <c r="B2213" s="1"/>
      <c r="C2213" s="1"/>
      <c r="D2213" s="4"/>
      <c r="E2213" s="4"/>
      <c r="F2213" s="1"/>
      <c r="G2213" s="1"/>
      <c r="H2213" s="1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1"/>
      <c r="B2214" s="1"/>
      <c r="C2214" s="1"/>
      <c r="D2214" s="4"/>
      <c r="E2214" s="4"/>
      <c r="F2214" s="1"/>
      <c r="G2214" s="1"/>
      <c r="H2214" s="1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1"/>
      <c r="B2215" s="1"/>
      <c r="C2215" s="1"/>
      <c r="D2215" s="4"/>
      <c r="E2215" s="4"/>
      <c r="F2215" s="1"/>
      <c r="G2215" s="1"/>
      <c r="H2215" s="1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1"/>
      <c r="B2216" s="1"/>
      <c r="C2216" s="1"/>
      <c r="D2216" s="4"/>
      <c r="E2216" s="4"/>
      <c r="F2216" s="1"/>
      <c r="G2216" s="1"/>
      <c r="H2216" s="1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1"/>
      <c r="B2217" s="1"/>
      <c r="C2217" s="1"/>
      <c r="D2217" s="4"/>
      <c r="E2217" s="4"/>
      <c r="F2217" s="1"/>
      <c r="G2217" s="1"/>
      <c r="H2217" s="1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1"/>
      <c r="B2218" s="1"/>
      <c r="C2218" s="1"/>
      <c r="D2218" s="4"/>
      <c r="E2218" s="4"/>
      <c r="F2218" s="1"/>
      <c r="G2218" s="1"/>
      <c r="H2218" s="1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1"/>
      <c r="B2219" s="1"/>
      <c r="C2219" s="1"/>
      <c r="D2219" s="4"/>
      <c r="E2219" s="4"/>
      <c r="F2219" s="1"/>
      <c r="G2219" s="1"/>
      <c r="H2219" s="1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1"/>
      <c r="B2220" s="1"/>
      <c r="C2220" s="1"/>
      <c r="D2220" s="4"/>
      <c r="E2220" s="4"/>
      <c r="F2220" s="1"/>
      <c r="G2220" s="1"/>
      <c r="H2220" s="1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1"/>
      <c r="B2221" s="1"/>
      <c r="C2221" s="1"/>
      <c r="D2221" s="4"/>
      <c r="E2221" s="4"/>
      <c r="F2221" s="1"/>
      <c r="G2221" s="1"/>
      <c r="H2221" s="1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1"/>
      <c r="B2222" s="1"/>
      <c r="C2222" s="1"/>
      <c r="D2222" s="4"/>
      <c r="E2222" s="4"/>
      <c r="F2222" s="1"/>
      <c r="G2222" s="1"/>
      <c r="H2222" s="1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1"/>
      <c r="B2223" s="1"/>
      <c r="C2223" s="1"/>
      <c r="D2223" s="4"/>
      <c r="E2223" s="4"/>
      <c r="F2223" s="1"/>
      <c r="G2223" s="1"/>
      <c r="H2223" s="1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1"/>
      <c r="B2224" s="1"/>
      <c r="C2224" s="1"/>
      <c r="D2224" s="4"/>
      <c r="E2224" s="4"/>
      <c r="F2224" s="1"/>
      <c r="G2224" s="1"/>
      <c r="H2224" s="1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1"/>
      <c r="B2225" s="1"/>
      <c r="C2225" s="1"/>
      <c r="D2225" s="4"/>
      <c r="E2225" s="4"/>
      <c r="F2225" s="1"/>
      <c r="G2225" s="1"/>
      <c r="H2225" s="1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1"/>
      <c r="B2226" s="1"/>
      <c r="C2226" s="1"/>
      <c r="D2226" s="4"/>
      <c r="E2226" s="4"/>
      <c r="F2226" s="1"/>
      <c r="G2226" s="1"/>
      <c r="H2226" s="1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1"/>
      <c r="B2227" s="1"/>
      <c r="C2227" s="1"/>
      <c r="D2227" s="4"/>
      <c r="E2227" s="4"/>
      <c r="F2227" s="1"/>
      <c r="G2227" s="1"/>
      <c r="H2227" s="1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1"/>
      <c r="B2228" s="1"/>
      <c r="C2228" s="1"/>
      <c r="D2228" s="4"/>
      <c r="E2228" s="4"/>
      <c r="F2228" s="1"/>
      <c r="G2228" s="1"/>
      <c r="H2228" s="1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1"/>
      <c r="B2229" s="1"/>
      <c r="C2229" s="1"/>
      <c r="D2229" s="4"/>
      <c r="E2229" s="4"/>
      <c r="F2229" s="1"/>
      <c r="G2229" s="1"/>
      <c r="H2229" s="1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1"/>
      <c r="B2230" s="1"/>
      <c r="C2230" s="1"/>
      <c r="D2230" s="4"/>
      <c r="E2230" s="4"/>
      <c r="F2230" s="1"/>
      <c r="G2230" s="1"/>
      <c r="H2230" s="1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1"/>
      <c r="B2231" s="1"/>
      <c r="C2231" s="1"/>
      <c r="D2231" s="4"/>
      <c r="E2231" s="4"/>
      <c r="F2231" s="1"/>
      <c r="G2231" s="1"/>
      <c r="H2231" s="1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1"/>
      <c r="B2232" s="1"/>
      <c r="C2232" s="1"/>
      <c r="D2232" s="4"/>
      <c r="E2232" s="4"/>
      <c r="F2232" s="1"/>
      <c r="G2232" s="1"/>
      <c r="H2232" s="1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1"/>
      <c r="B2233" s="1"/>
      <c r="C2233" s="1"/>
      <c r="D2233" s="4"/>
      <c r="E2233" s="4"/>
      <c r="F2233" s="1"/>
      <c r="G2233" s="1"/>
      <c r="H2233" s="1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1"/>
      <c r="B2234" s="1"/>
      <c r="C2234" s="1"/>
      <c r="D2234" s="4"/>
      <c r="E2234" s="4"/>
      <c r="F2234" s="1"/>
      <c r="G2234" s="1"/>
      <c r="H2234" s="1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1"/>
      <c r="B2235" s="1"/>
      <c r="C2235" s="1"/>
      <c r="D2235" s="4"/>
      <c r="E2235" s="4"/>
      <c r="F2235" s="1"/>
      <c r="G2235" s="1"/>
      <c r="H2235" s="1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1"/>
      <c r="B2236" s="1"/>
      <c r="C2236" s="1"/>
      <c r="D2236" s="4"/>
      <c r="E2236" s="4"/>
      <c r="F2236" s="1"/>
      <c r="G2236" s="1"/>
      <c r="H2236" s="1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1"/>
      <c r="B2237" s="1"/>
      <c r="C2237" s="1"/>
      <c r="D2237" s="4"/>
      <c r="E2237" s="4"/>
      <c r="F2237" s="1"/>
      <c r="G2237" s="1"/>
      <c r="H2237" s="1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1"/>
      <c r="B2238" s="1"/>
      <c r="C2238" s="1"/>
      <c r="D2238" s="4"/>
      <c r="E2238" s="4"/>
      <c r="F2238" s="1"/>
      <c r="G2238" s="1"/>
      <c r="H2238" s="1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1"/>
      <c r="B2239" s="1"/>
      <c r="C2239" s="1"/>
      <c r="D2239" s="4"/>
      <c r="E2239" s="4"/>
      <c r="F2239" s="1"/>
      <c r="G2239" s="1"/>
      <c r="H2239" s="1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1"/>
      <c r="B2240" s="1"/>
      <c r="C2240" s="1"/>
      <c r="D2240" s="4"/>
      <c r="E2240" s="4"/>
      <c r="F2240" s="1"/>
      <c r="G2240" s="1"/>
      <c r="H2240" s="1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1"/>
      <c r="B2241" s="1"/>
      <c r="C2241" s="1"/>
      <c r="D2241" s="4"/>
      <c r="E2241" s="4"/>
      <c r="F2241" s="1"/>
      <c r="G2241" s="1"/>
      <c r="H2241" s="1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1"/>
      <c r="B2242" s="1"/>
      <c r="C2242" s="1"/>
      <c r="D2242" s="4"/>
      <c r="E2242" s="4"/>
      <c r="F2242" s="1"/>
      <c r="G2242" s="1"/>
      <c r="H2242" s="1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1"/>
      <c r="B2243" s="1"/>
      <c r="C2243" s="1"/>
      <c r="D2243" s="4"/>
      <c r="E2243" s="4"/>
      <c r="F2243" s="1"/>
      <c r="G2243" s="1"/>
      <c r="H2243" s="1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1"/>
      <c r="B2244" s="1"/>
      <c r="C2244" s="1"/>
      <c r="D2244" s="4"/>
      <c r="E2244" s="4"/>
      <c r="F2244" s="1"/>
      <c r="G2244" s="1"/>
      <c r="H2244" s="1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1"/>
      <c r="B2245" s="1"/>
      <c r="C2245" s="1"/>
      <c r="D2245" s="4"/>
      <c r="E2245" s="4"/>
      <c r="F2245" s="1"/>
      <c r="G2245" s="1"/>
      <c r="H2245" s="1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1"/>
      <c r="B2246" s="1"/>
      <c r="C2246" s="1"/>
      <c r="D2246" s="4"/>
      <c r="E2246" s="4"/>
      <c r="F2246" s="1"/>
      <c r="G2246" s="1"/>
      <c r="H2246" s="1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1"/>
      <c r="B2247" s="1"/>
      <c r="C2247" s="1"/>
      <c r="D2247" s="4"/>
      <c r="E2247" s="4"/>
      <c r="F2247" s="1"/>
      <c r="G2247" s="1"/>
      <c r="H2247" s="1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1"/>
      <c r="B2248" s="1"/>
      <c r="C2248" s="1"/>
      <c r="D2248" s="4"/>
      <c r="E2248" s="4"/>
      <c r="F2248" s="1"/>
      <c r="G2248" s="1"/>
      <c r="H2248" s="1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1"/>
      <c r="B2249" s="1"/>
      <c r="C2249" s="1"/>
      <c r="D2249" s="4"/>
      <c r="E2249" s="4"/>
      <c r="F2249" s="1"/>
      <c r="G2249" s="1"/>
      <c r="H2249" s="1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1"/>
      <c r="B2250" s="1"/>
      <c r="C2250" s="1"/>
      <c r="D2250" s="4"/>
      <c r="E2250" s="4"/>
      <c r="F2250" s="1"/>
      <c r="G2250" s="1"/>
      <c r="H2250" s="1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1"/>
      <c r="B2251" s="1"/>
      <c r="C2251" s="1"/>
      <c r="D2251" s="4"/>
      <c r="E2251" s="4"/>
      <c r="F2251" s="1"/>
      <c r="G2251" s="1"/>
      <c r="H2251" s="1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1"/>
      <c r="B2252" s="1"/>
      <c r="C2252" s="1"/>
      <c r="D2252" s="4"/>
      <c r="E2252" s="4"/>
      <c r="F2252" s="1"/>
      <c r="G2252" s="1"/>
      <c r="H2252" s="1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1"/>
      <c r="B2253" s="1"/>
      <c r="C2253" s="1"/>
      <c r="D2253" s="4"/>
      <c r="E2253" s="4"/>
      <c r="F2253" s="1"/>
      <c r="G2253" s="1"/>
      <c r="H2253" s="1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1"/>
      <c r="B2254" s="1"/>
      <c r="C2254" s="1"/>
      <c r="D2254" s="4"/>
      <c r="E2254" s="4"/>
      <c r="F2254" s="1"/>
      <c r="G2254" s="1"/>
      <c r="H2254" s="1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1"/>
      <c r="B2255" s="1"/>
      <c r="C2255" s="1"/>
      <c r="D2255" s="4"/>
      <c r="E2255" s="4"/>
      <c r="F2255" s="1"/>
      <c r="G2255" s="1"/>
      <c r="H2255" s="1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1"/>
      <c r="B2256" s="1"/>
      <c r="C2256" s="1"/>
      <c r="D2256" s="4"/>
      <c r="E2256" s="4"/>
      <c r="F2256" s="1"/>
      <c r="G2256" s="1"/>
      <c r="H2256" s="1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1"/>
      <c r="B2257" s="1"/>
      <c r="C2257" s="1"/>
      <c r="D2257" s="4"/>
      <c r="E2257" s="4"/>
      <c r="F2257" s="1"/>
      <c r="G2257" s="1"/>
      <c r="H2257" s="1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1"/>
      <c r="B2258" s="1"/>
      <c r="C2258" s="1"/>
      <c r="D2258" s="4"/>
      <c r="E2258" s="4"/>
      <c r="F2258" s="1"/>
      <c r="G2258" s="1"/>
      <c r="H2258" s="1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1"/>
      <c r="B2259" s="1"/>
      <c r="C2259" s="1"/>
      <c r="D2259" s="4"/>
      <c r="E2259" s="4"/>
      <c r="F2259" s="1"/>
      <c r="G2259" s="1"/>
      <c r="H2259" s="1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1"/>
      <c r="B2260" s="1"/>
      <c r="C2260" s="1"/>
      <c r="D2260" s="4"/>
      <c r="E2260" s="4"/>
      <c r="F2260" s="1"/>
      <c r="G2260" s="1"/>
      <c r="H2260" s="1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1"/>
      <c r="B2261" s="1"/>
      <c r="C2261" s="1"/>
      <c r="D2261" s="4"/>
      <c r="E2261" s="4"/>
      <c r="F2261" s="1"/>
      <c r="G2261" s="1"/>
      <c r="H2261" s="1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1"/>
      <c r="B2262" s="1"/>
      <c r="C2262" s="1"/>
      <c r="D2262" s="4"/>
      <c r="E2262" s="4"/>
      <c r="F2262" s="1"/>
      <c r="G2262" s="1"/>
      <c r="H2262" s="1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1"/>
      <c r="B2263" s="1"/>
      <c r="C2263" s="1"/>
      <c r="D2263" s="4"/>
      <c r="E2263" s="4"/>
      <c r="F2263" s="1"/>
      <c r="G2263" s="1"/>
      <c r="H2263" s="1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1"/>
      <c r="B2264" s="1"/>
      <c r="C2264" s="1"/>
      <c r="D2264" s="4"/>
      <c r="E2264" s="4"/>
      <c r="F2264" s="1"/>
      <c r="G2264" s="1"/>
      <c r="H2264" s="1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1"/>
      <c r="B2265" s="1"/>
      <c r="C2265" s="1"/>
      <c r="D2265" s="4"/>
      <c r="E2265" s="4"/>
      <c r="F2265" s="1"/>
      <c r="G2265" s="1"/>
      <c r="H2265" s="1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1"/>
      <c r="B2266" s="1"/>
      <c r="C2266" s="1"/>
      <c r="D2266" s="4"/>
      <c r="E2266" s="4"/>
      <c r="F2266" s="1"/>
      <c r="G2266" s="1"/>
      <c r="H2266" s="1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1"/>
      <c r="B2267" s="1"/>
      <c r="C2267" s="1"/>
      <c r="D2267" s="4"/>
      <c r="E2267" s="4"/>
      <c r="F2267" s="1"/>
      <c r="G2267" s="1"/>
      <c r="H2267" s="1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1"/>
      <c r="B2268" s="1"/>
      <c r="C2268" s="1"/>
      <c r="D2268" s="4"/>
      <c r="E2268" s="4"/>
      <c r="F2268" s="1"/>
      <c r="G2268" s="1"/>
      <c r="H2268" s="1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1"/>
      <c r="B2269" s="1"/>
      <c r="C2269" s="1"/>
      <c r="D2269" s="4"/>
      <c r="E2269" s="4"/>
      <c r="F2269" s="1"/>
      <c r="G2269" s="1"/>
      <c r="H2269" s="1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1"/>
      <c r="B2270" s="1"/>
      <c r="C2270" s="1"/>
      <c r="D2270" s="4"/>
      <c r="E2270" s="4"/>
      <c r="F2270" s="1"/>
      <c r="G2270" s="1"/>
      <c r="H2270" s="1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1"/>
      <c r="B2271" s="1"/>
      <c r="C2271" s="1"/>
      <c r="D2271" s="4"/>
      <c r="E2271" s="4"/>
      <c r="F2271" s="1"/>
      <c r="G2271" s="1"/>
      <c r="H2271" s="1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1"/>
      <c r="B2272" s="1"/>
      <c r="C2272" s="1"/>
      <c r="D2272" s="4"/>
      <c r="E2272" s="4"/>
      <c r="F2272" s="1"/>
      <c r="G2272" s="1"/>
      <c r="H2272" s="1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1"/>
      <c r="B2273" s="1"/>
      <c r="C2273" s="1"/>
      <c r="D2273" s="4"/>
      <c r="E2273" s="4"/>
      <c r="F2273" s="1"/>
      <c r="G2273" s="1"/>
      <c r="H2273" s="1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1"/>
      <c r="B2274" s="1"/>
      <c r="C2274" s="1"/>
      <c r="D2274" s="4"/>
      <c r="E2274" s="4"/>
      <c r="F2274" s="1"/>
      <c r="G2274" s="1"/>
      <c r="H2274" s="1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1"/>
      <c r="B2275" s="1"/>
      <c r="C2275" s="1"/>
      <c r="D2275" s="4"/>
      <c r="E2275" s="4"/>
      <c r="F2275" s="1"/>
      <c r="G2275" s="1"/>
      <c r="H2275" s="1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1"/>
      <c r="B2276" s="1"/>
      <c r="C2276" s="1"/>
      <c r="D2276" s="4"/>
      <c r="E2276" s="4"/>
      <c r="F2276" s="1"/>
      <c r="G2276" s="1"/>
      <c r="H2276" s="1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1"/>
      <c r="B2277" s="1"/>
      <c r="C2277" s="1"/>
      <c r="D2277" s="4"/>
      <c r="E2277" s="4"/>
      <c r="F2277" s="1"/>
      <c r="G2277" s="1"/>
      <c r="H2277" s="1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1"/>
      <c r="B2278" s="1"/>
      <c r="C2278" s="1"/>
      <c r="D2278" s="4"/>
      <c r="E2278" s="4"/>
      <c r="F2278" s="1"/>
      <c r="G2278" s="1"/>
      <c r="H2278" s="1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1"/>
      <c r="B2279" s="1"/>
      <c r="C2279" s="1"/>
      <c r="D2279" s="4"/>
      <c r="E2279" s="4"/>
      <c r="F2279" s="1"/>
      <c r="G2279" s="1"/>
      <c r="H2279" s="1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1"/>
      <c r="B2280" s="1"/>
      <c r="C2280" s="1"/>
      <c r="D2280" s="4"/>
      <c r="E2280" s="4"/>
      <c r="F2280" s="1"/>
      <c r="G2280" s="1"/>
      <c r="H2280" s="1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1"/>
      <c r="B2281" s="1"/>
      <c r="C2281" s="1"/>
      <c r="D2281" s="4"/>
      <c r="E2281" s="4"/>
      <c r="F2281" s="1"/>
      <c r="G2281" s="1"/>
      <c r="H2281" s="1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1"/>
      <c r="B2282" s="1"/>
      <c r="C2282" s="1"/>
      <c r="D2282" s="4"/>
      <c r="E2282" s="4"/>
      <c r="F2282" s="1"/>
      <c r="G2282" s="1"/>
      <c r="H2282" s="1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1"/>
      <c r="B2283" s="1"/>
      <c r="C2283" s="1"/>
      <c r="D2283" s="4"/>
      <c r="E2283" s="4"/>
      <c r="F2283" s="1"/>
      <c r="G2283" s="1"/>
      <c r="H2283" s="1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1"/>
      <c r="B2284" s="1"/>
      <c r="C2284" s="1"/>
      <c r="D2284" s="4"/>
      <c r="E2284" s="4"/>
      <c r="F2284" s="1"/>
      <c r="G2284" s="1"/>
      <c r="H2284" s="1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1"/>
      <c r="B2285" s="1"/>
      <c r="C2285" s="1"/>
      <c r="D2285" s="4"/>
      <c r="E2285" s="4"/>
      <c r="F2285" s="1"/>
      <c r="G2285" s="1"/>
      <c r="H2285" s="1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1"/>
      <c r="B2286" s="1"/>
      <c r="C2286" s="1"/>
      <c r="D2286" s="4"/>
      <c r="E2286" s="4"/>
      <c r="F2286" s="1"/>
      <c r="G2286" s="1"/>
      <c r="H2286" s="1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1"/>
      <c r="B2287" s="1"/>
      <c r="C2287" s="1"/>
      <c r="D2287" s="4"/>
      <c r="E2287" s="4"/>
      <c r="F2287" s="1"/>
      <c r="G2287" s="1"/>
      <c r="H2287" s="1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1"/>
      <c r="B2288" s="1"/>
      <c r="C2288" s="1"/>
      <c r="D2288" s="4"/>
      <c r="E2288" s="4"/>
      <c r="F2288" s="1"/>
      <c r="G2288" s="1"/>
      <c r="H2288" s="1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1"/>
      <c r="B2289" s="1"/>
      <c r="C2289" s="1"/>
      <c r="D2289" s="4"/>
      <c r="E2289" s="4"/>
      <c r="F2289" s="1"/>
      <c r="G2289" s="1"/>
      <c r="H2289" s="1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1"/>
      <c r="B2290" s="1"/>
      <c r="C2290" s="1"/>
      <c r="D2290" s="4"/>
      <c r="E2290" s="4"/>
      <c r="F2290" s="1"/>
      <c r="G2290" s="1"/>
      <c r="H2290" s="1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1"/>
      <c r="B2291" s="1"/>
      <c r="C2291" s="1"/>
      <c r="D2291" s="4"/>
      <c r="E2291" s="4"/>
      <c r="F2291" s="1"/>
      <c r="G2291" s="1"/>
      <c r="H2291" s="1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1"/>
      <c r="B2292" s="1"/>
      <c r="C2292" s="1"/>
      <c r="D2292" s="4"/>
      <c r="E2292" s="4"/>
      <c r="F2292" s="1"/>
      <c r="G2292" s="1"/>
      <c r="H2292" s="1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1"/>
      <c r="B2293" s="1"/>
      <c r="C2293" s="1"/>
      <c r="D2293" s="4"/>
      <c r="E2293" s="4"/>
      <c r="F2293" s="1"/>
      <c r="G2293" s="1"/>
      <c r="H2293" s="1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1"/>
      <c r="B2294" s="1"/>
      <c r="C2294" s="1"/>
      <c r="D2294" s="4"/>
      <c r="E2294" s="4"/>
      <c r="F2294" s="1"/>
      <c r="G2294" s="1"/>
      <c r="H2294" s="1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1"/>
      <c r="B2295" s="1"/>
      <c r="C2295" s="1"/>
      <c r="D2295" s="4"/>
      <c r="E2295" s="4"/>
      <c r="F2295" s="1"/>
      <c r="G2295" s="1"/>
      <c r="H2295" s="1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1"/>
      <c r="B2296" s="1"/>
      <c r="C2296" s="1"/>
      <c r="D2296" s="4"/>
      <c r="E2296" s="4"/>
      <c r="F2296" s="1"/>
      <c r="G2296" s="1"/>
      <c r="H2296" s="1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1"/>
      <c r="B2297" s="1"/>
      <c r="C2297" s="1"/>
      <c r="D2297" s="4"/>
      <c r="E2297" s="4"/>
      <c r="F2297" s="1"/>
      <c r="G2297" s="1"/>
      <c r="H2297" s="1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1"/>
      <c r="B2298" s="1"/>
      <c r="C2298" s="1"/>
      <c r="D2298" s="4"/>
      <c r="E2298" s="4"/>
      <c r="F2298" s="1"/>
      <c r="G2298" s="1"/>
      <c r="H2298" s="1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1"/>
      <c r="B2299" s="1"/>
      <c r="C2299" s="1"/>
      <c r="D2299" s="4"/>
      <c r="E2299" s="4"/>
      <c r="F2299" s="1"/>
      <c r="G2299" s="1"/>
      <c r="H2299" s="1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1"/>
      <c r="B2300" s="1"/>
      <c r="C2300" s="1"/>
      <c r="D2300" s="4"/>
      <c r="E2300" s="4"/>
      <c r="F2300" s="1"/>
      <c r="G2300" s="1"/>
      <c r="H2300" s="1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1"/>
      <c r="B2301" s="1"/>
      <c r="C2301" s="1"/>
      <c r="D2301" s="4"/>
      <c r="E2301" s="4"/>
      <c r="F2301" s="1"/>
      <c r="G2301" s="1"/>
      <c r="H2301" s="1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1"/>
      <c r="B2302" s="1"/>
      <c r="C2302" s="1"/>
      <c r="D2302" s="4"/>
      <c r="E2302" s="4"/>
      <c r="F2302" s="1"/>
      <c r="G2302" s="1"/>
      <c r="H2302" s="1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1"/>
      <c r="B2303" s="1"/>
      <c r="C2303" s="1"/>
      <c r="D2303" s="4"/>
      <c r="E2303" s="4"/>
      <c r="F2303" s="1"/>
      <c r="G2303" s="1"/>
      <c r="H2303" s="1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1"/>
      <c r="B2304" s="1"/>
      <c r="C2304" s="1"/>
      <c r="D2304" s="4"/>
      <c r="E2304" s="4"/>
      <c r="F2304" s="1"/>
      <c r="G2304" s="1"/>
      <c r="H2304" s="1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1"/>
      <c r="B2305" s="1"/>
      <c r="C2305" s="1"/>
      <c r="D2305" s="4"/>
      <c r="E2305" s="4"/>
      <c r="F2305" s="1"/>
      <c r="G2305" s="1"/>
      <c r="H2305" s="1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1"/>
      <c r="B2306" s="1"/>
      <c r="C2306" s="1"/>
      <c r="D2306" s="4"/>
      <c r="E2306" s="4"/>
      <c r="F2306" s="1"/>
      <c r="G2306" s="1"/>
      <c r="H2306" s="1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1"/>
      <c r="B2307" s="1"/>
      <c r="C2307" s="1"/>
      <c r="D2307" s="4"/>
      <c r="E2307" s="4"/>
      <c r="F2307" s="1"/>
      <c r="G2307" s="1"/>
      <c r="H2307" s="1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1"/>
      <c r="B2308" s="1"/>
      <c r="C2308" s="1"/>
      <c r="D2308" s="4"/>
      <c r="E2308" s="4"/>
      <c r="F2308" s="1"/>
      <c r="G2308" s="1"/>
      <c r="H2308" s="1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1"/>
      <c r="B2309" s="1"/>
      <c r="C2309" s="1"/>
      <c r="D2309" s="4"/>
      <c r="E2309" s="4"/>
      <c r="F2309" s="1"/>
      <c r="G2309" s="1"/>
      <c r="H2309" s="1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1"/>
      <c r="B2310" s="1"/>
      <c r="C2310" s="1"/>
      <c r="D2310" s="4"/>
      <c r="E2310" s="4"/>
      <c r="F2310" s="1"/>
      <c r="G2310" s="1"/>
      <c r="H2310" s="1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1"/>
      <c r="B2311" s="1"/>
      <c r="C2311" s="1"/>
      <c r="D2311" s="4"/>
      <c r="E2311" s="4"/>
      <c r="F2311" s="1"/>
      <c r="G2311" s="1"/>
      <c r="H2311" s="1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1"/>
      <c r="B2312" s="1"/>
      <c r="C2312" s="1"/>
      <c r="D2312" s="4"/>
      <c r="E2312" s="4"/>
      <c r="F2312" s="1"/>
      <c r="G2312" s="1"/>
      <c r="H2312" s="1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1"/>
      <c r="B2313" s="1"/>
      <c r="C2313" s="1"/>
      <c r="D2313" s="4"/>
      <c r="E2313" s="4"/>
      <c r="F2313" s="1"/>
      <c r="G2313" s="1"/>
      <c r="H2313" s="1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1"/>
      <c r="B2314" s="1"/>
      <c r="C2314" s="1"/>
      <c r="D2314" s="4"/>
      <c r="E2314" s="4"/>
      <c r="F2314" s="1"/>
      <c r="G2314" s="1"/>
      <c r="H2314" s="1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1"/>
      <c r="B2315" s="1"/>
      <c r="C2315" s="1"/>
      <c r="D2315" s="4"/>
      <c r="E2315" s="4"/>
      <c r="F2315" s="1"/>
      <c r="G2315" s="1"/>
      <c r="H2315" s="1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1"/>
      <c r="B2316" s="1"/>
      <c r="C2316" s="1"/>
      <c r="D2316" s="4"/>
      <c r="E2316" s="4"/>
      <c r="F2316" s="1"/>
      <c r="G2316" s="1"/>
      <c r="H2316" s="1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1"/>
      <c r="B2317" s="1"/>
      <c r="C2317" s="1"/>
      <c r="D2317" s="4"/>
      <c r="E2317" s="4"/>
      <c r="F2317" s="1"/>
      <c r="G2317" s="1"/>
      <c r="H2317" s="1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1"/>
      <c r="B2318" s="1"/>
      <c r="C2318" s="1"/>
      <c r="D2318" s="4"/>
      <c r="E2318" s="4"/>
      <c r="F2318" s="1"/>
      <c r="G2318" s="1"/>
      <c r="H2318" s="1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1"/>
      <c r="B2319" s="1"/>
      <c r="C2319" s="1"/>
      <c r="D2319" s="4"/>
      <c r="E2319" s="4"/>
      <c r="F2319" s="1"/>
      <c r="G2319" s="1"/>
      <c r="H2319" s="1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1"/>
      <c r="B2320" s="1"/>
      <c r="C2320" s="1"/>
      <c r="D2320" s="4"/>
      <c r="E2320" s="4"/>
      <c r="F2320" s="1"/>
      <c r="G2320" s="1"/>
      <c r="H2320" s="1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1"/>
      <c r="B2321" s="1"/>
      <c r="C2321" s="1"/>
      <c r="D2321" s="4"/>
      <c r="E2321" s="4"/>
      <c r="F2321" s="1"/>
      <c r="G2321" s="1"/>
      <c r="H2321" s="1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1"/>
      <c r="B2322" s="1"/>
      <c r="C2322" s="1"/>
      <c r="D2322" s="4"/>
      <c r="E2322" s="4"/>
      <c r="F2322" s="1"/>
      <c r="G2322" s="1"/>
      <c r="H2322" s="1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1"/>
      <c r="B2323" s="1"/>
      <c r="C2323" s="1"/>
      <c r="D2323" s="4"/>
      <c r="E2323" s="4"/>
      <c r="F2323" s="1"/>
      <c r="G2323" s="1"/>
      <c r="H2323" s="1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1"/>
      <c r="B2324" s="1"/>
      <c r="C2324" s="1"/>
      <c r="D2324" s="4"/>
      <c r="E2324" s="4"/>
      <c r="F2324" s="1"/>
      <c r="G2324" s="1"/>
      <c r="H2324" s="1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1"/>
      <c r="B2325" s="1"/>
      <c r="C2325" s="1"/>
      <c r="D2325" s="4"/>
      <c r="E2325" s="4"/>
      <c r="F2325" s="1"/>
      <c r="G2325" s="1"/>
      <c r="H2325" s="1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1"/>
      <c r="B2326" s="1"/>
      <c r="C2326" s="1"/>
      <c r="D2326" s="4"/>
      <c r="E2326" s="4"/>
      <c r="F2326" s="1"/>
      <c r="G2326" s="1"/>
      <c r="H2326" s="1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1"/>
      <c r="B2327" s="1"/>
      <c r="C2327" s="1"/>
      <c r="D2327" s="4"/>
      <c r="E2327" s="4"/>
      <c r="F2327" s="1"/>
      <c r="G2327" s="1"/>
      <c r="H2327" s="1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1"/>
      <c r="B2328" s="1"/>
      <c r="C2328" s="1"/>
      <c r="D2328" s="4"/>
      <c r="E2328" s="4"/>
      <c r="F2328" s="1"/>
      <c r="G2328" s="1"/>
      <c r="H2328" s="1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1"/>
      <c r="B2329" s="1"/>
      <c r="C2329" s="1"/>
      <c r="D2329" s="4"/>
      <c r="E2329" s="4"/>
      <c r="F2329" s="1"/>
      <c r="G2329" s="1"/>
      <c r="H2329" s="1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1"/>
      <c r="B2330" s="1"/>
      <c r="C2330" s="1"/>
      <c r="D2330" s="4"/>
      <c r="E2330" s="4"/>
      <c r="F2330" s="1"/>
      <c r="G2330" s="1"/>
      <c r="H2330" s="1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1"/>
      <c r="B2331" s="1"/>
      <c r="C2331" s="1"/>
      <c r="D2331" s="4"/>
      <c r="E2331" s="4"/>
      <c r="F2331" s="1"/>
      <c r="G2331" s="1"/>
      <c r="H2331" s="1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1"/>
      <c r="B2332" s="1"/>
      <c r="C2332" s="1"/>
      <c r="D2332" s="4"/>
      <c r="E2332" s="4"/>
      <c r="F2332" s="1"/>
      <c r="G2332" s="1"/>
      <c r="H2332" s="1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1"/>
      <c r="B2333" s="1"/>
      <c r="C2333" s="1"/>
      <c r="D2333" s="4"/>
      <c r="E2333" s="4"/>
      <c r="F2333" s="1"/>
      <c r="G2333" s="1"/>
      <c r="H2333" s="1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1"/>
      <c r="B2334" s="1"/>
      <c r="C2334" s="1"/>
      <c r="D2334" s="4"/>
      <c r="E2334" s="4"/>
      <c r="F2334" s="1"/>
      <c r="G2334" s="1"/>
      <c r="H2334" s="1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1"/>
      <c r="B2335" s="1"/>
      <c r="C2335" s="1"/>
      <c r="D2335" s="4"/>
      <c r="E2335" s="4"/>
      <c r="F2335" s="1"/>
      <c r="G2335" s="1"/>
      <c r="H2335" s="1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1"/>
      <c r="B2336" s="1"/>
      <c r="C2336" s="1"/>
      <c r="D2336" s="4"/>
      <c r="E2336" s="4"/>
      <c r="F2336" s="1"/>
      <c r="G2336" s="1"/>
      <c r="H2336" s="1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1"/>
      <c r="B2337" s="1"/>
      <c r="C2337" s="1"/>
      <c r="D2337" s="4"/>
      <c r="E2337" s="4"/>
      <c r="F2337" s="1"/>
      <c r="G2337" s="1"/>
      <c r="H2337" s="1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1"/>
      <c r="B2338" s="1"/>
      <c r="C2338" s="1"/>
      <c r="D2338" s="4"/>
      <c r="E2338" s="4"/>
      <c r="F2338" s="1"/>
      <c r="G2338" s="1"/>
      <c r="H2338" s="1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1"/>
      <c r="B2339" s="1"/>
      <c r="C2339" s="1"/>
      <c r="D2339" s="4"/>
      <c r="E2339" s="4"/>
      <c r="F2339" s="1"/>
      <c r="G2339" s="1"/>
      <c r="H2339" s="1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1"/>
      <c r="B2340" s="1"/>
      <c r="C2340" s="1"/>
      <c r="D2340" s="4"/>
      <c r="E2340" s="4"/>
      <c r="F2340" s="1"/>
      <c r="G2340" s="1"/>
      <c r="H2340" s="1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1"/>
      <c r="B2341" s="1"/>
      <c r="C2341" s="1"/>
      <c r="D2341" s="4"/>
      <c r="E2341" s="4"/>
      <c r="F2341" s="1"/>
      <c r="G2341" s="1"/>
      <c r="H2341" s="1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1"/>
      <c r="B2342" s="1"/>
      <c r="C2342" s="1"/>
      <c r="D2342" s="4"/>
      <c r="E2342" s="4"/>
      <c r="F2342" s="1"/>
      <c r="G2342" s="1"/>
      <c r="H2342" s="1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1"/>
      <c r="B2343" s="1"/>
      <c r="C2343" s="1"/>
      <c r="D2343" s="4"/>
      <c r="E2343" s="4"/>
      <c r="F2343" s="1"/>
      <c r="G2343" s="1"/>
      <c r="H2343" s="1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1"/>
      <c r="B2344" s="1"/>
      <c r="C2344" s="1"/>
      <c r="D2344" s="4"/>
      <c r="E2344" s="4"/>
      <c r="F2344" s="1"/>
      <c r="G2344" s="1"/>
      <c r="H2344" s="1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1"/>
      <c r="B2345" s="1"/>
      <c r="C2345" s="1"/>
      <c r="D2345" s="4"/>
      <c r="E2345" s="4"/>
      <c r="F2345" s="1"/>
      <c r="G2345" s="1"/>
      <c r="H2345" s="1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1"/>
      <c r="B2346" s="1"/>
      <c r="C2346" s="1"/>
      <c r="D2346" s="4"/>
      <c r="E2346" s="4"/>
      <c r="F2346" s="1"/>
      <c r="G2346" s="1"/>
      <c r="H2346" s="1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1"/>
      <c r="B2347" s="1"/>
      <c r="C2347" s="1"/>
      <c r="D2347" s="4"/>
      <c r="E2347" s="4"/>
      <c r="F2347" s="1"/>
      <c r="G2347" s="1"/>
      <c r="H2347" s="1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1"/>
      <c r="B2348" s="1"/>
      <c r="C2348" s="1"/>
      <c r="D2348" s="4"/>
      <c r="E2348" s="4"/>
      <c r="F2348" s="1"/>
      <c r="G2348" s="1"/>
      <c r="H2348" s="1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1"/>
      <c r="B2349" s="1"/>
      <c r="C2349" s="1"/>
      <c r="D2349" s="4"/>
      <c r="E2349" s="4"/>
      <c r="F2349" s="1"/>
      <c r="G2349" s="1"/>
      <c r="H2349" s="1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1"/>
      <c r="B2350" s="1"/>
      <c r="C2350" s="1"/>
      <c r="D2350" s="4"/>
      <c r="E2350" s="4"/>
      <c r="F2350" s="1"/>
      <c r="G2350" s="1"/>
      <c r="H2350" s="1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1"/>
      <c r="B2351" s="1"/>
      <c r="C2351" s="1"/>
      <c r="D2351" s="4"/>
      <c r="E2351" s="4"/>
      <c r="F2351" s="1"/>
      <c r="G2351" s="1"/>
      <c r="H2351" s="1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1"/>
      <c r="B2352" s="1"/>
      <c r="C2352" s="1"/>
      <c r="D2352" s="4"/>
      <c r="E2352" s="4"/>
      <c r="F2352" s="1"/>
      <c r="G2352" s="1"/>
      <c r="H2352" s="1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1"/>
      <c r="B2353" s="1"/>
      <c r="C2353" s="1"/>
      <c r="D2353" s="4"/>
      <c r="E2353" s="4"/>
      <c r="F2353" s="1"/>
      <c r="G2353" s="1"/>
      <c r="H2353" s="1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1"/>
      <c r="B2354" s="1"/>
      <c r="C2354" s="1"/>
      <c r="D2354" s="4"/>
      <c r="E2354" s="4"/>
      <c r="F2354" s="1"/>
      <c r="G2354" s="1"/>
      <c r="H2354" s="1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1"/>
      <c r="B2355" s="1"/>
      <c r="C2355" s="1"/>
      <c r="D2355" s="4"/>
      <c r="E2355" s="4"/>
      <c r="F2355" s="1"/>
      <c r="G2355" s="1"/>
      <c r="H2355" s="1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1"/>
      <c r="B2356" s="1"/>
      <c r="C2356" s="1"/>
      <c r="D2356" s="4"/>
      <c r="E2356" s="4"/>
      <c r="F2356" s="1"/>
      <c r="G2356" s="1"/>
      <c r="H2356" s="1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1"/>
      <c r="B2357" s="1"/>
      <c r="C2357" s="1"/>
      <c r="D2357" s="4"/>
      <c r="E2357" s="4"/>
      <c r="F2357" s="1"/>
      <c r="G2357" s="1"/>
      <c r="H2357" s="1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1"/>
      <c r="B2358" s="1"/>
      <c r="C2358" s="1"/>
      <c r="D2358" s="4"/>
      <c r="E2358" s="4"/>
      <c r="F2358" s="1"/>
      <c r="G2358" s="1"/>
      <c r="H2358" s="1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1"/>
      <c r="B2359" s="1"/>
      <c r="C2359" s="1"/>
      <c r="D2359" s="4"/>
      <c r="E2359" s="4"/>
      <c r="F2359" s="1"/>
      <c r="G2359" s="1"/>
      <c r="H2359" s="1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1"/>
      <c r="B2360" s="1"/>
      <c r="C2360" s="1"/>
      <c r="D2360" s="4"/>
      <c r="E2360" s="4"/>
      <c r="F2360" s="1"/>
      <c r="G2360" s="1"/>
      <c r="H2360" s="1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1"/>
      <c r="B2361" s="1"/>
      <c r="C2361" s="1"/>
      <c r="D2361" s="4"/>
      <c r="E2361" s="4"/>
      <c r="F2361" s="1"/>
      <c r="G2361" s="1"/>
      <c r="H2361" s="1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1"/>
      <c r="B2362" s="1"/>
      <c r="C2362" s="1"/>
      <c r="D2362" s="4"/>
      <c r="E2362" s="4"/>
      <c r="F2362" s="1"/>
      <c r="G2362" s="1"/>
      <c r="H2362" s="1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1"/>
      <c r="B2363" s="1"/>
      <c r="C2363" s="1"/>
      <c r="D2363" s="4"/>
      <c r="E2363" s="4"/>
      <c r="F2363" s="1"/>
      <c r="G2363" s="1"/>
      <c r="H2363" s="1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1"/>
      <c r="B2364" s="1"/>
      <c r="C2364" s="1"/>
      <c r="D2364" s="4"/>
      <c r="E2364" s="4"/>
      <c r="F2364" s="1"/>
      <c r="G2364" s="1"/>
      <c r="H2364" s="1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1"/>
      <c r="B2365" s="1"/>
      <c r="C2365" s="1"/>
      <c r="D2365" s="4"/>
      <c r="E2365" s="4"/>
      <c r="F2365" s="1"/>
      <c r="G2365" s="1"/>
      <c r="H2365" s="1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1"/>
      <c r="B2366" s="1"/>
      <c r="C2366" s="1"/>
      <c r="D2366" s="4"/>
      <c r="E2366" s="4"/>
      <c r="F2366" s="1"/>
      <c r="G2366" s="1"/>
      <c r="H2366" s="1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1"/>
      <c r="B2367" s="1"/>
      <c r="C2367" s="1"/>
      <c r="D2367" s="4"/>
      <c r="E2367" s="4"/>
      <c r="F2367" s="1"/>
      <c r="G2367" s="1"/>
      <c r="H2367" s="1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1"/>
      <c r="B2368" s="1"/>
      <c r="C2368" s="1"/>
      <c r="D2368" s="4"/>
      <c r="E2368" s="4"/>
      <c r="F2368" s="1"/>
      <c r="G2368" s="1"/>
      <c r="H2368" s="1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1"/>
      <c r="B2369" s="1"/>
      <c r="C2369" s="1"/>
      <c r="D2369" s="4"/>
      <c r="E2369" s="4"/>
      <c r="F2369" s="1"/>
      <c r="G2369" s="1"/>
      <c r="H2369" s="1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1"/>
      <c r="B2370" s="1"/>
      <c r="C2370" s="1"/>
      <c r="D2370" s="4"/>
      <c r="E2370" s="4"/>
      <c r="F2370" s="1"/>
      <c r="G2370" s="1"/>
      <c r="H2370" s="1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1"/>
      <c r="B2371" s="1"/>
      <c r="C2371" s="1"/>
      <c r="D2371" s="4"/>
      <c r="E2371" s="4"/>
      <c r="F2371" s="1"/>
      <c r="G2371" s="1"/>
      <c r="H2371" s="1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1"/>
      <c r="B2372" s="1"/>
      <c r="C2372" s="1"/>
      <c r="D2372" s="4"/>
      <c r="E2372" s="4"/>
      <c r="F2372" s="1"/>
      <c r="G2372" s="1"/>
      <c r="H2372" s="1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1"/>
      <c r="B2373" s="1"/>
      <c r="C2373" s="1"/>
      <c r="D2373" s="4"/>
      <c r="E2373" s="4"/>
      <c r="F2373" s="1"/>
      <c r="G2373" s="1"/>
      <c r="H2373" s="1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1"/>
      <c r="B2374" s="1"/>
      <c r="C2374" s="1"/>
      <c r="D2374" s="4"/>
      <c r="E2374" s="4"/>
      <c r="F2374" s="1"/>
      <c r="G2374" s="1"/>
      <c r="H2374" s="1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1"/>
      <c r="B2375" s="1"/>
      <c r="C2375" s="1"/>
      <c r="D2375" s="4"/>
      <c r="E2375" s="4"/>
      <c r="F2375" s="1"/>
      <c r="G2375" s="1"/>
      <c r="H2375" s="1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1"/>
      <c r="B2376" s="1"/>
      <c r="C2376" s="1"/>
      <c r="D2376" s="4"/>
      <c r="E2376" s="4"/>
      <c r="F2376" s="1"/>
      <c r="G2376" s="1"/>
      <c r="H2376" s="1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1"/>
      <c r="B2377" s="1"/>
      <c r="C2377" s="1"/>
      <c r="D2377" s="4"/>
      <c r="E2377" s="4"/>
      <c r="F2377" s="1"/>
      <c r="G2377" s="1"/>
      <c r="H2377" s="1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1"/>
      <c r="B2378" s="1"/>
      <c r="C2378" s="1"/>
      <c r="D2378" s="4"/>
      <c r="E2378" s="4"/>
      <c r="F2378" s="1"/>
      <c r="G2378" s="1"/>
      <c r="H2378" s="1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1"/>
      <c r="B2379" s="1"/>
      <c r="C2379" s="1"/>
      <c r="D2379" s="4"/>
      <c r="E2379" s="4"/>
      <c r="F2379" s="1"/>
      <c r="G2379" s="1"/>
      <c r="H2379" s="1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1"/>
      <c r="B2380" s="1"/>
      <c r="C2380" s="1"/>
      <c r="D2380" s="4"/>
      <c r="E2380" s="4"/>
      <c r="F2380" s="1"/>
      <c r="G2380" s="1"/>
      <c r="H2380" s="1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1"/>
      <c r="B2381" s="1"/>
      <c r="C2381" s="1"/>
      <c r="D2381" s="4"/>
      <c r="E2381" s="4"/>
      <c r="F2381" s="1"/>
      <c r="G2381" s="1"/>
      <c r="H2381" s="1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1"/>
      <c r="B2382" s="1"/>
      <c r="C2382" s="1"/>
      <c r="D2382" s="4"/>
      <c r="E2382" s="4"/>
      <c r="F2382" s="1"/>
      <c r="G2382" s="1"/>
      <c r="H2382" s="1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1"/>
      <c r="B2383" s="1"/>
      <c r="C2383" s="1"/>
      <c r="D2383" s="4"/>
      <c r="E2383" s="4"/>
      <c r="F2383" s="1"/>
      <c r="G2383" s="1"/>
      <c r="H2383" s="1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1"/>
      <c r="B2384" s="1"/>
      <c r="C2384" s="1"/>
      <c r="D2384" s="4"/>
      <c r="E2384" s="4"/>
      <c r="F2384" s="1"/>
      <c r="G2384" s="1"/>
      <c r="H2384" s="1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1"/>
      <c r="B2385" s="1"/>
      <c r="C2385" s="1"/>
      <c r="D2385" s="4"/>
      <c r="E2385" s="4"/>
      <c r="F2385" s="1"/>
      <c r="G2385" s="1"/>
      <c r="H2385" s="1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1"/>
      <c r="B2386" s="1"/>
      <c r="C2386" s="1"/>
      <c r="D2386" s="4"/>
      <c r="E2386" s="4"/>
      <c r="F2386" s="1"/>
      <c r="G2386" s="1"/>
      <c r="H2386" s="1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1"/>
      <c r="B2387" s="1"/>
      <c r="C2387" s="1"/>
      <c r="D2387" s="4"/>
      <c r="E2387" s="4"/>
      <c r="F2387" s="1"/>
      <c r="G2387" s="1"/>
      <c r="H2387" s="1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1"/>
      <c r="B2388" s="1"/>
      <c r="C2388" s="1"/>
      <c r="D2388" s="4"/>
      <c r="E2388" s="4"/>
      <c r="F2388" s="1"/>
      <c r="G2388" s="1"/>
      <c r="H2388" s="1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1"/>
      <c r="B2389" s="1"/>
      <c r="C2389" s="1"/>
      <c r="D2389" s="4"/>
      <c r="E2389" s="4"/>
      <c r="F2389" s="1"/>
      <c r="G2389" s="1"/>
      <c r="H2389" s="1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1"/>
      <c r="B2390" s="1"/>
      <c r="C2390" s="1"/>
      <c r="D2390" s="4"/>
      <c r="E2390" s="4"/>
      <c r="F2390" s="1"/>
      <c r="G2390" s="1"/>
      <c r="H2390" s="1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1"/>
      <c r="B2391" s="1"/>
      <c r="C2391" s="1"/>
      <c r="D2391" s="4"/>
      <c r="E2391" s="4"/>
      <c r="F2391" s="1"/>
      <c r="G2391" s="1"/>
      <c r="H2391" s="1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1"/>
      <c r="B2392" s="1"/>
      <c r="C2392" s="1"/>
      <c r="D2392" s="4"/>
      <c r="E2392" s="4"/>
      <c r="F2392" s="1"/>
      <c r="G2392" s="1"/>
      <c r="H2392" s="1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1"/>
      <c r="B2393" s="1"/>
      <c r="C2393" s="1"/>
      <c r="D2393" s="4"/>
      <c r="E2393" s="4"/>
      <c r="F2393" s="1"/>
      <c r="G2393" s="1"/>
      <c r="H2393" s="1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1"/>
      <c r="B2394" s="1"/>
      <c r="C2394" s="1"/>
      <c r="D2394" s="4"/>
      <c r="E2394" s="4"/>
      <c r="F2394" s="1"/>
      <c r="G2394" s="1"/>
      <c r="H2394" s="1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1"/>
      <c r="B2395" s="1"/>
      <c r="C2395" s="1"/>
      <c r="D2395" s="4"/>
      <c r="E2395" s="4"/>
      <c r="F2395" s="1"/>
      <c r="G2395" s="1"/>
      <c r="H2395" s="1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1"/>
      <c r="B2396" s="1"/>
      <c r="C2396" s="1"/>
      <c r="D2396" s="4"/>
      <c r="E2396" s="4"/>
      <c r="F2396" s="1"/>
      <c r="G2396" s="1"/>
      <c r="H2396" s="1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1"/>
      <c r="B2397" s="1"/>
      <c r="C2397" s="1"/>
      <c r="D2397" s="4"/>
      <c r="E2397" s="4"/>
      <c r="F2397" s="1"/>
      <c r="G2397" s="1"/>
      <c r="H2397" s="1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1"/>
      <c r="B2398" s="1"/>
      <c r="C2398" s="1"/>
      <c r="D2398" s="4"/>
      <c r="E2398" s="4"/>
      <c r="F2398" s="1"/>
      <c r="G2398" s="1"/>
      <c r="H2398" s="1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1"/>
      <c r="B2399" s="1"/>
      <c r="C2399" s="1"/>
      <c r="D2399" s="4"/>
      <c r="E2399" s="4"/>
      <c r="F2399" s="1"/>
      <c r="G2399" s="1"/>
      <c r="H2399" s="1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1"/>
      <c r="B2400" s="1"/>
      <c r="C2400" s="1"/>
      <c r="D2400" s="4"/>
      <c r="E2400" s="4"/>
      <c r="F2400" s="1"/>
      <c r="G2400" s="1"/>
      <c r="H2400" s="1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1"/>
      <c r="B2401" s="1"/>
      <c r="C2401" s="1"/>
      <c r="D2401" s="4"/>
      <c r="E2401" s="4"/>
      <c r="F2401" s="1"/>
      <c r="G2401" s="1"/>
      <c r="H2401" s="1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1"/>
      <c r="B2402" s="1"/>
      <c r="C2402" s="1"/>
      <c r="D2402" s="4"/>
      <c r="E2402" s="4"/>
      <c r="F2402" s="1"/>
      <c r="G2402" s="1"/>
      <c r="H2402" s="1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1"/>
      <c r="B2403" s="1"/>
      <c r="C2403" s="1"/>
      <c r="D2403" s="4"/>
      <c r="E2403" s="4"/>
      <c r="F2403" s="1"/>
      <c r="G2403" s="1"/>
      <c r="H2403" s="1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1"/>
      <c r="B2404" s="1"/>
      <c r="C2404" s="1"/>
      <c r="D2404" s="4"/>
      <c r="E2404" s="4"/>
      <c r="F2404" s="1"/>
      <c r="G2404" s="1"/>
      <c r="H2404" s="1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1"/>
      <c r="B2405" s="1"/>
      <c r="C2405" s="1"/>
      <c r="D2405" s="4"/>
      <c r="E2405" s="4"/>
      <c r="F2405" s="1"/>
      <c r="G2405" s="1"/>
      <c r="H2405" s="1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1"/>
      <c r="B2406" s="1"/>
      <c r="C2406" s="1"/>
      <c r="D2406" s="4"/>
      <c r="E2406" s="4"/>
      <c r="F2406" s="1"/>
      <c r="G2406" s="1"/>
      <c r="H2406" s="1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1"/>
      <c r="B2407" s="1"/>
      <c r="C2407" s="1"/>
      <c r="D2407" s="4"/>
      <c r="E2407" s="4"/>
      <c r="F2407" s="1"/>
      <c r="G2407" s="1"/>
      <c r="H2407" s="1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1"/>
      <c r="B2408" s="1"/>
      <c r="C2408" s="1"/>
      <c r="D2408" s="4"/>
      <c r="E2408" s="4"/>
      <c r="F2408" s="1"/>
      <c r="G2408" s="1"/>
      <c r="H2408" s="1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1"/>
      <c r="B2409" s="1"/>
      <c r="C2409" s="1"/>
      <c r="D2409" s="4"/>
      <c r="E2409" s="4"/>
      <c r="F2409" s="1"/>
      <c r="G2409" s="1"/>
      <c r="H2409" s="1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1"/>
      <c r="B2410" s="1"/>
      <c r="C2410" s="1"/>
      <c r="D2410" s="4"/>
      <c r="E2410" s="4"/>
      <c r="F2410" s="1"/>
      <c r="G2410" s="1"/>
      <c r="H2410" s="1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1"/>
      <c r="B2411" s="1"/>
      <c r="C2411" s="1"/>
      <c r="D2411" s="4"/>
      <c r="E2411" s="4"/>
      <c r="F2411" s="1"/>
      <c r="G2411" s="1"/>
      <c r="H2411" s="1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1"/>
      <c r="B2412" s="1"/>
      <c r="C2412" s="1"/>
      <c r="D2412" s="4"/>
      <c r="E2412" s="4"/>
      <c r="F2412" s="1"/>
      <c r="G2412" s="1"/>
      <c r="H2412" s="1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1"/>
      <c r="B2413" s="1"/>
      <c r="C2413" s="1"/>
      <c r="D2413" s="4"/>
      <c r="E2413" s="4"/>
      <c r="F2413" s="1"/>
      <c r="G2413" s="1"/>
      <c r="H2413" s="1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1"/>
      <c r="B2414" s="1"/>
      <c r="C2414" s="1"/>
      <c r="D2414" s="4"/>
      <c r="E2414" s="4"/>
      <c r="F2414" s="1"/>
      <c r="G2414" s="1"/>
      <c r="H2414" s="1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1"/>
      <c r="B2415" s="1"/>
      <c r="C2415" s="1"/>
      <c r="D2415" s="4"/>
      <c r="E2415" s="4"/>
      <c r="F2415" s="1"/>
      <c r="G2415" s="1"/>
      <c r="H2415" s="1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1"/>
      <c r="B2416" s="1"/>
      <c r="C2416" s="1"/>
      <c r="D2416" s="4"/>
      <c r="E2416" s="4"/>
      <c r="F2416" s="1"/>
      <c r="G2416" s="1"/>
      <c r="H2416" s="1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1"/>
      <c r="B2417" s="1"/>
      <c r="C2417" s="1"/>
      <c r="D2417" s="4"/>
      <c r="E2417" s="4"/>
      <c r="F2417" s="1"/>
      <c r="G2417" s="1"/>
      <c r="H2417" s="1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1"/>
      <c r="B2418" s="1"/>
      <c r="C2418" s="1"/>
      <c r="D2418" s="4"/>
      <c r="E2418" s="4"/>
      <c r="F2418" s="1"/>
      <c r="G2418" s="1"/>
      <c r="H2418" s="1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1"/>
      <c r="B2419" s="1"/>
      <c r="C2419" s="1"/>
      <c r="D2419" s="4"/>
      <c r="E2419" s="4"/>
      <c r="F2419" s="1"/>
      <c r="G2419" s="1"/>
      <c r="H2419" s="1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1"/>
      <c r="B2420" s="1"/>
      <c r="C2420" s="1"/>
      <c r="D2420" s="4"/>
      <c r="E2420" s="4"/>
      <c r="F2420" s="1"/>
      <c r="G2420" s="1"/>
      <c r="H2420" s="1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1"/>
      <c r="B2421" s="1"/>
      <c r="C2421" s="1"/>
      <c r="D2421" s="4"/>
      <c r="E2421" s="4"/>
      <c r="F2421" s="1"/>
      <c r="G2421" s="1"/>
      <c r="H2421" s="1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1"/>
      <c r="B2422" s="1"/>
      <c r="C2422" s="1"/>
      <c r="D2422" s="4"/>
      <c r="E2422" s="4"/>
      <c r="F2422" s="1"/>
      <c r="G2422" s="1"/>
      <c r="H2422" s="1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1"/>
      <c r="B2423" s="1"/>
      <c r="C2423" s="1"/>
      <c r="D2423" s="4"/>
      <c r="E2423" s="4"/>
      <c r="F2423" s="1"/>
      <c r="G2423" s="1"/>
      <c r="H2423" s="1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1"/>
      <c r="B2424" s="1"/>
      <c r="C2424" s="1"/>
      <c r="D2424" s="4"/>
      <c r="E2424" s="4"/>
      <c r="F2424" s="1"/>
      <c r="G2424" s="1"/>
      <c r="H2424" s="1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1"/>
      <c r="B2425" s="1"/>
      <c r="C2425" s="1"/>
      <c r="D2425" s="4"/>
      <c r="E2425" s="4"/>
      <c r="F2425" s="1"/>
      <c r="G2425" s="1"/>
      <c r="H2425" s="1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1"/>
      <c r="B2426" s="1"/>
      <c r="C2426" s="1"/>
      <c r="D2426" s="4"/>
      <c r="E2426" s="4"/>
      <c r="F2426" s="1"/>
      <c r="G2426" s="1"/>
      <c r="H2426" s="1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1"/>
      <c r="B2427" s="1"/>
      <c r="C2427" s="1"/>
      <c r="D2427" s="4"/>
      <c r="E2427" s="4"/>
      <c r="F2427" s="1"/>
      <c r="G2427" s="1"/>
      <c r="H2427" s="1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1"/>
      <c r="B2428" s="1"/>
      <c r="C2428" s="1"/>
      <c r="D2428" s="4"/>
      <c r="E2428" s="4"/>
      <c r="F2428" s="1"/>
      <c r="G2428" s="1"/>
      <c r="H2428" s="1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1"/>
      <c r="B2429" s="1"/>
      <c r="C2429" s="1"/>
      <c r="D2429" s="4"/>
      <c r="E2429" s="4"/>
      <c r="F2429" s="1"/>
      <c r="G2429" s="1"/>
      <c r="H2429" s="1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1"/>
      <c r="B2430" s="1"/>
      <c r="C2430" s="1"/>
      <c r="D2430" s="4"/>
      <c r="E2430" s="4"/>
      <c r="F2430" s="1"/>
      <c r="G2430" s="1"/>
      <c r="H2430" s="1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1"/>
      <c r="B2431" s="1"/>
      <c r="C2431" s="1"/>
      <c r="D2431" s="4"/>
      <c r="E2431" s="4"/>
      <c r="F2431" s="1"/>
      <c r="G2431" s="1"/>
      <c r="H2431" s="1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1"/>
      <c r="B2432" s="1"/>
      <c r="C2432" s="1"/>
      <c r="D2432" s="4"/>
      <c r="E2432" s="4"/>
      <c r="F2432" s="1"/>
      <c r="G2432" s="1"/>
      <c r="H2432" s="1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1"/>
      <c r="B2433" s="1"/>
      <c r="C2433" s="1"/>
      <c r="D2433" s="4"/>
      <c r="E2433" s="4"/>
      <c r="F2433" s="1"/>
      <c r="G2433" s="1"/>
      <c r="H2433" s="1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1"/>
      <c r="B2434" s="1"/>
      <c r="C2434" s="1"/>
      <c r="D2434" s="4"/>
      <c r="E2434" s="4"/>
      <c r="F2434" s="1"/>
      <c r="G2434" s="1"/>
      <c r="H2434" s="1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1"/>
      <c r="B2435" s="1"/>
      <c r="C2435" s="1"/>
      <c r="D2435" s="4"/>
      <c r="E2435" s="4"/>
      <c r="F2435" s="1"/>
      <c r="G2435" s="1"/>
      <c r="H2435" s="1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1"/>
      <c r="B2436" s="1"/>
      <c r="C2436" s="1"/>
      <c r="D2436" s="4"/>
      <c r="E2436" s="4"/>
      <c r="F2436" s="1"/>
      <c r="G2436" s="1"/>
      <c r="H2436" s="1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1"/>
      <c r="B2437" s="1"/>
      <c r="C2437" s="1"/>
      <c r="D2437" s="4"/>
      <c r="E2437" s="4"/>
      <c r="F2437" s="1"/>
      <c r="G2437" s="1"/>
      <c r="H2437" s="1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1"/>
      <c r="B2438" s="1"/>
      <c r="C2438" s="1"/>
      <c r="D2438" s="4"/>
      <c r="E2438" s="4"/>
      <c r="F2438" s="1"/>
      <c r="G2438" s="1"/>
      <c r="H2438" s="1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1"/>
      <c r="B2439" s="1"/>
      <c r="C2439" s="1"/>
      <c r="D2439" s="4"/>
      <c r="E2439" s="4"/>
      <c r="F2439" s="1"/>
      <c r="G2439" s="1"/>
      <c r="H2439" s="1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1"/>
      <c r="B2440" s="1"/>
      <c r="C2440" s="1"/>
      <c r="D2440" s="4"/>
      <c r="E2440" s="4"/>
      <c r="F2440" s="1"/>
      <c r="G2440" s="1"/>
      <c r="H2440" s="1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1"/>
      <c r="B2441" s="1"/>
      <c r="C2441" s="1"/>
      <c r="D2441" s="4"/>
      <c r="E2441" s="4"/>
      <c r="F2441" s="1"/>
      <c r="G2441" s="1"/>
      <c r="H2441" s="1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1"/>
      <c r="B2442" s="1"/>
      <c r="C2442" s="1"/>
      <c r="D2442" s="4"/>
      <c r="E2442" s="4"/>
      <c r="F2442" s="1"/>
      <c r="G2442" s="1"/>
      <c r="H2442" s="1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1"/>
      <c r="B2443" s="1"/>
      <c r="C2443" s="1"/>
      <c r="D2443" s="4"/>
      <c r="E2443" s="4"/>
      <c r="F2443" s="1"/>
      <c r="G2443" s="1"/>
      <c r="H2443" s="1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1"/>
      <c r="B2444" s="1"/>
      <c r="C2444" s="1"/>
      <c r="D2444" s="4"/>
      <c r="E2444" s="4"/>
      <c r="F2444" s="1"/>
      <c r="G2444" s="1"/>
      <c r="H2444" s="1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1"/>
      <c r="B2445" s="1"/>
      <c r="C2445" s="1"/>
      <c r="D2445" s="4"/>
      <c r="E2445" s="4"/>
      <c r="F2445" s="1"/>
      <c r="G2445" s="1"/>
      <c r="H2445" s="1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1"/>
      <c r="B2446" s="1"/>
      <c r="C2446" s="1"/>
      <c r="D2446" s="4"/>
      <c r="E2446" s="4"/>
      <c r="F2446" s="1"/>
      <c r="G2446" s="1"/>
      <c r="H2446" s="1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1"/>
      <c r="B2447" s="1"/>
      <c r="C2447" s="1"/>
      <c r="D2447" s="4"/>
      <c r="E2447" s="4"/>
      <c r="F2447" s="1"/>
      <c r="G2447" s="1"/>
      <c r="H2447" s="1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1"/>
      <c r="B2448" s="1"/>
      <c r="C2448" s="1"/>
      <c r="D2448" s="4"/>
      <c r="E2448" s="4"/>
      <c r="F2448" s="1"/>
      <c r="G2448" s="1"/>
      <c r="H2448" s="1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1"/>
      <c r="B2449" s="1"/>
      <c r="C2449" s="1"/>
      <c r="D2449" s="4"/>
      <c r="E2449" s="4"/>
      <c r="F2449" s="1"/>
      <c r="G2449" s="1"/>
      <c r="H2449" s="1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1"/>
      <c r="B2450" s="1"/>
      <c r="C2450" s="1"/>
      <c r="D2450" s="4"/>
      <c r="E2450" s="4"/>
      <c r="F2450" s="1"/>
      <c r="G2450" s="1"/>
      <c r="H2450" s="1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1"/>
      <c r="B2451" s="1"/>
      <c r="C2451" s="1"/>
      <c r="D2451" s="4"/>
      <c r="E2451" s="4"/>
      <c r="F2451" s="1"/>
      <c r="G2451" s="1"/>
      <c r="H2451" s="1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1"/>
      <c r="B2452" s="1"/>
      <c r="C2452" s="1"/>
      <c r="D2452" s="4"/>
      <c r="E2452" s="4"/>
      <c r="F2452" s="1"/>
      <c r="G2452" s="1"/>
      <c r="H2452" s="1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1"/>
      <c r="B2453" s="1"/>
      <c r="C2453" s="1"/>
      <c r="D2453" s="4"/>
      <c r="E2453" s="4"/>
      <c r="F2453" s="1"/>
      <c r="G2453" s="1"/>
      <c r="H2453" s="1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1"/>
      <c r="B2454" s="1"/>
      <c r="C2454" s="1"/>
      <c r="D2454" s="4"/>
      <c r="E2454" s="4"/>
      <c r="F2454" s="1"/>
      <c r="G2454" s="1"/>
      <c r="H2454" s="1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1"/>
      <c r="B2455" s="1"/>
      <c r="C2455" s="1"/>
      <c r="D2455" s="4"/>
      <c r="E2455" s="4"/>
      <c r="F2455" s="1"/>
      <c r="G2455" s="1"/>
      <c r="H2455" s="1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1"/>
      <c r="B2456" s="1"/>
      <c r="C2456" s="1"/>
      <c r="D2456" s="4"/>
      <c r="E2456" s="4"/>
      <c r="F2456" s="1"/>
      <c r="G2456" s="1"/>
      <c r="H2456" s="1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1"/>
      <c r="B2457" s="1"/>
      <c r="C2457" s="1"/>
      <c r="D2457" s="4"/>
      <c r="E2457" s="4"/>
      <c r="F2457" s="1"/>
      <c r="G2457" s="1"/>
      <c r="H2457" s="1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1"/>
      <c r="B2458" s="1"/>
      <c r="C2458" s="1"/>
      <c r="D2458" s="4"/>
      <c r="E2458" s="4"/>
      <c r="F2458" s="1"/>
      <c r="G2458" s="1"/>
      <c r="H2458" s="1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1"/>
      <c r="B2459" s="1"/>
      <c r="C2459" s="1"/>
      <c r="D2459" s="4"/>
      <c r="E2459" s="4"/>
      <c r="F2459" s="1"/>
      <c r="G2459" s="1"/>
      <c r="H2459" s="1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1"/>
      <c r="B2460" s="1"/>
      <c r="C2460" s="1"/>
      <c r="D2460" s="4"/>
      <c r="E2460" s="4"/>
      <c r="F2460" s="1"/>
      <c r="G2460" s="1"/>
      <c r="H2460" s="1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1"/>
      <c r="B2461" s="1"/>
      <c r="C2461" s="1"/>
      <c r="D2461" s="4"/>
      <c r="E2461" s="4"/>
      <c r="F2461" s="1"/>
      <c r="G2461" s="1"/>
      <c r="H2461" s="1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1"/>
      <c r="B2462" s="1"/>
      <c r="C2462" s="1"/>
      <c r="D2462" s="4"/>
      <c r="E2462" s="4"/>
      <c r="F2462" s="1"/>
      <c r="G2462" s="1"/>
      <c r="H2462" s="1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1"/>
      <c r="B2463" s="1"/>
      <c r="C2463" s="1"/>
      <c r="D2463" s="4"/>
      <c r="E2463" s="4"/>
      <c r="F2463" s="1"/>
      <c r="G2463" s="1"/>
      <c r="H2463" s="1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1"/>
      <c r="B2464" s="1"/>
      <c r="C2464" s="1"/>
      <c r="D2464" s="4"/>
      <c r="E2464" s="4"/>
      <c r="F2464" s="1"/>
      <c r="G2464" s="1"/>
      <c r="H2464" s="1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1"/>
      <c r="B2465" s="1"/>
      <c r="C2465" s="1"/>
      <c r="D2465" s="4"/>
      <c r="E2465" s="4"/>
      <c r="F2465" s="1"/>
      <c r="G2465" s="1"/>
      <c r="H2465" s="1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1"/>
      <c r="B2466" s="1"/>
      <c r="C2466" s="1"/>
      <c r="D2466" s="4"/>
      <c r="E2466" s="4"/>
      <c r="F2466" s="1"/>
      <c r="G2466" s="1"/>
      <c r="H2466" s="1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1"/>
      <c r="B2467" s="1"/>
      <c r="C2467" s="1"/>
      <c r="D2467" s="4"/>
      <c r="E2467" s="4"/>
      <c r="F2467" s="1"/>
      <c r="G2467" s="1"/>
      <c r="H2467" s="1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1"/>
      <c r="B2468" s="1"/>
      <c r="C2468" s="1"/>
      <c r="D2468" s="4"/>
      <c r="E2468" s="4"/>
      <c r="F2468" s="1"/>
      <c r="G2468" s="1"/>
      <c r="H2468" s="1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1"/>
      <c r="B2469" s="1"/>
      <c r="C2469" s="1"/>
      <c r="D2469" s="4"/>
      <c r="E2469" s="4"/>
      <c r="F2469" s="1"/>
      <c r="G2469" s="1"/>
      <c r="H2469" s="1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1"/>
      <c r="B2470" s="1"/>
      <c r="C2470" s="1"/>
      <c r="D2470" s="4"/>
      <c r="E2470" s="4"/>
      <c r="F2470" s="1"/>
      <c r="G2470" s="1"/>
      <c r="H2470" s="1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1"/>
      <c r="B2471" s="1"/>
      <c r="C2471" s="1"/>
      <c r="D2471" s="4"/>
      <c r="E2471" s="4"/>
      <c r="F2471" s="1"/>
      <c r="G2471" s="1"/>
      <c r="H2471" s="1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1"/>
      <c r="B2472" s="1"/>
      <c r="C2472" s="1"/>
      <c r="D2472" s="4"/>
      <c r="E2472" s="4"/>
      <c r="F2472" s="1"/>
      <c r="G2472" s="1"/>
      <c r="H2472" s="1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1"/>
      <c r="B2473" s="1"/>
      <c r="C2473" s="1"/>
      <c r="D2473" s="4"/>
      <c r="E2473" s="4"/>
      <c r="F2473" s="1"/>
      <c r="G2473" s="1"/>
      <c r="H2473" s="1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1"/>
      <c r="B2474" s="1"/>
      <c r="C2474" s="1"/>
      <c r="D2474" s="4"/>
      <c r="E2474" s="4"/>
      <c r="F2474" s="1"/>
      <c r="G2474" s="1"/>
      <c r="H2474" s="1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1"/>
      <c r="B2475" s="1"/>
      <c r="C2475" s="1"/>
      <c r="D2475" s="4"/>
      <c r="E2475" s="4"/>
      <c r="F2475" s="1"/>
      <c r="G2475" s="1"/>
      <c r="H2475" s="1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1"/>
      <c r="B2476" s="1"/>
      <c r="C2476" s="1"/>
      <c r="D2476" s="4"/>
      <c r="E2476" s="4"/>
      <c r="F2476" s="1"/>
      <c r="G2476" s="1"/>
      <c r="H2476" s="1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1"/>
      <c r="B2477" s="1"/>
      <c r="C2477" s="1"/>
      <c r="D2477" s="4"/>
      <c r="E2477" s="4"/>
      <c r="F2477" s="1"/>
      <c r="G2477" s="1"/>
      <c r="H2477" s="1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1"/>
      <c r="B2478" s="1"/>
      <c r="C2478" s="1"/>
      <c r="D2478" s="4"/>
      <c r="E2478" s="4"/>
      <c r="F2478" s="1"/>
      <c r="G2478" s="1"/>
      <c r="H2478" s="1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1"/>
      <c r="B2479" s="1"/>
      <c r="C2479" s="1"/>
      <c r="D2479" s="4"/>
      <c r="E2479" s="4"/>
      <c r="F2479" s="1"/>
      <c r="G2479" s="1"/>
      <c r="H2479" s="1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1"/>
      <c r="B2480" s="1"/>
      <c r="C2480" s="1"/>
      <c r="D2480" s="4"/>
      <c r="E2480" s="4"/>
      <c r="F2480" s="1"/>
      <c r="G2480" s="1"/>
      <c r="H2480" s="1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1"/>
      <c r="B2481" s="1"/>
      <c r="C2481" s="1"/>
      <c r="D2481" s="4"/>
      <c r="E2481" s="4"/>
      <c r="F2481" s="1"/>
      <c r="G2481" s="1"/>
      <c r="H2481" s="1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1"/>
      <c r="B2482" s="1"/>
      <c r="C2482" s="1"/>
      <c r="D2482" s="4"/>
      <c r="E2482" s="4"/>
      <c r="F2482" s="1"/>
      <c r="G2482" s="1"/>
      <c r="H2482" s="1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1"/>
      <c r="B2483" s="1"/>
      <c r="C2483" s="1"/>
      <c r="D2483" s="4"/>
      <c r="E2483" s="4"/>
      <c r="F2483" s="1"/>
      <c r="G2483" s="1"/>
      <c r="H2483" s="1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1"/>
      <c r="B2484" s="1"/>
      <c r="C2484" s="1"/>
      <c r="D2484" s="4"/>
      <c r="E2484" s="4"/>
      <c r="F2484" s="1"/>
      <c r="G2484" s="1"/>
      <c r="H2484" s="1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1"/>
      <c r="B2485" s="1"/>
      <c r="C2485" s="1"/>
      <c r="D2485" s="4"/>
      <c r="E2485" s="4"/>
      <c r="F2485" s="1"/>
      <c r="G2485" s="1"/>
      <c r="H2485" s="1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1"/>
      <c r="B2486" s="1"/>
      <c r="C2486" s="1"/>
      <c r="D2486" s="4"/>
      <c r="E2486" s="4"/>
      <c r="F2486" s="1"/>
      <c r="G2486" s="1"/>
      <c r="H2486" s="1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1"/>
      <c r="B2487" s="1"/>
      <c r="C2487" s="1"/>
      <c r="D2487" s="4"/>
      <c r="E2487" s="4"/>
      <c r="F2487" s="1"/>
      <c r="G2487" s="1"/>
      <c r="H2487" s="1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1"/>
      <c r="B2488" s="1"/>
      <c r="C2488" s="1"/>
      <c r="D2488" s="4"/>
      <c r="E2488" s="4"/>
      <c r="F2488" s="1"/>
      <c r="G2488" s="1"/>
      <c r="H2488" s="1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1"/>
      <c r="B2489" s="1"/>
      <c r="C2489" s="1"/>
      <c r="D2489" s="4"/>
      <c r="E2489" s="4"/>
      <c r="F2489" s="1"/>
      <c r="G2489" s="1"/>
      <c r="H2489" s="1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1"/>
      <c r="B2490" s="1"/>
      <c r="C2490" s="1"/>
      <c r="D2490" s="4"/>
      <c r="E2490" s="4"/>
      <c r="F2490" s="1"/>
      <c r="G2490" s="1"/>
      <c r="H2490" s="1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1"/>
      <c r="B2491" s="1"/>
      <c r="C2491" s="1"/>
      <c r="D2491" s="4"/>
      <c r="E2491" s="4"/>
      <c r="F2491" s="1"/>
      <c r="G2491" s="1"/>
      <c r="H2491" s="1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1"/>
      <c r="B2492" s="1"/>
      <c r="C2492" s="1"/>
      <c r="D2492" s="4"/>
      <c r="E2492" s="4"/>
      <c r="F2492" s="1"/>
      <c r="G2492" s="1"/>
      <c r="H2492" s="1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1"/>
      <c r="B2493" s="1"/>
      <c r="C2493" s="1"/>
      <c r="D2493" s="4"/>
      <c r="E2493" s="4"/>
      <c r="F2493" s="1"/>
      <c r="G2493" s="1"/>
      <c r="H2493" s="1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1"/>
      <c r="B2494" s="1"/>
      <c r="C2494" s="1"/>
      <c r="D2494" s="4"/>
      <c r="E2494" s="4"/>
      <c r="F2494" s="1"/>
      <c r="G2494" s="1"/>
      <c r="H2494" s="1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1"/>
      <c r="B2495" s="1"/>
      <c r="C2495" s="1"/>
      <c r="D2495" s="4"/>
      <c r="E2495" s="4"/>
      <c r="F2495" s="1"/>
      <c r="G2495" s="1"/>
      <c r="H2495" s="1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1"/>
      <c r="B2496" s="1"/>
      <c r="C2496" s="1"/>
      <c r="D2496" s="4"/>
      <c r="E2496" s="4"/>
      <c r="F2496" s="1"/>
      <c r="G2496" s="1"/>
      <c r="H2496" s="1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1"/>
      <c r="B2497" s="1"/>
      <c r="C2497" s="1"/>
      <c r="D2497" s="4"/>
      <c r="E2497" s="4"/>
      <c r="F2497" s="1"/>
      <c r="G2497" s="1"/>
      <c r="H2497" s="1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1"/>
      <c r="B2498" s="1"/>
      <c r="C2498" s="1"/>
      <c r="D2498" s="4"/>
      <c r="E2498" s="4"/>
      <c r="F2498" s="1"/>
      <c r="G2498" s="1"/>
      <c r="H2498" s="1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1"/>
      <c r="B2499" s="1"/>
      <c r="C2499" s="1"/>
      <c r="D2499" s="4"/>
      <c r="E2499" s="4"/>
      <c r="F2499" s="1"/>
      <c r="G2499" s="1"/>
      <c r="H2499" s="1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1"/>
      <c r="B2500" s="1"/>
      <c r="C2500" s="1"/>
      <c r="D2500" s="4"/>
      <c r="E2500" s="4"/>
      <c r="F2500" s="1"/>
      <c r="G2500" s="1"/>
      <c r="H2500" s="1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1"/>
      <c r="B2501" s="1"/>
      <c r="C2501" s="1"/>
      <c r="D2501" s="4"/>
      <c r="E2501" s="4"/>
      <c r="F2501" s="1"/>
      <c r="G2501" s="1"/>
      <c r="H2501" s="1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1"/>
      <c r="B2502" s="1"/>
      <c r="C2502" s="1"/>
      <c r="D2502" s="4"/>
      <c r="E2502" s="4"/>
      <c r="F2502" s="1"/>
      <c r="G2502" s="1"/>
      <c r="H2502" s="1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1"/>
      <c r="B2503" s="1"/>
      <c r="C2503" s="1"/>
      <c r="D2503" s="4"/>
      <c r="E2503" s="4"/>
      <c r="F2503" s="1"/>
      <c r="G2503" s="1"/>
      <c r="H2503" s="1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1"/>
      <c r="B2504" s="1"/>
      <c r="C2504" s="1"/>
      <c r="D2504" s="4"/>
      <c r="E2504" s="4"/>
      <c r="F2504" s="1"/>
      <c r="G2504" s="1"/>
      <c r="H2504" s="1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1"/>
      <c r="B2505" s="1"/>
      <c r="C2505" s="1"/>
      <c r="D2505" s="4"/>
      <c r="E2505" s="4"/>
      <c r="F2505" s="1"/>
      <c r="G2505" s="1"/>
      <c r="H2505" s="1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1"/>
      <c r="B2506" s="1"/>
      <c r="C2506" s="1"/>
      <c r="D2506" s="4"/>
      <c r="E2506" s="4"/>
      <c r="F2506" s="1"/>
      <c r="G2506" s="1"/>
      <c r="H2506" s="1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1"/>
      <c r="B2507" s="1"/>
      <c r="C2507" s="1"/>
      <c r="D2507" s="4"/>
      <c r="E2507" s="4"/>
      <c r="F2507" s="1"/>
      <c r="G2507" s="1"/>
      <c r="H2507" s="1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1"/>
      <c r="B2508" s="1"/>
      <c r="C2508" s="1"/>
      <c r="D2508" s="4"/>
      <c r="E2508" s="4"/>
      <c r="F2508" s="1"/>
      <c r="G2508" s="1"/>
      <c r="H2508" s="1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1"/>
      <c r="B2509" s="1"/>
      <c r="C2509" s="1"/>
      <c r="D2509" s="4"/>
      <c r="E2509" s="4"/>
      <c r="F2509" s="1"/>
      <c r="G2509" s="1"/>
      <c r="H2509" s="1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1"/>
      <c r="B2510" s="1"/>
      <c r="C2510" s="1"/>
      <c r="D2510" s="4"/>
      <c r="E2510" s="4"/>
      <c r="F2510" s="1"/>
      <c r="G2510" s="1"/>
      <c r="H2510" s="1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1"/>
      <c r="B2511" s="1"/>
      <c r="C2511" s="1"/>
      <c r="D2511" s="4"/>
      <c r="E2511" s="4"/>
      <c r="F2511" s="1"/>
      <c r="G2511" s="1"/>
      <c r="H2511" s="1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1"/>
      <c r="B2512" s="1"/>
      <c r="C2512" s="1"/>
      <c r="D2512" s="4"/>
      <c r="E2512" s="4"/>
      <c r="F2512" s="1"/>
      <c r="G2512" s="1"/>
      <c r="H2512" s="1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1"/>
      <c r="B2513" s="1"/>
      <c r="C2513" s="1"/>
      <c r="D2513" s="4"/>
      <c r="E2513" s="4"/>
      <c r="F2513" s="1"/>
      <c r="G2513" s="1"/>
      <c r="H2513" s="1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1"/>
      <c r="B2514" s="1"/>
      <c r="C2514" s="1"/>
      <c r="D2514" s="4"/>
      <c r="E2514" s="4"/>
      <c r="F2514" s="1"/>
      <c r="G2514" s="1"/>
      <c r="H2514" s="1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1"/>
      <c r="B2515" s="1"/>
      <c r="C2515" s="1"/>
      <c r="D2515" s="4"/>
      <c r="E2515" s="4"/>
      <c r="F2515" s="1"/>
      <c r="G2515" s="1"/>
      <c r="H2515" s="1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1"/>
      <c r="B2516" s="1"/>
      <c r="C2516" s="1"/>
      <c r="D2516" s="4"/>
      <c r="E2516" s="4"/>
      <c r="F2516" s="1"/>
      <c r="G2516" s="1"/>
      <c r="H2516" s="1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1"/>
      <c r="B2517" s="1"/>
      <c r="C2517" s="1"/>
      <c r="D2517" s="4"/>
      <c r="E2517" s="4"/>
      <c r="F2517" s="1"/>
      <c r="G2517" s="1"/>
      <c r="H2517" s="1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1"/>
      <c r="B2518" s="1"/>
      <c r="C2518" s="1"/>
      <c r="D2518" s="4"/>
      <c r="E2518" s="4"/>
      <c r="F2518" s="1"/>
      <c r="G2518" s="1"/>
      <c r="H2518" s="1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1"/>
      <c r="B2519" s="1"/>
      <c r="C2519" s="1"/>
      <c r="D2519" s="4"/>
      <c r="E2519" s="4"/>
      <c r="F2519" s="1"/>
      <c r="G2519" s="1"/>
      <c r="H2519" s="1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1"/>
      <c r="B2520" s="1"/>
      <c r="C2520" s="1"/>
      <c r="D2520" s="4"/>
      <c r="E2520" s="4"/>
      <c r="F2520" s="1"/>
      <c r="G2520" s="1"/>
      <c r="H2520" s="1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1"/>
      <c r="B2521" s="1"/>
      <c r="C2521" s="1"/>
      <c r="D2521" s="4"/>
      <c r="E2521" s="4"/>
      <c r="F2521" s="1"/>
      <c r="G2521" s="1"/>
      <c r="H2521" s="1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1"/>
      <c r="B2522" s="1"/>
      <c r="C2522" s="1"/>
      <c r="D2522" s="4"/>
      <c r="E2522" s="4"/>
      <c r="F2522" s="1"/>
      <c r="G2522" s="1"/>
      <c r="H2522" s="1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1"/>
      <c r="B2523" s="1"/>
      <c r="C2523" s="1"/>
      <c r="D2523" s="4"/>
      <c r="E2523" s="4"/>
      <c r="F2523" s="1"/>
      <c r="G2523" s="1"/>
      <c r="H2523" s="1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1"/>
      <c r="B2524" s="1"/>
      <c r="C2524" s="1"/>
      <c r="D2524" s="4"/>
      <c r="E2524" s="4"/>
      <c r="F2524" s="1"/>
      <c r="G2524" s="1"/>
      <c r="H2524" s="1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1"/>
      <c r="B2525" s="1"/>
      <c r="C2525" s="1"/>
      <c r="D2525" s="4"/>
      <c r="E2525" s="4"/>
      <c r="F2525" s="1"/>
      <c r="G2525" s="1"/>
      <c r="H2525" s="1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1"/>
      <c r="B2526" s="1"/>
      <c r="C2526" s="1"/>
      <c r="D2526" s="4"/>
      <c r="E2526" s="4"/>
      <c r="F2526" s="1"/>
      <c r="G2526" s="1"/>
      <c r="H2526" s="1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1"/>
      <c r="B2527" s="1"/>
      <c r="C2527" s="1"/>
      <c r="D2527" s="4"/>
      <c r="E2527" s="4"/>
      <c r="F2527" s="1"/>
      <c r="G2527" s="1"/>
      <c r="H2527" s="1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1"/>
      <c r="B2528" s="1"/>
      <c r="C2528" s="1"/>
      <c r="D2528" s="4"/>
      <c r="E2528" s="4"/>
      <c r="F2528" s="1"/>
      <c r="G2528" s="1"/>
      <c r="H2528" s="1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1"/>
      <c r="B2529" s="1"/>
      <c r="C2529" s="1"/>
      <c r="D2529" s="4"/>
      <c r="E2529" s="4"/>
      <c r="F2529" s="1"/>
      <c r="G2529" s="1"/>
      <c r="H2529" s="1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1"/>
      <c r="B2530" s="1"/>
      <c r="C2530" s="1"/>
      <c r="D2530" s="4"/>
      <c r="E2530" s="4"/>
      <c r="F2530" s="1"/>
      <c r="G2530" s="1"/>
      <c r="H2530" s="1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1"/>
      <c r="B2531" s="1"/>
      <c r="C2531" s="1"/>
      <c r="D2531" s="4"/>
      <c r="E2531" s="4"/>
      <c r="F2531" s="1"/>
      <c r="G2531" s="1"/>
      <c r="H2531" s="1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1"/>
      <c r="B2532" s="1"/>
      <c r="C2532" s="1"/>
      <c r="D2532" s="4"/>
      <c r="E2532" s="4"/>
      <c r="F2532" s="1"/>
      <c r="G2532" s="1"/>
      <c r="H2532" s="1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1"/>
      <c r="B2533" s="1"/>
      <c r="C2533" s="1"/>
      <c r="D2533" s="4"/>
      <c r="E2533" s="4"/>
      <c r="F2533" s="1"/>
      <c r="G2533" s="1"/>
      <c r="H2533" s="1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1"/>
      <c r="B2534" s="1"/>
      <c r="C2534" s="1"/>
      <c r="D2534" s="4"/>
      <c r="E2534" s="4"/>
      <c r="F2534" s="1"/>
      <c r="G2534" s="1"/>
      <c r="H2534" s="1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1"/>
      <c r="B2535" s="1"/>
      <c r="C2535" s="1"/>
      <c r="D2535" s="4"/>
      <c r="E2535" s="4"/>
      <c r="F2535" s="1"/>
      <c r="G2535" s="1"/>
      <c r="H2535" s="1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1"/>
      <c r="B2536" s="1"/>
      <c r="C2536" s="1"/>
      <c r="D2536" s="4"/>
      <c r="E2536" s="4"/>
      <c r="F2536" s="1"/>
      <c r="G2536" s="1"/>
      <c r="H2536" s="1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1"/>
      <c r="B2537" s="1"/>
      <c r="C2537" s="1"/>
      <c r="D2537" s="4"/>
      <c r="E2537" s="4"/>
      <c r="F2537" s="1"/>
      <c r="G2537" s="1"/>
      <c r="H2537" s="1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1"/>
      <c r="B2538" s="1"/>
      <c r="C2538" s="1"/>
      <c r="D2538" s="4"/>
      <c r="E2538" s="4"/>
      <c r="F2538" s="1"/>
      <c r="G2538" s="1"/>
      <c r="H2538" s="1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1"/>
      <c r="B2539" s="1"/>
      <c r="C2539" s="1"/>
      <c r="D2539" s="4"/>
      <c r="E2539" s="4"/>
      <c r="F2539" s="1"/>
      <c r="G2539" s="1"/>
      <c r="H2539" s="1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1"/>
      <c r="B2540" s="1"/>
      <c r="C2540" s="1"/>
      <c r="D2540" s="4"/>
      <c r="E2540" s="4"/>
      <c r="F2540" s="1"/>
      <c r="G2540" s="1"/>
      <c r="H2540" s="1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1"/>
      <c r="B2541" s="1"/>
      <c r="C2541" s="1"/>
      <c r="D2541" s="4"/>
      <c r="E2541" s="4"/>
      <c r="F2541" s="1"/>
      <c r="G2541" s="1"/>
      <c r="H2541" s="1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1"/>
      <c r="B2542" s="1"/>
      <c r="C2542" s="1"/>
      <c r="D2542" s="4"/>
      <c r="E2542" s="4"/>
      <c r="F2542" s="1"/>
      <c r="G2542" s="1"/>
      <c r="H2542" s="1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1"/>
      <c r="B2543" s="1"/>
      <c r="C2543" s="1"/>
      <c r="D2543" s="4"/>
      <c r="E2543" s="4"/>
      <c r="F2543" s="1"/>
      <c r="G2543" s="1"/>
      <c r="H2543" s="1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1"/>
      <c r="B2544" s="1"/>
      <c r="C2544" s="1"/>
      <c r="D2544" s="4"/>
      <c r="E2544" s="4"/>
      <c r="F2544" s="1"/>
      <c r="G2544" s="1"/>
      <c r="H2544" s="1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1"/>
      <c r="B2545" s="1"/>
      <c r="C2545" s="1"/>
      <c r="D2545" s="4"/>
      <c r="E2545" s="4"/>
      <c r="F2545" s="1"/>
      <c r="G2545" s="1"/>
      <c r="H2545" s="1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1"/>
      <c r="B2546" s="1"/>
      <c r="C2546" s="1"/>
      <c r="D2546" s="4"/>
      <c r="E2546" s="4"/>
      <c r="F2546" s="1"/>
      <c r="G2546" s="1"/>
      <c r="H2546" s="1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1"/>
      <c r="B2547" s="1"/>
      <c r="C2547" s="1"/>
      <c r="D2547" s="4"/>
      <c r="E2547" s="4"/>
      <c r="F2547" s="1"/>
      <c r="G2547" s="1"/>
      <c r="H2547" s="1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1"/>
      <c r="B2548" s="1"/>
      <c r="C2548" s="1"/>
      <c r="D2548" s="4"/>
      <c r="E2548" s="4"/>
      <c r="F2548" s="1"/>
      <c r="G2548" s="1"/>
      <c r="H2548" s="1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1"/>
      <c r="B2549" s="1"/>
      <c r="C2549" s="1"/>
      <c r="D2549" s="4"/>
      <c r="E2549" s="4"/>
      <c r="F2549" s="1"/>
      <c r="G2549" s="1"/>
      <c r="H2549" s="1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1"/>
      <c r="B2550" s="1"/>
      <c r="C2550" s="1"/>
      <c r="D2550" s="4"/>
      <c r="E2550" s="4"/>
      <c r="F2550" s="1"/>
      <c r="G2550" s="1"/>
      <c r="H2550" s="1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1"/>
      <c r="B2551" s="1"/>
      <c r="C2551" s="1"/>
      <c r="D2551" s="4"/>
      <c r="E2551" s="4"/>
      <c r="F2551" s="1"/>
      <c r="G2551" s="1"/>
      <c r="H2551" s="1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1"/>
      <c r="B2552" s="1"/>
      <c r="C2552" s="1"/>
      <c r="D2552" s="4"/>
      <c r="E2552" s="4"/>
      <c r="F2552" s="1"/>
      <c r="G2552" s="1"/>
      <c r="H2552" s="1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1"/>
      <c r="B2553" s="1"/>
      <c r="C2553" s="1"/>
      <c r="D2553" s="4"/>
      <c r="E2553" s="4"/>
      <c r="F2553" s="1"/>
      <c r="G2553" s="1"/>
      <c r="H2553" s="1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1"/>
      <c r="B2554" s="1"/>
      <c r="C2554" s="1"/>
      <c r="D2554" s="4"/>
      <c r="E2554" s="4"/>
      <c r="F2554" s="1"/>
      <c r="G2554" s="1"/>
      <c r="H2554" s="1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1"/>
      <c r="B2555" s="1"/>
      <c r="C2555" s="1"/>
      <c r="D2555" s="4"/>
      <c r="E2555" s="4"/>
      <c r="F2555" s="1"/>
      <c r="G2555" s="1"/>
      <c r="H2555" s="1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1"/>
      <c r="B2556" s="1"/>
      <c r="C2556" s="1"/>
      <c r="D2556" s="4"/>
      <c r="E2556" s="4"/>
      <c r="F2556" s="1"/>
      <c r="G2556" s="1"/>
      <c r="H2556" s="1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1"/>
      <c r="B2557" s="1"/>
      <c r="C2557" s="1"/>
      <c r="D2557" s="4"/>
      <c r="E2557" s="4"/>
      <c r="F2557" s="1"/>
      <c r="G2557" s="1"/>
      <c r="H2557" s="1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1"/>
      <c r="B2558" s="1"/>
      <c r="C2558" s="1"/>
      <c r="D2558" s="4"/>
      <c r="E2558" s="4"/>
      <c r="F2558" s="1"/>
      <c r="G2558" s="1"/>
      <c r="H2558" s="1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1"/>
      <c r="B2559" s="1"/>
      <c r="C2559" s="1"/>
      <c r="D2559" s="4"/>
      <c r="E2559" s="4"/>
      <c r="F2559" s="1"/>
      <c r="G2559" s="1"/>
      <c r="H2559" s="1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1"/>
      <c r="B2560" s="1"/>
      <c r="C2560" s="1"/>
      <c r="D2560" s="4"/>
      <c r="E2560" s="4"/>
      <c r="F2560" s="1"/>
      <c r="G2560" s="1"/>
      <c r="H2560" s="1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1"/>
      <c r="B2561" s="1"/>
      <c r="C2561" s="1"/>
      <c r="D2561" s="4"/>
      <c r="E2561" s="4"/>
      <c r="F2561" s="1"/>
      <c r="G2561" s="1"/>
      <c r="H2561" s="1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1"/>
      <c r="B2562" s="1"/>
      <c r="C2562" s="1"/>
      <c r="D2562" s="4"/>
      <c r="E2562" s="4"/>
      <c r="F2562" s="1"/>
      <c r="G2562" s="1"/>
      <c r="H2562" s="1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1"/>
      <c r="B2563" s="1"/>
      <c r="C2563" s="1"/>
      <c r="D2563" s="4"/>
      <c r="E2563" s="4"/>
      <c r="F2563" s="1"/>
      <c r="G2563" s="1"/>
      <c r="H2563" s="1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1"/>
      <c r="B2564" s="1"/>
      <c r="C2564" s="1"/>
      <c r="D2564" s="4"/>
      <c r="E2564" s="4"/>
      <c r="F2564" s="1"/>
      <c r="G2564" s="1"/>
      <c r="H2564" s="1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1"/>
      <c r="B2565" s="1"/>
      <c r="C2565" s="1"/>
      <c r="D2565" s="4"/>
      <c r="E2565" s="4"/>
      <c r="F2565" s="1"/>
      <c r="G2565" s="1"/>
      <c r="H2565" s="1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1"/>
      <c r="B2566" s="1"/>
      <c r="C2566" s="1"/>
      <c r="D2566" s="4"/>
      <c r="E2566" s="4"/>
      <c r="F2566" s="1"/>
      <c r="G2566" s="1"/>
      <c r="H2566" s="1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1"/>
      <c r="B2567" s="1"/>
      <c r="C2567" s="1"/>
      <c r="D2567" s="4"/>
      <c r="E2567" s="4"/>
      <c r="F2567" s="1"/>
      <c r="G2567" s="1"/>
      <c r="H2567" s="1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1"/>
      <c r="B2568" s="1"/>
      <c r="C2568" s="1"/>
      <c r="D2568" s="4"/>
      <c r="E2568" s="4"/>
      <c r="F2568" s="1"/>
      <c r="G2568" s="1"/>
      <c r="H2568" s="1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1"/>
      <c r="B2569" s="1"/>
      <c r="C2569" s="1"/>
      <c r="D2569" s="4"/>
      <c r="E2569" s="4"/>
      <c r="F2569" s="1"/>
      <c r="G2569" s="1"/>
      <c r="H2569" s="1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1"/>
      <c r="B2570" s="1"/>
      <c r="C2570" s="1"/>
      <c r="D2570" s="4"/>
      <c r="E2570" s="4"/>
      <c r="F2570" s="1"/>
      <c r="G2570" s="1"/>
      <c r="H2570" s="1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1"/>
      <c r="B2571" s="1"/>
      <c r="C2571" s="1"/>
      <c r="D2571" s="4"/>
      <c r="E2571" s="4"/>
      <c r="F2571" s="1"/>
      <c r="G2571" s="1"/>
      <c r="H2571" s="1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1"/>
      <c r="B2572" s="1"/>
      <c r="C2572" s="1"/>
      <c r="D2572" s="4"/>
      <c r="E2572" s="4"/>
      <c r="F2572" s="1"/>
      <c r="G2572" s="1"/>
      <c r="H2572" s="1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1"/>
      <c r="B2573" s="1"/>
      <c r="C2573" s="1"/>
      <c r="D2573" s="4"/>
      <c r="E2573" s="4"/>
      <c r="F2573" s="1"/>
      <c r="G2573" s="1"/>
      <c r="H2573" s="1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1"/>
      <c r="B2574" s="1"/>
      <c r="C2574" s="1"/>
      <c r="D2574" s="4"/>
      <c r="E2574" s="4"/>
      <c r="F2574" s="1"/>
      <c r="G2574" s="1"/>
      <c r="H2574" s="1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1"/>
      <c r="B2575" s="1"/>
      <c r="C2575" s="1"/>
      <c r="D2575" s="4"/>
      <c r="E2575" s="4"/>
      <c r="F2575" s="1"/>
      <c r="G2575" s="1"/>
      <c r="H2575" s="1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1"/>
      <c r="B2576" s="1"/>
      <c r="C2576" s="1"/>
      <c r="D2576" s="4"/>
      <c r="E2576" s="4"/>
      <c r="F2576" s="1"/>
      <c r="G2576" s="1"/>
      <c r="H2576" s="1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1"/>
      <c r="B2577" s="1"/>
      <c r="C2577" s="1"/>
      <c r="D2577" s="4"/>
      <c r="E2577" s="4"/>
      <c r="F2577" s="1"/>
      <c r="G2577" s="1"/>
      <c r="H2577" s="1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1"/>
      <c r="B2578" s="1"/>
      <c r="C2578" s="1"/>
      <c r="D2578" s="4"/>
      <c r="E2578" s="4"/>
      <c r="F2578" s="1"/>
      <c r="G2578" s="1"/>
      <c r="H2578" s="1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1"/>
      <c r="B2579" s="1"/>
      <c r="C2579" s="1"/>
      <c r="D2579" s="4"/>
      <c r="E2579" s="4"/>
      <c r="F2579" s="1"/>
      <c r="G2579" s="1"/>
      <c r="H2579" s="1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1"/>
      <c r="B2580" s="1"/>
      <c r="C2580" s="1"/>
      <c r="D2580" s="4"/>
      <c r="E2580" s="4"/>
      <c r="F2580" s="1"/>
      <c r="G2580" s="1"/>
      <c r="H2580" s="1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1"/>
      <c r="B2581" s="1"/>
      <c r="C2581" s="1"/>
      <c r="D2581" s="4"/>
      <c r="E2581" s="4"/>
      <c r="F2581" s="1"/>
      <c r="G2581" s="1"/>
      <c r="H2581" s="1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1"/>
      <c r="B2582" s="1"/>
      <c r="C2582" s="1"/>
      <c r="D2582" s="4"/>
      <c r="E2582" s="4"/>
      <c r="F2582" s="1"/>
      <c r="G2582" s="1"/>
      <c r="H2582" s="1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1"/>
      <c r="B2583" s="1"/>
      <c r="C2583" s="1"/>
      <c r="D2583" s="4"/>
      <c r="E2583" s="4"/>
      <c r="F2583" s="1"/>
      <c r="G2583" s="1"/>
      <c r="H2583" s="1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1"/>
      <c r="B2584" s="1"/>
      <c r="C2584" s="1"/>
      <c r="D2584" s="4"/>
      <c r="E2584" s="4"/>
      <c r="F2584" s="1"/>
      <c r="G2584" s="1"/>
      <c r="H2584" s="1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1"/>
      <c r="B2585" s="1"/>
      <c r="C2585" s="1"/>
      <c r="D2585" s="4"/>
      <c r="E2585" s="4"/>
      <c r="F2585" s="1"/>
      <c r="G2585" s="1"/>
      <c r="H2585" s="1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1"/>
      <c r="B2586" s="1"/>
      <c r="C2586" s="1"/>
      <c r="D2586" s="4"/>
      <c r="E2586" s="4"/>
      <c r="F2586" s="1"/>
      <c r="G2586" s="1"/>
      <c r="H2586" s="1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1"/>
      <c r="B2587" s="1"/>
      <c r="C2587" s="1"/>
      <c r="D2587" s="4"/>
      <c r="E2587" s="4"/>
      <c r="F2587" s="1"/>
      <c r="G2587" s="1"/>
      <c r="H2587" s="1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1"/>
      <c r="B2588" s="1"/>
      <c r="C2588" s="1"/>
      <c r="D2588" s="4"/>
      <c r="E2588" s="4"/>
      <c r="F2588" s="1"/>
      <c r="G2588" s="1"/>
      <c r="H2588" s="1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1"/>
      <c r="B2589" s="1"/>
      <c r="C2589" s="1"/>
      <c r="D2589" s="4"/>
      <c r="E2589" s="4"/>
      <c r="F2589" s="1"/>
      <c r="G2589" s="1"/>
      <c r="H2589" s="1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1"/>
      <c r="B2590" s="1"/>
      <c r="C2590" s="1"/>
      <c r="D2590" s="4"/>
      <c r="E2590" s="4"/>
      <c r="F2590" s="1"/>
      <c r="G2590" s="1"/>
      <c r="H2590" s="1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1"/>
      <c r="B2591" s="1"/>
      <c r="C2591" s="1"/>
      <c r="D2591" s="4"/>
      <c r="E2591" s="4"/>
      <c r="F2591" s="1"/>
      <c r="G2591" s="1"/>
      <c r="H2591" s="1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1"/>
      <c r="B2592" s="1"/>
      <c r="C2592" s="1"/>
      <c r="D2592" s="4"/>
      <c r="E2592" s="4"/>
      <c r="F2592" s="1"/>
      <c r="G2592" s="1"/>
      <c r="H2592" s="1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1"/>
      <c r="B2593" s="1"/>
      <c r="C2593" s="1"/>
      <c r="D2593" s="4"/>
      <c r="E2593" s="4"/>
      <c r="F2593" s="1"/>
      <c r="G2593" s="1"/>
      <c r="H2593" s="1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1"/>
      <c r="B2594" s="1"/>
      <c r="C2594" s="1"/>
      <c r="D2594" s="4"/>
      <c r="E2594" s="4"/>
      <c r="F2594" s="1"/>
      <c r="G2594" s="1"/>
      <c r="H2594" s="1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1"/>
      <c r="B2595" s="1"/>
      <c r="C2595" s="1"/>
      <c r="D2595" s="4"/>
      <c r="E2595" s="4"/>
      <c r="F2595" s="1"/>
      <c r="G2595" s="1"/>
      <c r="H2595" s="1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1"/>
      <c r="B2596" s="1"/>
      <c r="C2596" s="1"/>
      <c r="D2596" s="4"/>
      <c r="E2596" s="4"/>
      <c r="F2596" s="1"/>
      <c r="G2596" s="1"/>
      <c r="H2596" s="1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1"/>
      <c r="B2597" s="1"/>
      <c r="C2597" s="1"/>
      <c r="D2597" s="4"/>
      <c r="E2597" s="4"/>
      <c r="F2597" s="1"/>
      <c r="G2597" s="1"/>
      <c r="H2597" s="1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1"/>
      <c r="B2598" s="1"/>
      <c r="C2598" s="1"/>
      <c r="D2598" s="4"/>
      <c r="E2598" s="4"/>
      <c r="F2598" s="1"/>
      <c r="G2598" s="1"/>
      <c r="H2598" s="1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1"/>
      <c r="B2599" s="1"/>
      <c r="C2599" s="1"/>
      <c r="D2599" s="4"/>
      <c r="E2599" s="4"/>
      <c r="F2599" s="1"/>
      <c r="G2599" s="1"/>
      <c r="H2599" s="1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1"/>
      <c r="B2600" s="1"/>
      <c r="C2600" s="1"/>
      <c r="D2600" s="4"/>
      <c r="E2600" s="4"/>
      <c r="F2600" s="1"/>
      <c r="G2600" s="1"/>
      <c r="H2600" s="1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1"/>
      <c r="B2601" s="1"/>
      <c r="C2601" s="1"/>
      <c r="D2601" s="4"/>
      <c r="E2601" s="4"/>
      <c r="F2601" s="1"/>
      <c r="G2601" s="1"/>
      <c r="H2601" s="1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1"/>
      <c r="B2602" s="1"/>
      <c r="C2602" s="1"/>
      <c r="D2602" s="4"/>
      <c r="E2602" s="4"/>
      <c r="F2602" s="1"/>
      <c r="G2602" s="1"/>
      <c r="H2602" s="1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1"/>
      <c r="B2603" s="1"/>
      <c r="C2603" s="1"/>
      <c r="D2603" s="4"/>
      <c r="E2603" s="4"/>
      <c r="F2603" s="1"/>
      <c r="G2603" s="1"/>
      <c r="H2603" s="1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1"/>
      <c r="B2604" s="1"/>
      <c r="C2604" s="1"/>
      <c r="D2604" s="4"/>
      <c r="E2604" s="4"/>
      <c r="F2604" s="1"/>
      <c r="G2604" s="1"/>
      <c r="H2604" s="1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1"/>
      <c r="B2605" s="1"/>
      <c r="C2605" s="1"/>
      <c r="D2605" s="4"/>
      <c r="E2605" s="4"/>
      <c r="F2605" s="1"/>
      <c r="G2605" s="1"/>
      <c r="H2605" s="1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1"/>
      <c r="B2606" s="1"/>
      <c r="C2606" s="1"/>
      <c r="D2606" s="4"/>
      <c r="E2606" s="4"/>
      <c r="F2606" s="1"/>
      <c r="G2606" s="1"/>
      <c r="H2606" s="1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1"/>
      <c r="B2607" s="1"/>
      <c r="C2607" s="1"/>
      <c r="D2607" s="4"/>
      <c r="E2607" s="4"/>
      <c r="F2607" s="1"/>
      <c r="G2607" s="1"/>
      <c r="H2607" s="1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1"/>
      <c r="B2608" s="1"/>
      <c r="C2608" s="1"/>
      <c r="D2608" s="4"/>
      <c r="E2608" s="4"/>
      <c r="F2608" s="1"/>
      <c r="G2608" s="1"/>
      <c r="H2608" s="1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1"/>
      <c r="B2609" s="1"/>
      <c r="C2609" s="1"/>
      <c r="D2609" s="4"/>
      <c r="E2609" s="4"/>
      <c r="F2609" s="1"/>
      <c r="G2609" s="1"/>
      <c r="H2609" s="1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1"/>
      <c r="B2610" s="1"/>
      <c r="C2610" s="1"/>
      <c r="D2610" s="4"/>
      <c r="E2610" s="4"/>
      <c r="F2610" s="1"/>
      <c r="G2610" s="1"/>
      <c r="H2610" s="1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1"/>
      <c r="B2611" s="1"/>
      <c r="C2611" s="1"/>
      <c r="D2611" s="4"/>
      <c r="E2611" s="4"/>
      <c r="F2611" s="1"/>
      <c r="G2611" s="1"/>
      <c r="H2611" s="1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1"/>
      <c r="B2612" s="1"/>
      <c r="C2612" s="1"/>
      <c r="D2612" s="4"/>
      <c r="E2612" s="4"/>
      <c r="F2612" s="1"/>
      <c r="G2612" s="1"/>
      <c r="H2612" s="1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1"/>
      <c r="B2613" s="1"/>
      <c r="C2613" s="1"/>
      <c r="D2613" s="4"/>
      <c r="E2613" s="4"/>
      <c r="F2613" s="1"/>
      <c r="G2613" s="1"/>
      <c r="H2613" s="1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1"/>
      <c r="B2614" s="1"/>
      <c r="C2614" s="1"/>
      <c r="D2614" s="4"/>
      <c r="E2614" s="4"/>
      <c r="F2614" s="1"/>
      <c r="G2614" s="1"/>
      <c r="H2614" s="1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1"/>
      <c r="B2615" s="1"/>
      <c r="C2615" s="1"/>
      <c r="D2615" s="4"/>
      <c r="E2615" s="4"/>
      <c r="F2615" s="1"/>
      <c r="G2615" s="1"/>
      <c r="H2615" s="1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1"/>
      <c r="B2616" s="1"/>
      <c r="C2616" s="1"/>
      <c r="D2616" s="4"/>
      <c r="E2616" s="4"/>
      <c r="F2616" s="1"/>
      <c r="G2616" s="1"/>
      <c r="H2616" s="1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</sheetData>
  <autoFilter ref="$A$1:$P$261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6.13"/>
    <col customWidth="1" min="10" max="10" width="32.88"/>
    <col customWidth="1" min="11" max="11" width="16.38"/>
    <col customWidth="1" min="17" max="17" width="28.0"/>
  </cols>
  <sheetData>
    <row r="1">
      <c r="Q1" s="6" t="s">
        <v>21</v>
      </c>
      <c r="R1" s="7" t="s">
        <v>14</v>
      </c>
      <c r="S1" s="7"/>
      <c r="T1" s="7"/>
    </row>
    <row r="2">
      <c r="Q2" s="8" t="s">
        <v>24</v>
      </c>
      <c r="R2" s="9" t="s">
        <v>15</v>
      </c>
      <c r="S2" s="9" t="s">
        <v>16</v>
      </c>
      <c r="T2" s="9" t="s">
        <v>17</v>
      </c>
    </row>
    <row r="3">
      <c r="Q3" s="10"/>
    </row>
    <row r="4">
      <c r="Q4" s="10" t="s">
        <v>26</v>
      </c>
      <c r="S4" s="5">
        <v>1093.0</v>
      </c>
    </row>
    <row r="5">
      <c r="Q5" s="10" t="s">
        <v>28</v>
      </c>
      <c r="T5" s="5">
        <v>174.0</v>
      </c>
    </row>
    <row r="6">
      <c r="Q6" s="10" t="s">
        <v>30</v>
      </c>
      <c r="R6" s="5">
        <v>348.0</v>
      </c>
    </row>
    <row r="7">
      <c r="Q7" s="7" t="s">
        <v>23</v>
      </c>
      <c r="R7" s="7">
        <v>348.0</v>
      </c>
      <c r="S7" s="7">
        <v>1093.0</v>
      </c>
      <c r="T7" s="7">
        <v>174.0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5"/>
  </cols>
  <sheetData>
    <row r="1">
      <c r="A1" s="13" t="s">
        <v>1</v>
      </c>
      <c r="B1" s="13" t="s">
        <v>260</v>
      </c>
      <c r="C1" s="13" t="s">
        <v>261</v>
      </c>
      <c r="D1" s="13" t="s">
        <v>262</v>
      </c>
      <c r="E1" s="13" t="s">
        <v>263</v>
      </c>
      <c r="F1" s="13" t="s">
        <v>264</v>
      </c>
      <c r="G1" s="13" t="s">
        <v>265</v>
      </c>
      <c r="H1" s="13" t="s">
        <v>266</v>
      </c>
      <c r="I1" s="13" t="s">
        <v>267</v>
      </c>
      <c r="J1" s="13" t="s">
        <v>8</v>
      </c>
    </row>
    <row r="2">
      <c r="A2" s="13">
        <v>1.0</v>
      </c>
      <c r="B2" s="13" t="s">
        <v>268</v>
      </c>
      <c r="C2" s="13" t="s">
        <v>269</v>
      </c>
      <c r="D2" s="13" t="s">
        <v>18</v>
      </c>
      <c r="E2" s="13" t="s">
        <v>270</v>
      </c>
      <c r="F2" s="13" t="s">
        <v>271</v>
      </c>
      <c r="G2" s="13" t="s">
        <v>182</v>
      </c>
      <c r="H2" s="13" t="s">
        <v>16</v>
      </c>
      <c r="I2" s="13">
        <v>14127.0</v>
      </c>
      <c r="J2" s="5" t="str">
        <f t="shared" ref="J2:J1446" si="1">CONCATENATE(B2," ",C2)</f>
        <v>Debra Burks</v>
      </c>
    </row>
    <row r="3">
      <c r="A3" s="13">
        <v>2.0</v>
      </c>
      <c r="B3" s="13" t="s">
        <v>272</v>
      </c>
      <c r="C3" s="13" t="s">
        <v>273</v>
      </c>
      <c r="D3" s="13" t="s">
        <v>18</v>
      </c>
      <c r="E3" s="13" t="s">
        <v>274</v>
      </c>
      <c r="F3" s="13" t="s">
        <v>275</v>
      </c>
      <c r="G3" s="13" t="s">
        <v>66</v>
      </c>
      <c r="H3" s="13" t="s">
        <v>15</v>
      </c>
      <c r="I3" s="13">
        <v>95008.0</v>
      </c>
      <c r="J3" s="5" t="str">
        <f t="shared" si="1"/>
        <v>Kasha Todd</v>
      </c>
    </row>
    <row r="4">
      <c r="A4" s="13">
        <v>3.0</v>
      </c>
      <c r="B4" s="13" t="s">
        <v>276</v>
      </c>
      <c r="C4" s="13" t="s">
        <v>277</v>
      </c>
      <c r="D4" s="13" t="s">
        <v>18</v>
      </c>
      <c r="E4" s="13" t="s">
        <v>278</v>
      </c>
      <c r="F4" s="13" t="s">
        <v>279</v>
      </c>
      <c r="G4" s="13" t="s">
        <v>199</v>
      </c>
      <c r="H4" s="13" t="s">
        <v>15</v>
      </c>
      <c r="I4" s="13">
        <v>90278.0</v>
      </c>
      <c r="J4" s="5" t="str">
        <f t="shared" si="1"/>
        <v>Tameka Fisher</v>
      </c>
    </row>
    <row r="5">
      <c r="A5" s="13">
        <v>4.0</v>
      </c>
      <c r="B5" s="13" t="s">
        <v>280</v>
      </c>
      <c r="C5" s="13" t="s">
        <v>281</v>
      </c>
      <c r="D5" s="13" t="s">
        <v>18</v>
      </c>
      <c r="E5" s="13" t="s">
        <v>282</v>
      </c>
      <c r="F5" s="13" t="s">
        <v>283</v>
      </c>
      <c r="G5" s="13" t="s">
        <v>241</v>
      </c>
      <c r="H5" s="13" t="s">
        <v>16</v>
      </c>
      <c r="I5" s="13">
        <v>11553.0</v>
      </c>
      <c r="J5" s="5" t="str">
        <f t="shared" si="1"/>
        <v>Daryl Spence</v>
      </c>
    </row>
    <row r="6">
      <c r="A6" s="13">
        <v>5.0</v>
      </c>
      <c r="B6" s="13" t="s">
        <v>284</v>
      </c>
      <c r="C6" s="13" t="s">
        <v>285</v>
      </c>
      <c r="D6" s="13" t="s">
        <v>286</v>
      </c>
      <c r="E6" s="13" t="s">
        <v>287</v>
      </c>
      <c r="F6" s="13" t="s">
        <v>288</v>
      </c>
      <c r="G6" s="13" t="s">
        <v>211</v>
      </c>
      <c r="H6" s="13" t="s">
        <v>15</v>
      </c>
      <c r="I6" s="13">
        <v>95820.0</v>
      </c>
      <c r="J6" s="5" t="str">
        <f t="shared" si="1"/>
        <v>Charolette Rice</v>
      </c>
    </row>
    <row r="7">
      <c r="A7" s="13">
        <v>6.0</v>
      </c>
      <c r="B7" s="13" t="s">
        <v>289</v>
      </c>
      <c r="C7" s="13" t="s">
        <v>290</v>
      </c>
      <c r="D7" s="13" t="s">
        <v>18</v>
      </c>
      <c r="E7" s="13" t="s">
        <v>291</v>
      </c>
      <c r="F7" s="13" t="s">
        <v>292</v>
      </c>
      <c r="G7" s="13" t="s">
        <v>113</v>
      </c>
      <c r="H7" s="13" t="s">
        <v>16</v>
      </c>
      <c r="I7" s="13">
        <v>14450.0</v>
      </c>
      <c r="J7" s="5" t="str">
        <f t="shared" si="1"/>
        <v>Lyndsey Bean</v>
      </c>
    </row>
    <row r="8">
      <c r="A8" s="13">
        <v>7.0</v>
      </c>
      <c r="B8" s="13" t="s">
        <v>293</v>
      </c>
      <c r="C8" s="13" t="s">
        <v>294</v>
      </c>
      <c r="D8" s="13" t="s">
        <v>295</v>
      </c>
      <c r="E8" s="13" t="s">
        <v>296</v>
      </c>
      <c r="F8" s="13" t="s">
        <v>297</v>
      </c>
      <c r="G8" s="13" t="s">
        <v>64</v>
      </c>
      <c r="H8" s="13" t="s">
        <v>16</v>
      </c>
      <c r="I8" s="13">
        <v>14215.0</v>
      </c>
      <c r="J8" s="5" t="str">
        <f t="shared" si="1"/>
        <v>Latasha Hays</v>
      </c>
    </row>
    <row r="9">
      <c r="A9" s="13">
        <v>8.0</v>
      </c>
      <c r="B9" s="13" t="s">
        <v>298</v>
      </c>
      <c r="C9" s="13" t="s">
        <v>299</v>
      </c>
      <c r="D9" s="13" t="s">
        <v>18</v>
      </c>
      <c r="E9" s="13" t="s">
        <v>300</v>
      </c>
      <c r="F9" s="13" t="s">
        <v>301</v>
      </c>
      <c r="G9" s="13" t="s">
        <v>143</v>
      </c>
      <c r="H9" s="13" t="s">
        <v>16</v>
      </c>
      <c r="I9" s="13">
        <v>11372.0</v>
      </c>
      <c r="J9" s="5" t="str">
        <f t="shared" si="1"/>
        <v>Jacquline Duncan</v>
      </c>
    </row>
    <row r="10">
      <c r="A10" s="13">
        <v>9.0</v>
      </c>
      <c r="B10" s="13" t="s">
        <v>302</v>
      </c>
      <c r="C10" s="13" t="s">
        <v>42</v>
      </c>
      <c r="D10" s="13" t="s">
        <v>18</v>
      </c>
      <c r="E10" s="13" t="s">
        <v>303</v>
      </c>
      <c r="F10" s="13" t="s">
        <v>304</v>
      </c>
      <c r="G10" s="13" t="s">
        <v>196</v>
      </c>
      <c r="H10" s="13" t="s">
        <v>16</v>
      </c>
      <c r="I10" s="13">
        <v>11050.0</v>
      </c>
      <c r="J10" s="5" t="str">
        <f t="shared" si="1"/>
        <v>Genoveva Baldwin</v>
      </c>
    </row>
    <row r="11">
      <c r="A11" s="13">
        <v>10.0</v>
      </c>
      <c r="B11" s="13" t="s">
        <v>305</v>
      </c>
      <c r="C11" s="13" t="s">
        <v>306</v>
      </c>
      <c r="D11" s="13" t="s">
        <v>18</v>
      </c>
      <c r="E11" s="13" t="s">
        <v>307</v>
      </c>
      <c r="F11" s="13" t="s">
        <v>308</v>
      </c>
      <c r="G11" s="13" t="s">
        <v>165</v>
      </c>
      <c r="H11" s="13" t="s">
        <v>16</v>
      </c>
      <c r="I11" s="13">
        <v>10950.0</v>
      </c>
      <c r="J11" s="5" t="str">
        <f t="shared" si="1"/>
        <v>Pamelia Newman</v>
      </c>
    </row>
    <row r="12">
      <c r="A12" s="13">
        <v>11.0</v>
      </c>
      <c r="B12" s="13" t="s">
        <v>309</v>
      </c>
      <c r="C12" s="13" t="s">
        <v>310</v>
      </c>
      <c r="D12" s="13" t="s">
        <v>18</v>
      </c>
      <c r="E12" s="13" t="s">
        <v>311</v>
      </c>
      <c r="F12" s="13" t="s">
        <v>312</v>
      </c>
      <c r="G12" s="13" t="s">
        <v>166</v>
      </c>
      <c r="H12" s="13" t="s">
        <v>16</v>
      </c>
      <c r="I12" s="13">
        <v>10952.0</v>
      </c>
      <c r="J12" s="5" t="str">
        <f t="shared" si="1"/>
        <v>Deshawn Mendoza</v>
      </c>
    </row>
    <row r="13">
      <c r="A13" s="13">
        <v>12.0</v>
      </c>
      <c r="B13" s="13" t="s">
        <v>313</v>
      </c>
      <c r="C13" s="13" t="s">
        <v>314</v>
      </c>
      <c r="D13" s="13" t="s">
        <v>315</v>
      </c>
      <c r="E13" s="13" t="s">
        <v>316</v>
      </c>
      <c r="F13" s="13" t="s">
        <v>317</v>
      </c>
      <c r="G13" s="13" t="s">
        <v>133</v>
      </c>
      <c r="H13" s="13" t="s">
        <v>16</v>
      </c>
      <c r="I13" s="13">
        <v>11550.0</v>
      </c>
      <c r="J13" s="5" t="str">
        <f t="shared" si="1"/>
        <v>Robby Sykes</v>
      </c>
    </row>
    <row r="14">
      <c r="A14" s="13">
        <v>13.0</v>
      </c>
      <c r="B14" s="13" t="s">
        <v>318</v>
      </c>
      <c r="C14" s="13" t="s">
        <v>319</v>
      </c>
      <c r="D14" s="13" t="s">
        <v>18</v>
      </c>
      <c r="E14" s="13" t="s">
        <v>320</v>
      </c>
      <c r="F14" s="13" t="s">
        <v>321</v>
      </c>
      <c r="G14" s="13" t="s">
        <v>155</v>
      </c>
      <c r="H14" s="13" t="s">
        <v>17</v>
      </c>
      <c r="I14" s="13">
        <v>75604.0</v>
      </c>
      <c r="J14" s="5" t="str">
        <f t="shared" si="1"/>
        <v>Lashawn Ortiz</v>
      </c>
    </row>
    <row r="15">
      <c r="A15" s="13">
        <v>14.0</v>
      </c>
      <c r="B15" s="13" t="s">
        <v>322</v>
      </c>
      <c r="C15" s="13" t="s">
        <v>323</v>
      </c>
      <c r="D15" s="13" t="s">
        <v>18</v>
      </c>
      <c r="E15" s="13" t="s">
        <v>324</v>
      </c>
      <c r="F15" s="13" t="s">
        <v>325</v>
      </c>
      <c r="G15" s="13" t="s">
        <v>119</v>
      </c>
      <c r="H15" s="13" t="s">
        <v>17</v>
      </c>
      <c r="I15" s="13">
        <v>75126.0</v>
      </c>
      <c r="J15" s="5" t="str">
        <f t="shared" si="1"/>
        <v>Garry Espinoza</v>
      </c>
    </row>
    <row r="16">
      <c r="A16" s="13">
        <v>15.0</v>
      </c>
      <c r="B16" s="13" t="s">
        <v>326</v>
      </c>
      <c r="C16" s="13" t="s">
        <v>327</v>
      </c>
      <c r="D16" s="13" t="s">
        <v>18</v>
      </c>
      <c r="E16" s="13" t="s">
        <v>328</v>
      </c>
      <c r="F16" s="13" t="s">
        <v>329</v>
      </c>
      <c r="G16" s="13" t="s">
        <v>191</v>
      </c>
      <c r="H16" s="13" t="s">
        <v>16</v>
      </c>
      <c r="I16" s="13">
        <v>12901.0</v>
      </c>
      <c r="J16" s="5" t="str">
        <f t="shared" si="1"/>
        <v>Linnie Branch</v>
      </c>
    </row>
    <row r="17">
      <c r="A17" s="13">
        <v>16.0</v>
      </c>
      <c r="B17" s="13" t="s">
        <v>330</v>
      </c>
      <c r="C17" s="13" t="s">
        <v>331</v>
      </c>
      <c r="D17" s="13" t="s">
        <v>332</v>
      </c>
      <c r="E17" s="13" t="s">
        <v>333</v>
      </c>
      <c r="F17" s="13" t="s">
        <v>334</v>
      </c>
      <c r="G17" s="13" t="s">
        <v>174</v>
      </c>
      <c r="H17" s="13" t="s">
        <v>16</v>
      </c>
      <c r="I17" s="13">
        <v>10002.0</v>
      </c>
      <c r="J17" s="5" t="str">
        <f t="shared" si="1"/>
        <v>Emmitt Sanchez</v>
      </c>
    </row>
    <row r="18">
      <c r="A18" s="13">
        <v>17.0</v>
      </c>
      <c r="B18" s="13" t="s">
        <v>335</v>
      </c>
      <c r="C18" s="13" t="s">
        <v>336</v>
      </c>
      <c r="D18" s="13" t="s">
        <v>18</v>
      </c>
      <c r="E18" s="13" t="s">
        <v>337</v>
      </c>
      <c r="F18" s="13" t="s">
        <v>338</v>
      </c>
      <c r="G18" s="13" t="s">
        <v>224</v>
      </c>
      <c r="H18" s="13" t="s">
        <v>16</v>
      </c>
      <c r="I18" s="13">
        <v>10583.0</v>
      </c>
      <c r="J18" s="5" t="str">
        <f t="shared" si="1"/>
        <v>Caren Stephens</v>
      </c>
    </row>
    <row r="19">
      <c r="A19" s="13">
        <v>18.0</v>
      </c>
      <c r="B19" s="13" t="s">
        <v>339</v>
      </c>
      <c r="C19" s="13" t="s">
        <v>340</v>
      </c>
      <c r="D19" s="13" t="s">
        <v>18</v>
      </c>
      <c r="E19" s="13" t="s">
        <v>341</v>
      </c>
      <c r="F19" s="13" t="s">
        <v>342</v>
      </c>
      <c r="G19" s="13" t="s">
        <v>68</v>
      </c>
      <c r="H19" s="13" t="s">
        <v>16</v>
      </c>
      <c r="I19" s="13">
        <v>14424.0</v>
      </c>
      <c r="J19" s="5" t="str">
        <f t="shared" si="1"/>
        <v>Georgetta Hardin</v>
      </c>
    </row>
    <row r="20">
      <c r="A20" s="13">
        <v>19.0</v>
      </c>
      <c r="B20" s="13" t="s">
        <v>343</v>
      </c>
      <c r="C20" s="13" t="s">
        <v>344</v>
      </c>
      <c r="D20" s="13" t="s">
        <v>18</v>
      </c>
      <c r="E20" s="13" t="s">
        <v>345</v>
      </c>
      <c r="F20" s="13" t="s">
        <v>346</v>
      </c>
      <c r="G20" s="13" t="s">
        <v>182</v>
      </c>
      <c r="H20" s="13" t="s">
        <v>16</v>
      </c>
      <c r="I20" s="13">
        <v>14127.0</v>
      </c>
      <c r="J20" s="5" t="str">
        <f t="shared" si="1"/>
        <v>Lizzette Stein</v>
      </c>
    </row>
    <row r="21">
      <c r="A21" s="13">
        <v>20.0</v>
      </c>
      <c r="B21" s="13" t="s">
        <v>347</v>
      </c>
      <c r="C21" s="13" t="s">
        <v>348</v>
      </c>
      <c r="D21" s="13" t="s">
        <v>18</v>
      </c>
      <c r="E21" s="13" t="s">
        <v>349</v>
      </c>
      <c r="F21" s="13" t="s">
        <v>350</v>
      </c>
      <c r="G21" s="13" t="s">
        <v>235</v>
      </c>
      <c r="H21" s="13" t="s">
        <v>17</v>
      </c>
      <c r="I21" s="13">
        <v>77478.0</v>
      </c>
      <c r="J21" s="5" t="str">
        <f t="shared" si="1"/>
        <v>Aleta Shepard</v>
      </c>
    </row>
    <row r="22">
      <c r="A22" s="13">
        <v>21.0</v>
      </c>
      <c r="B22" s="13" t="s">
        <v>351</v>
      </c>
      <c r="C22" s="13" t="s">
        <v>352</v>
      </c>
      <c r="D22" s="13" t="s">
        <v>18</v>
      </c>
      <c r="E22" s="13" t="s">
        <v>353</v>
      </c>
      <c r="F22" s="13" t="s">
        <v>354</v>
      </c>
      <c r="G22" s="13" t="s">
        <v>245</v>
      </c>
      <c r="H22" s="13" t="s">
        <v>17</v>
      </c>
      <c r="I22" s="13">
        <v>77904.0</v>
      </c>
      <c r="J22" s="5" t="str">
        <f t="shared" si="1"/>
        <v>Tobie Little</v>
      </c>
    </row>
    <row r="23">
      <c r="A23" s="13">
        <v>22.0</v>
      </c>
      <c r="B23" s="13" t="s">
        <v>355</v>
      </c>
      <c r="C23" s="13" t="s">
        <v>356</v>
      </c>
      <c r="D23" s="13" t="s">
        <v>18</v>
      </c>
      <c r="E23" s="13" t="s">
        <v>357</v>
      </c>
      <c r="F23" s="13" t="s">
        <v>358</v>
      </c>
      <c r="G23" s="13" t="s">
        <v>104</v>
      </c>
      <c r="H23" s="13" t="s">
        <v>16</v>
      </c>
      <c r="I23" s="13">
        <v>11731.0</v>
      </c>
      <c r="J23" s="5" t="str">
        <f t="shared" si="1"/>
        <v>Adelle Larsen</v>
      </c>
    </row>
    <row r="24">
      <c r="A24" s="13">
        <v>23.0</v>
      </c>
      <c r="B24" s="13" t="s">
        <v>359</v>
      </c>
      <c r="C24" s="13" t="s">
        <v>360</v>
      </c>
      <c r="D24" s="13" t="s">
        <v>18</v>
      </c>
      <c r="E24" s="13" t="s">
        <v>361</v>
      </c>
      <c r="F24" s="13" t="s">
        <v>362</v>
      </c>
      <c r="G24" s="13" t="s">
        <v>136</v>
      </c>
      <c r="H24" s="13" t="s">
        <v>16</v>
      </c>
      <c r="I24" s="13">
        <v>11423.0</v>
      </c>
      <c r="J24" s="5" t="str">
        <f t="shared" si="1"/>
        <v>Kaylee English</v>
      </c>
    </row>
    <row r="25">
      <c r="A25" s="13">
        <v>24.0</v>
      </c>
      <c r="B25" s="13" t="s">
        <v>363</v>
      </c>
      <c r="C25" s="13" t="s">
        <v>364</v>
      </c>
      <c r="D25" s="13" t="s">
        <v>18</v>
      </c>
      <c r="E25" s="13" t="s">
        <v>365</v>
      </c>
      <c r="F25" s="13" t="s">
        <v>366</v>
      </c>
      <c r="G25" s="13" t="s">
        <v>35</v>
      </c>
      <c r="H25" s="13" t="s">
        <v>15</v>
      </c>
      <c r="I25" s="13">
        <v>95301.0</v>
      </c>
      <c r="J25" s="5" t="str">
        <f t="shared" si="1"/>
        <v>Corene Wall</v>
      </c>
    </row>
    <row r="26">
      <c r="A26" s="13">
        <v>25.0</v>
      </c>
      <c r="B26" s="13" t="s">
        <v>367</v>
      </c>
      <c r="C26" s="13" t="s">
        <v>368</v>
      </c>
      <c r="D26" s="13" t="s">
        <v>18</v>
      </c>
      <c r="E26" s="13" t="s">
        <v>369</v>
      </c>
      <c r="F26" s="13" t="s">
        <v>370</v>
      </c>
      <c r="G26" s="13" t="s">
        <v>158</v>
      </c>
      <c r="H26" s="13" t="s">
        <v>16</v>
      </c>
      <c r="I26" s="13">
        <v>10541.0</v>
      </c>
      <c r="J26" s="5" t="str">
        <f t="shared" si="1"/>
        <v>Regenia Vaughan</v>
      </c>
    </row>
    <row r="27">
      <c r="A27" s="13">
        <v>26.0</v>
      </c>
      <c r="B27" s="13" t="s">
        <v>371</v>
      </c>
      <c r="C27" s="13" t="s">
        <v>372</v>
      </c>
      <c r="D27" s="13" t="s">
        <v>373</v>
      </c>
      <c r="E27" s="13" t="s">
        <v>374</v>
      </c>
      <c r="F27" s="13" t="s">
        <v>375</v>
      </c>
      <c r="G27" s="13" t="s">
        <v>154</v>
      </c>
      <c r="H27" s="13" t="s">
        <v>16</v>
      </c>
      <c r="I27" s="13">
        <v>11561.0</v>
      </c>
      <c r="J27" s="5" t="str">
        <f t="shared" si="1"/>
        <v>Theo Reese</v>
      </c>
    </row>
    <row r="28">
      <c r="A28" s="13">
        <v>27.0</v>
      </c>
      <c r="B28" s="13" t="s">
        <v>376</v>
      </c>
      <c r="C28" s="13" t="s">
        <v>377</v>
      </c>
      <c r="D28" s="13" t="s">
        <v>18</v>
      </c>
      <c r="E28" s="13" t="s">
        <v>378</v>
      </c>
      <c r="F28" s="13" t="s">
        <v>379</v>
      </c>
      <c r="G28" s="13" t="s">
        <v>236</v>
      </c>
      <c r="H28" s="13" t="s">
        <v>16</v>
      </c>
      <c r="I28" s="13">
        <v>11104.0</v>
      </c>
      <c r="J28" s="5" t="str">
        <f t="shared" si="1"/>
        <v>Santos Valencia</v>
      </c>
    </row>
    <row r="29">
      <c r="A29" s="13">
        <v>28.0</v>
      </c>
      <c r="B29" s="13" t="s">
        <v>380</v>
      </c>
      <c r="C29" s="13" t="s">
        <v>381</v>
      </c>
      <c r="D29" s="13" t="s">
        <v>18</v>
      </c>
      <c r="E29" s="13" t="s">
        <v>382</v>
      </c>
      <c r="F29" s="13" t="s">
        <v>383</v>
      </c>
      <c r="G29" s="13" t="s">
        <v>183</v>
      </c>
      <c r="H29" s="13" t="s">
        <v>16</v>
      </c>
      <c r="I29" s="13">
        <v>10562.0</v>
      </c>
      <c r="J29" s="5" t="str">
        <f t="shared" si="1"/>
        <v>Jeanice Frost</v>
      </c>
    </row>
    <row r="30">
      <c r="A30" s="13">
        <v>29.0</v>
      </c>
      <c r="B30" s="13" t="s">
        <v>384</v>
      </c>
      <c r="C30" s="13" t="s">
        <v>385</v>
      </c>
      <c r="D30" s="13" t="s">
        <v>18</v>
      </c>
      <c r="E30" s="13" t="s">
        <v>386</v>
      </c>
      <c r="F30" s="13" t="s">
        <v>387</v>
      </c>
      <c r="G30" s="13" t="s">
        <v>158</v>
      </c>
      <c r="H30" s="13" t="s">
        <v>16</v>
      </c>
      <c r="I30" s="13">
        <v>10541.0</v>
      </c>
      <c r="J30" s="5" t="str">
        <f t="shared" si="1"/>
        <v>Syreeta Hendricks</v>
      </c>
    </row>
    <row r="31">
      <c r="A31" s="13">
        <v>30.0</v>
      </c>
      <c r="B31" s="13" t="s">
        <v>388</v>
      </c>
      <c r="C31" s="13" t="s">
        <v>389</v>
      </c>
      <c r="D31" s="13" t="s">
        <v>18</v>
      </c>
      <c r="E31" s="13" t="s">
        <v>390</v>
      </c>
      <c r="F31" s="13" t="s">
        <v>391</v>
      </c>
      <c r="G31" s="13" t="s">
        <v>239</v>
      </c>
      <c r="H31" s="13" t="s">
        <v>15</v>
      </c>
      <c r="I31" s="13">
        <v>90505.0</v>
      </c>
      <c r="J31" s="5" t="str">
        <f t="shared" si="1"/>
        <v>Jamaal Albert</v>
      </c>
    </row>
    <row r="32">
      <c r="A32" s="13">
        <v>31.0</v>
      </c>
      <c r="B32" s="13" t="s">
        <v>392</v>
      </c>
      <c r="C32" s="13" t="s">
        <v>393</v>
      </c>
      <c r="D32" s="13" t="s">
        <v>394</v>
      </c>
      <c r="E32" s="13" t="s">
        <v>395</v>
      </c>
      <c r="F32" s="13" t="s">
        <v>396</v>
      </c>
      <c r="G32" s="13" t="s">
        <v>178</v>
      </c>
      <c r="H32" s="13" t="s">
        <v>15</v>
      </c>
      <c r="I32" s="13">
        <v>94603.0</v>
      </c>
      <c r="J32" s="5" t="str">
        <f t="shared" si="1"/>
        <v>Williemae Holloway</v>
      </c>
    </row>
    <row r="33">
      <c r="A33" s="13">
        <v>32.0</v>
      </c>
      <c r="B33" s="13" t="s">
        <v>397</v>
      </c>
      <c r="C33" s="13" t="s">
        <v>398</v>
      </c>
      <c r="D33" s="13" t="s">
        <v>18</v>
      </c>
      <c r="E33" s="13" t="s">
        <v>399</v>
      </c>
      <c r="F33" s="13" t="s">
        <v>400</v>
      </c>
      <c r="G33" s="13" t="s">
        <v>125</v>
      </c>
      <c r="H33" s="13" t="s">
        <v>15</v>
      </c>
      <c r="I33" s="13">
        <v>92831.0</v>
      </c>
      <c r="J33" s="5" t="str">
        <f t="shared" si="1"/>
        <v>Araceli Golden</v>
      </c>
    </row>
    <row r="34">
      <c r="A34" s="13">
        <v>33.0</v>
      </c>
      <c r="B34" s="13" t="s">
        <v>401</v>
      </c>
      <c r="C34" s="13" t="s">
        <v>402</v>
      </c>
      <c r="D34" s="13" t="s">
        <v>18</v>
      </c>
      <c r="E34" s="13" t="s">
        <v>403</v>
      </c>
      <c r="F34" s="13" t="s">
        <v>404</v>
      </c>
      <c r="G34" s="13" t="s">
        <v>187</v>
      </c>
      <c r="H34" s="13" t="s">
        <v>15</v>
      </c>
      <c r="I34" s="13">
        <v>90274.0</v>
      </c>
      <c r="J34" s="5" t="str">
        <f t="shared" si="1"/>
        <v>Deloris Burke</v>
      </c>
    </row>
    <row r="35">
      <c r="A35" s="13">
        <v>34.0</v>
      </c>
      <c r="B35" s="13" t="s">
        <v>405</v>
      </c>
      <c r="C35" s="13" t="s">
        <v>406</v>
      </c>
      <c r="D35" s="13" t="s">
        <v>18</v>
      </c>
      <c r="E35" s="13" t="s">
        <v>407</v>
      </c>
      <c r="F35" s="13" t="s">
        <v>408</v>
      </c>
      <c r="G35" s="13" t="s">
        <v>104</v>
      </c>
      <c r="H35" s="13" t="s">
        <v>16</v>
      </c>
      <c r="I35" s="13">
        <v>11731.0</v>
      </c>
      <c r="J35" s="5" t="str">
        <f t="shared" si="1"/>
        <v>Brittney Woodward</v>
      </c>
    </row>
    <row r="36">
      <c r="A36" s="13">
        <v>35.0</v>
      </c>
      <c r="B36" s="13" t="s">
        <v>409</v>
      </c>
      <c r="C36" s="13" t="s">
        <v>410</v>
      </c>
      <c r="D36" s="13" t="s">
        <v>18</v>
      </c>
      <c r="E36" s="13" t="s">
        <v>411</v>
      </c>
      <c r="F36" s="13" t="s">
        <v>412</v>
      </c>
      <c r="G36" s="13" t="s">
        <v>44</v>
      </c>
      <c r="H36" s="13" t="s">
        <v>16</v>
      </c>
      <c r="I36" s="13">
        <v>13027.0</v>
      </c>
      <c r="J36" s="5" t="str">
        <f t="shared" si="1"/>
        <v>Guillermina Noble</v>
      </c>
    </row>
    <row r="37">
      <c r="A37" s="13">
        <v>36.0</v>
      </c>
      <c r="B37" s="13" t="s">
        <v>413</v>
      </c>
      <c r="C37" s="13" t="s">
        <v>414</v>
      </c>
      <c r="D37" s="13" t="s">
        <v>18</v>
      </c>
      <c r="E37" s="13" t="s">
        <v>415</v>
      </c>
      <c r="F37" s="13" t="s">
        <v>416</v>
      </c>
      <c r="G37" s="13" t="s">
        <v>152</v>
      </c>
      <c r="H37" s="13" t="s">
        <v>16</v>
      </c>
      <c r="I37" s="13">
        <v>13090.0</v>
      </c>
      <c r="J37" s="5" t="str">
        <f t="shared" si="1"/>
        <v>Bernita Mcdaniel</v>
      </c>
    </row>
    <row r="38">
      <c r="A38" s="13">
        <v>37.0</v>
      </c>
      <c r="B38" s="13" t="s">
        <v>417</v>
      </c>
      <c r="C38" s="13" t="s">
        <v>418</v>
      </c>
      <c r="D38" s="13" t="s">
        <v>18</v>
      </c>
      <c r="E38" s="13" t="s">
        <v>419</v>
      </c>
      <c r="F38" s="13" t="s">
        <v>420</v>
      </c>
      <c r="G38" s="13" t="s">
        <v>159</v>
      </c>
      <c r="H38" s="13" t="s">
        <v>16</v>
      </c>
      <c r="I38" s="13">
        <v>11378.0</v>
      </c>
      <c r="J38" s="5" t="str">
        <f t="shared" si="1"/>
        <v>Melia Brady</v>
      </c>
    </row>
    <row r="39">
      <c r="A39" s="13">
        <v>38.0</v>
      </c>
      <c r="B39" s="13" t="s">
        <v>421</v>
      </c>
      <c r="C39" s="13" t="s">
        <v>422</v>
      </c>
      <c r="D39" s="13" t="s">
        <v>18</v>
      </c>
      <c r="E39" s="13" t="s">
        <v>423</v>
      </c>
      <c r="F39" s="13" t="s">
        <v>424</v>
      </c>
      <c r="G39" s="13" t="s">
        <v>34</v>
      </c>
      <c r="H39" s="13" t="s">
        <v>16</v>
      </c>
      <c r="I39" s="13">
        <v>11102.0</v>
      </c>
      <c r="J39" s="5" t="str">
        <f t="shared" si="1"/>
        <v>Zelma Browning</v>
      </c>
    </row>
    <row r="40">
      <c r="A40" s="13">
        <v>39.0</v>
      </c>
      <c r="B40" s="13" t="s">
        <v>425</v>
      </c>
      <c r="C40" s="13" t="s">
        <v>426</v>
      </c>
      <c r="D40" s="13" t="s">
        <v>427</v>
      </c>
      <c r="E40" s="13" t="s">
        <v>428</v>
      </c>
      <c r="F40" s="13" t="s">
        <v>429</v>
      </c>
      <c r="G40" s="13" t="s">
        <v>148</v>
      </c>
      <c r="H40" s="13" t="s">
        <v>16</v>
      </c>
      <c r="I40" s="13">
        <v>14086.0</v>
      </c>
      <c r="J40" s="5" t="str">
        <f t="shared" si="1"/>
        <v>Janetta Aguirre</v>
      </c>
    </row>
    <row r="41">
      <c r="A41" s="13">
        <v>40.0</v>
      </c>
      <c r="B41" s="13" t="s">
        <v>430</v>
      </c>
      <c r="C41" s="13" t="s">
        <v>431</v>
      </c>
      <c r="D41" s="13" t="s">
        <v>18</v>
      </c>
      <c r="E41" s="13" t="s">
        <v>432</v>
      </c>
      <c r="F41" s="13" t="s">
        <v>433</v>
      </c>
      <c r="G41" s="13" t="s">
        <v>110</v>
      </c>
      <c r="H41" s="13" t="s">
        <v>15</v>
      </c>
      <c r="I41" s="13">
        <v>91316.0</v>
      </c>
      <c r="J41" s="5" t="str">
        <f t="shared" si="1"/>
        <v>Ronna Butler</v>
      </c>
    </row>
    <row r="42">
      <c r="A42" s="13">
        <v>41.0</v>
      </c>
      <c r="B42" s="13" t="s">
        <v>434</v>
      </c>
      <c r="C42" s="13" t="s">
        <v>435</v>
      </c>
      <c r="D42" s="13" t="s">
        <v>18</v>
      </c>
      <c r="E42" s="13" t="s">
        <v>436</v>
      </c>
      <c r="F42" s="13" t="s">
        <v>437</v>
      </c>
      <c r="G42" s="13" t="s">
        <v>198</v>
      </c>
      <c r="H42" s="13" t="s">
        <v>16</v>
      </c>
      <c r="I42" s="13">
        <v>12804.0</v>
      </c>
      <c r="J42" s="5" t="str">
        <f t="shared" si="1"/>
        <v>Kathie Freeman</v>
      </c>
    </row>
    <row r="43">
      <c r="A43" s="13">
        <v>42.0</v>
      </c>
      <c r="B43" s="13" t="s">
        <v>438</v>
      </c>
      <c r="C43" s="13" t="s">
        <v>439</v>
      </c>
      <c r="D43" s="13" t="s">
        <v>18</v>
      </c>
      <c r="E43" s="13" t="s">
        <v>440</v>
      </c>
      <c r="F43" s="13" t="s">
        <v>441</v>
      </c>
      <c r="G43" s="13" t="s">
        <v>202</v>
      </c>
      <c r="H43" s="13" t="s">
        <v>16</v>
      </c>
      <c r="I43" s="13">
        <v>11418.0</v>
      </c>
      <c r="J43" s="5" t="str">
        <f t="shared" si="1"/>
        <v>Tangela Quinn</v>
      </c>
    </row>
    <row r="44">
      <c r="A44" s="13">
        <v>43.0</v>
      </c>
      <c r="B44" s="13" t="s">
        <v>442</v>
      </c>
      <c r="C44" s="13" t="s">
        <v>443</v>
      </c>
      <c r="D44" s="13" t="s">
        <v>444</v>
      </c>
      <c r="E44" s="13" t="s">
        <v>445</v>
      </c>
      <c r="F44" s="13" t="s">
        <v>446</v>
      </c>
      <c r="G44" s="13" t="s">
        <v>138</v>
      </c>
      <c r="H44" s="13" t="s">
        <v>17</v>
      </c>
      <c r="I44" s="13">
        <v>77016.0</v>
      </c>
      <c r="J44" s="5" t="str">
        <f t="shared" si="1"/>
        <v>Mozelle Carter</v>
      </c>
    </row>
    <row r="45">
      <c r="A45" s="13">
        <v>44.0</v>
      </c>
      <c r="B45" s="13" t="s">
        <v>447</v>
      </c>
      <c r="C45" s="13" t="s">
        <v>448</v>
      </c>
      <c r="D45" s="13" t="s">
        <v>18</v>
      </c>
      <c r="E45" s="13" t="s">
        <v>449</v>
      </c>
      <c r="F45" s="13" t="s">
        <v>450</v>
      </c>
      <c r="G45" s="13" t="s">
        <v>109</v>
      </c>
      <c r="H45" s="13" t="s">
        <v>16</v>
      </c>
      <c r="I45" s="13">
        <v>11003.0</v>
      </c>
      <c r="J45" s="5" t="str">
        <f t="shared" si="1"/>
        <v>Onita Johns</v>
      </c>
    </row>
    <row r="46">
      <c r="A46" s="13">
        <v>45.0</v>
      </c>
      <c r="B46" s="13" t="s">
        <v>451</v>
      </c>
      <c r="C46" s="13" t="s">
        <v>452</v>
      </c>
      <c r="D46" s="13" t="s">
        <v>18</v>
      </c>
      <c r="E46" s="13" t="s">
        <v>453</v>
      </c>
      <c r="F46" s="13" t="s">
        <v>454</v>
      </c>
      <c r="G46" s="13" t="s">
        <v>56</v>
      </c>
      <c r="H46" s="13" t="s">
        <v>16</v>
      </c>
      <c r="I46" s="13">
        <v>11714.0</v>
      </c>
      <c r="J46" s="5" t="str">
        <f t="shared" si="1"/>
        <v>Bennett Armstrong</v>
      </c>
    </row>
    <row r="47">
      <c r="A47" s="13">
        <v>46.0</v>
      </c>
      <c r="B47" s="13" t="s">
        <v>455</v>
      </c>
      <c r="C47" s="13" t="s">
        <v>456</v>
      </c>
      <c r="D47" s="13" t="s">
        <v>18</v>
      </c>
      <c r="E47" s="13" t="s">
        <v>457</v>
      </c>
      <c r="F47" s="13" t="s">
        <v>458</v>
      </c>
      <c r="G47" s="13" t="s">
        <v>110</v>
      </c>
      <c r="H47" s="13" t="s">
        <v>15</v>
      </c>
      <c r="I47" s="13">
        <v>91316.0</v>
      </c>
      <c r="J47" s="5" t="str">
        <f t="shared" si="1"/>
        <v>Monika Berg</v>
      </c>
    </row>
    <row r="48">
      <c r="A48" s="13">
        <v>47.0</v>
      </c>
      <c r="B48" s="13" t="s">
        <v>459</v>
      </c>
      <c r="C48" s="13" t="s">
        <v>460</v>
      </c>
      <c r="D48" s="13" t="s">
        <v>18</v>
      </c>
      <c r="E48" s="13" t="s">
        <v>461</v>
      </c>
      <c r="F48" s="13" t="s">
        <v>462</v>
      </c>
      <c r="G48" s="13" t="s">
        <v>218</v>
      </c>
      <c r="H48" s="13" t="s">
        <v>15</v>
      </c>
      <c r="I48" s="13">
        <v>94580.0</v>
      </c>
      <c r="J48" s="5" t="str">
        <f t="shared" si="1"/>
        <v>Bridgette Guerra</v>
      </c>
    </row>
    <row r="49">
      <c r="A49" s="13">
        <v>48.0</v>
      </c>
      <c r="B49" s="13" t="s">
        <v>463</v>
      </c>
      <c r="C49" s="13" t="s">
        <v>464</v>
      </c>
      <c r="D49" s="13" t="s">
        <v>18</v>
      </c>
      <c r="E49" s="13" t="s">
        <v>465</v>
      </c>
      <c r="F49" s="13" t="s">
        <v>466</v>
      </c>
      <c r="G49" s="13" t="s">
        <v>152</v>
      </c>
      <c r="H49" s="13" t="s">
        <v>16</v>
      </c>
      <c r="I49" s="13">
        <v>13090.0</v>
      </c>
      <c r="J49" s="5" t="str">
        <f t="shared" si="1"/>
        <v>Cesar Jackson</v>
      </c>
    </row>
    <row r="50">
      <c r="A50" s="13">
        <v>49.0</v>
      </c>
      <c r="B50" s="13" t="s">
        <v>467</v>
      </c>
      <c r="C50" s="13" t="s">
        <v>294</v>
      </c>
      <c r="D50" s="13" t="s">
        <v>18</v>
      </c>
      <c r="E50" s="13" t="s">
        <v>468</v>
      </c>
      <c r="F50" s="13" t="s">
        <v>469</v>
      </c>
      <c r="G50" s="13" t="s">
        <v>113</v>
      </c>
      <c r="H50" s="13" t="s">
        <v>16</v>
      </c>
      <c r="I50" s="13">
        <v>14450.0</v>
      </c>
      <c r="J50" s="5" t="str">
        <f t="shared" si="1"/>
        <v>Caroll Hays</v>
      </c>
    </row>
    <row r="51">
      <c r="A51" s="13">
        <v>50.0</v>
      </c>
      <c r="B51" s="13" t="s">
        <v>470</v>
      </c>
      <c r="C51" s="13" t="s">
        <v>471</v>
      </c>
      <c r="D51" s="13" t="s">
        <v>18</v>
      </c>
      <c r="E51" s="13" t="s">
        <v>472</v>
      </c>
      <c r="F51" s="13" t="s">
        <v>473</v>
      </c>
      <c r="G51" s="13" t="s">
        <v>235</v>
      </c>
      <c r="H51" s="13" t="s">
        <v>17</v>
      </c>
      <c r="I51" s="13">
        <v>77478.0</v>
      </c>
      <c r="J51" s="5" t="str">
        <f t="shared" si="1"/>
        <v>Cleotilde Booth</v>
      </c>
    </row>
    <row r="52">
      <c r="A52" s="13">
        <v>51.0</v>
      </c>
      <c r="B52" s="13" t="s">
        <v>474</v>
      </c>
      <c r="C52" s="13" t="s">
        <v>475</v>
      </c>
      <c r="D52" s="13" t="s">
        <v>18</v>
      </c>
      <c r="E52" s="13" t="s">
        <v>476</v>
      </c>
      <c r="F52" s="13" t="s">
        <v>477</v>
      </c>
      <c r="G52" s="13" t="s">
        <v>163</v>
      </c>
      <c r="H52" s="13" t="s">
        <v>16</v>
      </c>
      <c r="I52" s="13">
        <v>11566.0</v>
      </c>
      <c r="J52" s="5" t="str">
        <f t="shared" si="1"/>
        <v>Gertrud Rhodes</v>
      </c>
    </row>
    <row r="53">
      <c r="A53" s="13">
        <v>52.0</v>
      </c>
      <c r="B53" s="13" t="s">
        <v>478</v>
      </c>
      <c r="C53" s="13" t="s">
        <v>479</v>
      </c>
      <c r="D53" s="13" t="s">
        <v>18</v>
      </c>
      <c r="E53" s="13" t="s">
        <v>480</v>
      </c>
      <c r="F53" s="13" t="s">
        <v>481</v>
      </c>
      <c r="G53" s="13" t="s">
        <v>100</v>
      </c>
      <c r="H53" s="13" t="s">
        <v>16</v>
      </c>
      <c r="I53" s="13">
        <v>11369.0</v>
      </c>
      <c r="J53" s="5" t="str">
        <f t="shared" si="1"/>
        <v>Tu Ramirez</v>
      </c>
    </row>
    <row r="54">
      <c r="A54" s="13">
        <v>53.0</v>
      </c>
      <c r="B54" s="13" t="s">
        <v>482</v>
      </c>
      <c r="C54" s="13" t="s">
        <v>483</v>
      </c>
      <c r="D54" s="13" t="s">
        <v>18</v>
      </c>
      <c r="E54" s="13" t="s">
        <v>484</v>
      </c>
      <c r="F54" s="13" t="s">
        <v>485</v>
      </c>
      <c r="G54" s="13" t="s">
        <v>129</v>
      </c>
      <c r="H54" s="13" t="s">
        <v>15</v>
      </c>
      <c r="I54" s="13">
        <v>91740.0</v>
      </c>
      <c r="J54" s="5" t="str">
        <f t="shared" si="1"/>
        <v>Saturnina Garner</v>
      </c>
    </row>
    <row r="55">
      <c r="A55" s="13">
        <v>54.0</v>
      </c>
      <c r="B55" s="13" t="s">
        <v>486</v>
      </c>
      <c r="C55" s="13" t="s">
        <v>487</v>
      </c>
      <c r="D55" s="13" t="s">
        <v>18</v>
      </c>
      <c r="E55" s="13" t="s">
        <v>488</v>
      </c>
      <c r="F55" s="13" t="s">
        <v>489</v>
      </c>
      <c r="G55" s="13" t="s">
        <v>243</v>
      </c>
      <c r="H55" s="13" t="s">
        <v>16</v>
      </c>
      <c r="I55" s="13">
        <v>13501.0</v>
      </c>
      <c r="J55" s="5" t="str">
        <f t="shared" si="1"/>
        <v>Fran Yang</v>
      </c>
    </row>
    <row r="56">
      <c r="A56" s="13">
        <v>55.0</v>
      </c>
      <c r="B56" s="13" t="s">
        <v>490</v>
      </c>
      <c r="C56" s="13" t="s">
        <v>460</v>
      </c>
      <c r="D56" s="13" t="s">
        <v>18</v>
      </c>
      <c r="E56" s="13" t="s">
        <v>491</v>
      </c>
      <c r="F56" s="13" t="s">
        <v>492</v>
      </c>
      <c r="G56" s="13" t="s">
        <v>163</v>
      </c>
      <c r="H56" s="13" t="s">
        <v>16</v>
      </c>
      <c r="I56" s="13">
        <v>11566.0</v>
      </c>
      <c r="J56" s="5" t="str">
        <f t="shared" si="1"/>
        <v>Diana Guerra</v>
      </c>
    </row>
    <row r="57">
      <c r="A57" s="13">
        <v>56.0</v>
      </c>
      <c r="B57" s="13" t="s">
        <v>493</v>
      </c>
      <c r="C57" s="13" t="s">
        <v>494</v>
      </c>
      <c r="D57" s="13" t="s">
        <v>495</v>
      </c>
      <c r="E57" s="13" t="s">
        <v>496</v>
      </c>
      <c r="F57" s="13" t="s">
        <v>497</v>
      </c>
      <c r="G57" s="13" t="s">
        <v>138</v>
      </c>
      <c r="H57" s="13" t="s">
        <v>17</v>
      </c>
      <c r="I57" s="13">
        <v>77016.0</v>
      </c>
      <c r="J57" s="5" t="str">
        <f t="shared" si="1"/>
        <v>Lolita Mosley</v>
      </c>
    </row>
    <row r="58">
      <c r="A58" s="13">
        <v>57.0</v>
      </c>
      <c r="B58" s="13" t="s">
        <v>498</v>
      </c>
      <c r="C58" s="13" t="s">
        <v>499</v>
      </c>
      <c r="D58" s="13" t="s">
        <v>18</v>
      </c>
      <c r="E58" s="13" t="s">
        <v>500</v>
      </c>
      <c r="F58" s="13" t="s">
        <v>501</v>
      </c>
      <c r="G58" s="13" t="s">
        <v>60</v>
      </c>
      <c r="H58" s="13" t="s">
        <v>16</v>
      </c>
      <c r="I58" s="13">
        <v>10451.0</v>
      </c>
      <c r="J58" s="5" t="str">
        <f t="shared" si="1"/>
        <v>Pamala Henry</v>
      </c>
    </row>
    <row r="59">
      <c r="A59" s="13">
        <v>58.0</v>
      </c>
      <c r="B59" s="13" t="s">
        <v>502</v>
      </c>
      <c r="C59" s="13" t="s">
        <v>503</v>
      </c>
      <c r="D59" s="13" t="s">
        <v>18</v>
      </c>
      <c r="E59" s="13" t="s">
        <v>504</v>
      </c>
      <c r="F59" s="13" t="s">
        <v>505</v>
      </c>
      <c r="G59" s="13" t="s">
        <v>76</v>
      </c>
      <c r="H59" s="13" t="s">
        <v>16</v>
      </c>
      <c r="I59" s="13">
        <v>11722.0</v>
      </c>
      <c r="J59" s="5" t="str">
        <f t="shared" si="1"/>
        <v>Damien Dorsey</v>
      </c>
    </row>
    <row r="60">
      <c r="A60" s="13">
        <v>59.0</v>
      </c>
      <c r="B60" s="13" t="s">
        <v>293</v>
      </c>
      <c r="C60" s="13" t="s">
        <v>506</v>
      </c>
      <c r="D60" s="13" t="s">
        <v>18</v>
      </c>
      <c r="E60" s="13" t="s">
        <v>507</v>
      </c>
      <c r="F60" s="13" t="s">
        <v>508</v>
      </c>
      <c r="G60" s="13" t="s">
        <v>206</v>
      </c>
      <c r="H60" s="13" t="s">
        <v>16</v>
      </c>
      <c r="I60" s="13">
        <v>11570.0</v>
      </c>
      <c r="J60" s="5" t="str">
        <f t="shared" si="1"/>
        <v>Latasha Stanley</v>
      </c>
    </row>
    <row r="61">
      <c r="A61" s="13">
        <v>60.0</v>
      </c>
      <c r="B61" s="13" t="s">
        <v>509</v>
      </c>
      <c r="C61" s="13" t="s">
        <v>510</v>
      </c>
      <c r="D61" s="13" t="s">
        <v>18</v>
      </c>
      <c r="E61" s="13" t="s">
        <v>511</v>
      </c>
      <c r="F61" s="13" t="s">
        <v>512</v>
      </c>
      <c r="G61" s="13" t="s">
        <v>215</v>
      </c>
      <c r="H61" s="13" t="s">
        <v>15</v>
      </c>
      <c r="I61" s="13">
        <v>94070.0</v>
      </c>
      <c r="J61" s="5" t="str">
        <f t="shared" si="1"/>
        <v>Neil Mccall</v>
      </c>
    </row>
    <row r="62">
      <c r="A62" s="13">
        <v>61.0</v>
      </c>
      <c r="B62" s="13" t="s">
        <v>513</v>
      </c>
      <c r="C62" s="13" t="s">
        <v>514</v>
      </c>
      <c r="D62" s="13" t="s">
        <v>18</v>
      </c>
      <c r="E62" s="13" t="s">
        <v>515</v>
      </c>
      <c r="F62" s="13" t="s">
        <v>516</v>
      </c>
      <c r="G62" s="13" t="s">
        <v>213</v>
      </c>
      <c r="H62" s="13" t="s">
        <v>17</v>
      </c>
      <c r="I62" s="13">
        <v>76901.0</v>
      </c>
      <c r="J62" s="5" t="str">
        <f t="shared" si="1"/>
        <v>Elinore Aguilar</v>
      </c>
    </row>
    <row r="63">
      <c r="A63" s="13">
        <v>62.0</v>
      </c>
      <c r="B63" s="13" t="s">
        <v>517</v>
      </c>
      <c r="C63" s="13" t="s">
        <v>518</v>
      </c>
      <c r="D63" s="13" t="s">
        <v>18</v>
      </c>
      <c r="E63" s="13" t="s">
        <v>519</v>
      </c>
      <c r="F63" s="13" t="s">
        <v>520</v>
      </c>
      <c r="G63" s="13" t="s">
        <v>100</v>
      </c>
      <c r="H63" s="13" t="s">
        <v>16</v>
      </c>
      <c r="I63" s="13">
        <v>11369.0</v>
      </c>
      <c r="J63" s="5" t="str">
        <f t="shared" si="1"/>
        <v>Alica Hunter</v>
      </c>
    </row>
    <row r="64">
      <c r="A64" s="13">
        <v>63.0</v>
      </c>
      <c r="B64" s="13" t="s">
        <v>521</v>
      </c>
      <c r="C64" s="13" t="s">
        <v>522</v>
      </c>
      <c r="D64" s="13" t="s">
        <v>18</v>
      </c>
      <c r="E64" s="13" t="s">
        <v>523</v>
      </c>
      <c r="F64" s="13" t="s">
        <v>524</v>
      </c>
      <c r="G64" s="13" t="s">
        <v>29</v>
      </c>
      <c r="H64" s="13" t="s">
        <v>16</v>
      </c>
      <c r="I64" s="13">
        <v>11701.0</v>
      </c>
      <c r="J64" s="5" t="str">
        <f t="shared" si="1"/>
        <v>Tenisha Lyons</v>
      </c>
    </row>
    <row r="65">
      <c r="A65" s="13">
        <v>64.0</v>
      </c>
      <c r="B65" s="13" t="s">
        <v>525</v>
      </c>
      <c r="C65" s="13" t="s">
        <v>526</v>
      </c>
      <c r="D65" s="13" t="s">
        <v>18</v>
      </c>
      <c r="E65" s="13" t="s">
        <v>527</v>
      </c>
      <c r="F65" s="13" t="s">
        <v>528</v>
      </c>
      <c r="G65" s="13" t="s">
        <v>96</v>
      </c>
      <c r="H65" s="13" t="s">
        <v>17</v>
      </c>
      <c r="I65" s="13">
        <v>75115.0</v>
      </c>
      <c r="J65" s="5" t="str">
        <f t="shared" si="1"/>
        <v>Bobbie Foster</v>
      </c>
    </row>
    <row r="66">
      <c r="A66" s="13">
        <v>65.0</v>
      </c>
      <c r="B66" s="13" t="s">
        <v>529</v>
      </c>
      <c r="C66" s="13" t="s">
        <v>530</v>
      </c>
      <c r="D66" s="13" t="s">
        <v>18</v>
      </c>
      <c r="E66" s="13" t="s">
        <v>531</v>
      </c>
      <c r="F66" s="13" t="s">
        <v>532</v>
      </c>
      <c r="G66" s="13" t="s">
        <v>207</v>
      </c>
      <c r="H66" s="13" t="s">
        <v>16</v>
      </c>
      <c r="I66" s="13">
        <v>13440.0</v>
      </c>
      <c r="J66" s="5" t="str">
        <f t="shared" si="1"/>
        <v>Kanesha Vega</v>
      </c>
    </row>
    <row r="67">
      <c r="A67" s="13">
        <v>66.0</v>
      </c>
      <c r="B67" s="13" t="s">
        <v>533</v>
      </c>
      <c r="C67" s="13" t="s">
        <v>534</v>
      </c>
      <c r="D67" s="13" t="s">
        <v>18</v>
      </c>
      <c r="E67" s="13" t="s">
        <v>535</v>
      </c>
      <c r="F67" s="13" t="s">
        <v>536</v>
      </c>
      <c r="G67" s="13" t="s">
        <v>127</v>
      </c>
      <c r="H67" s="13" t="s">
        <v>17</v>
      </c>
      <c r="I67" s="13">
        <v>75043.0</v>
      </c>
      <c r="J67" s="5" t="str">
        <f t="shared" si="1"/>
        <v>Lorrie Becker</v>
      </c>
    </row>
    <row r="68">
      <c r="A68" s="13">
        <v>67.0</v>
      </c>
      <c r="B68" s="13" t="s">
        <v>537</v>
      </c>
      <c r="C68" s="13" t="s">
        <v>538</v>
      </c>
      <c r="D68" s="13" t="s">
        <v>539</v>
      </c>
      <c r="E68" s="13" t="s">
        <v>540</v>
      </c>
      <c r="F68" s="13" t="s">
        <v>541</v>
      </c>
      <c r="G68" s="13" t="s">
        <v>211</v>
      </c>
      <c r="H68" s="13" t="s">
        <v>15</v>
      </c>
      <c r="I68" s="13">
        <v>95820.0</v>
      </c>
      <c r="J68" s="5" t="str">
        <f t="shared" si="1"/>
        <v>Tommie Melton</v>
      </c>
    </row>
    <row r="69">
      <c r="A69" s="13">
        <v>68.0</v>
      </c>
      <c r="B69" s="13" t="s">
        <v>542</v>
      </c>
      <c r="C69" s="13" t="s">
        <v>543</v>
      </c>
      <c r="D69" s="13" t="s">
        <v>18</v>
      </c>
      <c r="E69" s="13" t="s">
        <v>544</v>
      </c>
      <c r="F69" s="13" t="s">
        <v>545</v>
      </c>
      <c r="G69" s="13" t="s">
        <v>210</v>
      </c>
      <c r="H69" s="13" t="s">
        <v>17</v>
      </c>
      <c r="I69" s="13">
        <v>75088.0</v>
      </c>
      <c r="J69" s="5" t="str">
        <f t="shared" si="1"/>
        <v>Jayne Kirkland</v>
      </c>
    </row>
    <row r="70">
      <c r="A70" s="13">
        <v>69.0</v>
      </c>
      <c r="B70" s="13" t="s">
        <v>546</v>
      </c>
      <c r="C70" s="13" t="s">
        <v>547</v>
      </c>
      <c r="D70" s="13" t="s">
        <v>18</v>
      </c>
      <c r="E70" s="13" t="s">
        <v>548</v>
      </c>
      <c r="F70" s="13" t="s">
        <v>549</v>
      </c>
      <c r="G70" s="13" t="s">
        <v>205</v>
      </c>
      <c r="H70" s="13" t="s">
        <v>15</v>
      </c>
      <c r="I70" s="13">
        <v>95677.0</v>
      </c>
      <c r="J70" s="5" t="str">
        <f t="shared" si="1"/>
        <v>Katelin Kennedy</v>
      </c>
    </row>
    <row r="71">
      <c r="A71" s="13">
        <v>70.0</v>
      </c>
      <c r="B71" s="13" t="s">
        <v>550</v>
      </c>
      <c r="C71" s="13" t="s">
        <v>551</v>
      </c>
      <c r="D71" s="13" t="s">
        <v>18</v>
      </c>
      <c r="E71" s="13" t="s">
        <v>552</v>
      </c>
      <c r="F71" s="13" t="s">
        <v>553</v>
      </c>
      <c r="G71" s="13" t="s">
        <v>100</v>
      </c>
      <c r="H71" s="13" t="s">
        <v>16</v>
      </c>
      <c r="I71" s="13">
        <v>11369.0</v>
      </c>
      <c r="J71" s="5" t="str">
        <f t="shared" si="1"/>
        <v>Tomasa Carson</v>
      </c>
    </row>
    <row r="72">
      <c r="A72" s="13">
        <v>71.0</v>
      </c>
      <c r="B72" s="13" t="s">
        <v>554</v>
      </c>
      <c r="C72" s="13" t="s">
        <v>555</v>
      </c>
      <c r="D72" s="13" t="s">
        <v>18</v>
      </c>
      <c r="E72" s="13" t="s">
        <v>556</v>
      </c>
      <c r="F72" s="13" t="s">
        <v>557</v>
      </c>
      <c r="G72" s="13" t="s">
        <v>60</v>
      </c>
      <c r="H72" s="13" t="s">
        <v>16</v>
      </c>
      <c r="I72" s="13">
        <v>10451.0</v>
      </c>
      <c r="J72" s="5" t="str">
        <f t="shared" si="1"/>
        <v>Takako Casey</v>
      </c>
    </row>
    <row r="73">
      <c r="A73" s="13">
        <v>72.0</v>
      </c>
      <c r="B73" s="13" t="s">
        <v>558</v>
      </c>
      <c r="C73" s="13" t="s">
        <v>559</v>
      </c>
      <c r="D73" s="13" t="s">
        <v>18</v>
      </c>
      <c r="E73" s="13" t="s">
        <v>560</v>
      </c>
      <c r="F73" s="13" t="s">
        <v>561</v>
      </c>
      <c r="G73" s="13" t="s">
        <v>229</v>
      </c>
      <c r="H73" s="13" t="s">
        <v>15</v>
      </c>
      <c r="I73" s="13">
        <v>91733.0</v>
      </c>
      <c r="J73" s="5" t="str">
        <f t="shared" si="1"/>
        <v>Petronila Norris</v>
      </c>
    </row>
    <row r="74">
      <c r="A74" s="13">
        <v>73.0</v>
      </c>
      <c r="B74" s="13" t="s">
        <v>562</v>
      </c>
      <c r="C74" s="13" t="s">
        <v>563</v>
      </c>
      <c r="D74" s="13" t="s">
        <v>18</v>
      </c>
      <c r="E74" s="13" t="s">
        <v>564</v>
      </c>
      <c r="F74" s="13" t="s">
        <v>565</v>
      </c>
      <c r="G74" s="13" t="s">
        <v>152</v>
      </c>
      <c r="H74" s="13" t="s">
        <v>16</v>
      </c>
      <c r="I74" s="13">
        <v>13090.0</v>
      </c>
      <c r="J74" s="5" t="str">
        <f t="shared" si="1"/>
        <v>Melanie Hayes</v>
      </c>
    </row>
    <row r="75">
      <c r="A75" s="13">
        <v>74.0</v>
      </c>
      <c r="B75" s="13" t="s">
        <v>566</v>
      </c>
      <c r="C75" s="13" t="s">
        <v>567</v>
      </c>
      <c r="D75" s="13" t="s">
        <v>18</v>
      </c>
      <c r="E75" s="13" t="s">
        <v>568</v>
      </c>
      <c r="F75" s="13" t="s">
        <v>569</v>
      </c>
      <c r="G75" s="13" t="s">
        <v>177</v>
      </c>
      <c r="H75" s="13" t="s">
        <v>16</v>
      </c>
      <c r="I75" s="13">
        <v>14120.0</v>
      </c>
      <c r="J75" s="5" t="str">
        <f t="shared" si="1"/>
        <v>Georgeann Waller</v>
      </c>
    </row>
    <row r="76">
      <c r="A76" s="13">
        <v>75.0</v>
      </c>
      <c r="B76" s="13" t="s">
        <v>570</v>
      </c>
      <c r="C76" s="13" t="s">
        <v>571</v>
      </c>
      <c r="D76" s="13" t="s">
        <v>18</v>
      </c>
      <c r="E76" s="13" t="s">
        <v>572</v>
      </c>
      <c r="F76" s="13" t="s">
        <v>573</v>
      </c>
      <c r="G76" s="13" t="s">
        <v>29</v>
      </c>
      <c r="H76" s="13" t="s">
        <v>16</v>
      </c>
      <c r="I76" s="13">
        <v>11701.0</v>
      </c>
      <c r="J76" s="5" t="str">
        <f t="shared" si="1"/>
        <v>Abby Gamble</v>
      </c>
    </row>
    <row r="77">
      <c r="A77" s="13">
        <v>76.0</v>
      </c>
      <c r="B77" s="13" t="s">
        <v>574</v>
      </c>
      <c r="C77" s="13" t="s">
        <v>575</v>
      </c>
      <c r="D77" s="13" t="s">
        <v>18</v>
      </c>
      <c r="E77" s="13" t="s">
        <v>576</v>
      </c>
      <c r="F77" s="13" t="s">
        <v>577</v>
      </c>
      <c r="G77" s="13" t="s">
        <v>195</v>
      </c>
      <c r="H77" s="13" t="s">
        <v>16</v>
      </c>
      <c r="I77" s="13">
        <v>11776.0</v>
      </c>
      <c r="J77" s="5" t="str">
        <f t="shared" si="1"/>
        <v>Parker Prince</v>
      </c>
    </row>
    <row r="78">
      <c r="A78" s="13">
        <v>77.0</v>
      </c>
      <c r="B78" s="13" t="s">
        <v>578</v>
      </c>
      <c r="C78" s="13" t="s">
        <v>579</v>
      </c>
      <c r="D78" s="13" t="s">
        <v>18</v>
      </c>
      <c r="E78" s="13" t="s">
        <v>580</v>
      </c>
      <c r="F78" s="13" t="s">
        <v>581</v>
      </c>
      <c r="G78" s="13" t="s">
        <v>201</v>
      </c>
      <c r="H78" s="13" t="s">
        <v>17</v>
      </c>
      <c r="I78" s="13">
        <v>75080.0</v>
      </c>
      <c r="J78" s="5" t="str">
        <f t="shared" si="1"/>
        <v>Keri Bridges</v>
      </c>
    </row>
    <row r="79">
      <c r="A79" s="13">
        <v>78.0</v>
      </c>
      <c r="B79" s="13" t="s">
        <v>582</v>
      </c>
      <c r="C79" s="13" t="s">
        <v>583</v>
      </c>
      <c r="D79" s="13" t="s">
        <v>18</v>
      </c>
      <c r="E79" s="13" t="s">
        <v>584</v>
      </c>
      <c r="F79" s="13" t="s">
        <v>585</v>
      </c>
      <c r="G79" s="13" t="s">
        <v>187</v>
      </c>
      <c r="H79" s="13" t="s">
        <v>15</v>
      </c>
      <c r="I79" s="13">
        <v>90274.0</v>
      </c>
      <c r="J79" s="5" t="str">
        <f t="shared" si="1"/>
        <v>Chi Goff</v>
      </c>
    </row>
    <row r="80">
      <c r="A80" s="13">
        <v>79.0</v>
      </c>
      <c r="B80" s="13" t="s">
        <v>586</v>
      </c>
      <c r="C80" s="13" t="s">
        <v>587</v>
      </c>
      <c r="D80" s="13" t="s">
        <v>18</v>
      </c>
      <c r="E80" s="13" t="s">
        <v>588</v>
      </c>
      <c r="F80" s="13" t="s">
        <v>589</v>
      </c>
      <c r="G80" s="13" t="s">
        <v>42</v>
      </c>
      <c r="H80" s="13" t="s">
        <v>16</v>
      </c>
      <c r="I80" s="13">
        <v>11510.0</v>
      </c>
      <c r="J80" s="5" t="str">
        <f t="shared" si="1"/>
        <v>Ashanti Parks</v>
      </c>
    </row>
    <row r="81">
      <c r="A81" s="13">
        <v>80.0</v>
      </c>
      <c r="B81" s="13" t="s">
        <v>590</v>
      </c>
      <c r="C81" s="13" t="s">
        <v>591</v>
      </c>
      <c r="D81" s="13" t="s">
        <v>592</v>
      </c>
      <c r="E81" s="13" t="s">
        <v>593</v>
      </c>
      <c r="F81" s="13" t="s">
        <v>594</v>
      </c>
      <c r="G81" s="13" t="s">
        <v>64</v>
      </c>
      <c r="H81" s="13" t="s">
        <v>16</v>
      </c>
      <c r="I81" s="13">
        <v>14215.0</v>
      </c>
      <c r="J81" s="5" t="str">
        <f t="shared" si="1"/>
        <v>Sarai Mckee</v>
      </c>
    </row>
    <row r="82">
      <c r="A82" s="13">
        <v>81.0</v>
      </c>
      <c r="B82" s="13" t="s">
        <v>595</v>
      </c>
      <c r="C82" s="13" t="s">
        <v>596</v>
      </c>
      <c r="D82" s="13" t="s">
        <v>18</v>
      </c>
      <c r="E82" s="13" t="s">
        <v>597</v>
      </c>
      <c r="F82" s="13" t="s">
        <v>598</v>
      </c>
      <c r="G82" s="13" t="s">
        <v>218</v>
      </c>
      <c r="H82" s="13" t="s">
        <v>15</v>
      </c>
      <c r="I82" s="13">
        <v>94580.0</v>
      </c>
      <c r="J82" s="5" t="str">
        <f t="shared" si="1"/>
        <v>Zina Bonner</v>
      </c>
    </row>
    <row r="83">
      <c r="A83" s="13">
        <v>82.0</v>
      </c>
      <c r="B83" s="13" t="s">
        <v>599</v>
      </c>
      <c r="C83" s="13" t="s">
        <v>600</v>
      </c>
      <c r="D83" s="13" t="s">
        <v>18</v>
      </c>
      <c r="E83" s="13" t="s">
        <v>601</v>
      </c>
      <c r="F83" s="13" t="s">
        <v>602</v>
      </c>
      <c r="G83" s="13" t="s">
        <v>80</v>
      </c>
      <c r="H83" s="13" t="s">
        <v>15</v>
      </c>
      <c r="I83" s="13">
        <v>92236.0</v>
      </c>
      <c r="J83" s="5" t="str">
        <f t="shared" si="1"/>
        <v>Lizzie Joyner</v>
      </c>
    </row>
    <row r="84">
      <c r="A84" s="13">
        <v>83.0</v>
      </c>
      <c r="B84" s="13" t="s">
        <v>603</v>
      </c>
      <c r="C84" s="13" t="s">
        <v>604</v>
      </c>
      <c r="D84" s="13" t="s">
        <v>18</v>
      </c>
      <c r="E84" s="13" t="s">
        <v>605</v>
      </c>
      <c r="F84" s="13" t="s">
        <v>606</v>
      </c>
      <c r="G84" s="13" t="s">
        <v>224</v>
      </c>
      <c r="H84" s="13" t="s">
        <v>16</v>
      </c>
      <c r="I84" s="13">
        <v>10583.0</v>
      </c>
      <c r="J84" s="5" t="str">
        <f t="shared" si="1"/>
        <v>Tiesha Daniel</v>
      </c>
    </row>
    <row r="85">
      <c r="A85" s="13">
        <v>84.0</v>
      </c>
      <c r="B85" s="13" t="s">
        <v>607</v>
      </c>
      <c r="C85" s="13" t="s">
        <v>608</v>
      </c>
      <c r="D85" s="13" t="s">
        <v>18</v>
      </c>
      <c r="E85" s="13" t="s">
        <v>609</v>
      </c>
      <c r="F85" s="13" t="s">
        <v>610</v>
      </c>
      <c r="G85" s="13" t="s">
        <v>151</v>
      </c>
      <c r="H85" s="13" t="s">
        <v>16</v>
      </c>
      <c r="I85" s="13">
        <v>11757.0</v>
      </c>
      <c r="J85" s="5" t="str">
        <f t="shared" si="1"/>
        <v>Armand Whitehead</v>
      </c>
    </row>
    <row r="86">
      <c r="A86" s="13">
        <v>85.0</v>
      </c>
      <c r="B86" s="13" t="s">
        <v>611</v>
      </c>
      <c r="C86" s="13" t="s">
        <v>612</v>
      </c>
      <c r="D86" s="13" t="s">
        <v>18</v>
      </c>
      <c r="E86" s="13" t="s">
        <v>613</v>
      </c>
      <c r="F86" s="13" t="s">
        <v>614</v>
      </c>
      <c r="G86" s="13" t="s">
        <v>141</v>
      </c>
      <c r="H86" s="13" t="s">
        <v>16</v>
      </c>
      <c r="I86" s="13">
        <v>11746.0</v>
      </c>
      <c r="J86" s="5" t="str">
        <f t="shared" si="1"/>
        <v>Teofila Fischer</v>
      </c>
    </row>
    <row r="87">
      <c r="A87" s="13">
        <v>86.0</v>
      </c>
      <c r="B87" s="13" t="s">
        <v>615</v>
      </c>
      <c r="C87" s="13" t="s">
        <v>616</v>
      </c>
      <c r="D87" s="13" t="s">
        <v>18</v>
      </c>
      <c r="E87" s="13" t="s">
        <v>617</v>
      </c>
      <c r="F87" s="13" t="s">
        <v>618</v>
      </c>
      <c r="G87" s="13" t="s">
        <v>184</v>
      </c>
      <c r="H87" s="13" t="s">
        <v>16</v>
      </c>
      <c r="I87" s="13">
        <v>13126.0</v>
      </c>
      <c r="J87" s="5" t="str">
        <f t="shared" si="1"/>
        <v>Lissa Vargas</v>
      </c>
    </row>
    <row r="88">
      <c r="A88" s="13">
        <v>87.0</v>
      </c>
      <c r="B88" s="13" t="s">
        <v>619</v>
      </c>
      <c r="C88" s="13" t="s">
        <v>620</v>
      </c>
      <c r="D88" s="13" t="s">
        <v>18</v>
      </c>
      <c r="E88" s="13" t="s">
        <v>621</v>
      </c>
      <c r="F88" s="13" t="s">
        <v>622</v>
      </c>
      <c r="G88" s="13" t="s">
        <v>98</v>
      </c>
      <c r="H88" s="13" t="s">
        <v>15</v>
      </c>
      <c r="I88" s="13">
        <v>91010.0</v>
      </c>
      <c r="J88" s="5" t="str">
        <f t="shared" si="1"/>
        <v>Yan Mcgowan</v>
      </c>
    </row>
    <row r="89">
      <c r="A89" s="13">
        <v>88.0</v>
      </c>
      <c r="B89" s="13" t="s">
        <v>623</v>
      </c>
      <c r="C89" s="13" t="s">
        <v>624</v>
      </c>
      <c r="D89" s="13" t="s">
        <v>18</v>
      </c>
      <c r="E89" s="13" t="s">
        <v>625</v>
      </c>
      <c r="F89" s="13" t="s">
        <v>626</v>
      </c>
      <c r="G89" s="13" t="s">
        <v>136</v>
      </c>
      <c r="H89" s="13" t="s">
        <v>16</v>
      </c>
      <c r="I89" s="13">
        <v>11423.0</v>
      </c>
      <c r="J89" s="5" t="str">
        <f t="shared" si="1"/>
        <v>Titus Bullock</v>
      </c>
    </row>
    <row r="90">
      <c r="A90" s="13">
        <v>89.0</v>
      </c>
      <c r="B90" s="13" t="s">
        <v>627</v>
      </c>
      <c r="C90" s="13" t="s">
        <v>628</v>
      </c>
      <c r="D90" s="13" t="s">
        <v>18</v>
      </c>
      <c r="E90" s="13" t="s">
        <v>629</v>
      </c>
      <c r="F90" s="13" t="s">
        <v>630</v>
      </c>
      <c r="G90" s="13" t="s">
        <v>242</v>
      </c>
      <c r="H90" s="13" t="s">
        <v>15</v>
      </c>
      <c r="I90" s="13">
        <v>91784.0</v>
      </c>
      <c r="J90" s="5" t="str">
        <f t="shared" si="1"/>
        <v>Arvilla Osborn</v>
      </c>
    </row>
    <row r="91">
      <c r="A91" s="13">
        <v>90.0</v>
      </c>
      <c r="B91" s="13" t="s">
        <v>631</v>
      </c>
      <c r="C91" s="13" t="s">
        <v>632</v>
      </c>
      <c r="D91" s="13" t="s">
        <v>18</v>
      </c>
      <c r="E91" s="13" t="s">
        <v>633</v>
      </c>
      <c r="F91" s="13" t="s">
        <v>634</v>
      </c>
      <c r="G91" s="13" t="s">
        <v>121</v>
      </c>
      <c r="H91" s="13" t="s">
        <v>16</v>
      </c>
      <c r="I91" s="13">
        <v>11010.0</v>
      </c>
      <c r="J91" s="5" t="str">
        <f t="shared" si="1"/>
        <v>Marjorie Logan</v>
      </c>
    </row>
    <row r="92">
      <c r="A92" s="13">
        <v>91.0</v>
      </c>
      <c r="B92" s="13" t="s">
        <v>635</v>
      </c>
      <c r="C92" s="13" t="s">
        <v>636</v>
      </c>
      <c r="D92" s="13" t="s">
        <v>637</v>
      </c>
      <c r="E92" s="13" t="s">
        <v>638</v>
      </c>
      <c r="F92" s="13" t="s">
        <v>639</v>
      </c>
      <c r="G92" s="13" t="s">
        <v>216</v>
      </c>
      <c r="H92" s="13" t="s">
        <v>15</v>
      </c>
      <c r="I92" s="13">
        <v>92111.0</v>
      </c>
      <c r="J92" s="5" t="str">
        <f t="shared" si="1"/>
        <v>Marvin Mullins</v>
      </c>
    </row>
    <row r="93">
      <c r="A93" s="13">
        <v>92.0</v>
      </c>
      <c r="B93" s="13" t="s">
        <v>640</v>
      </c>
      <c r="C93" s="13" t="s">
        <v>641</v>
      </c>
      <c r="D93" s="13" t="s">
        <v>18</v>
      </c>
      <c r="E93" s="13" t="s">
        <v>642</v>
      </c>
      <c r="F93" s="13" t="s">
        <v>643</v>
      </c>
      <c r="G93" s="13" t="s">
        <v>115</v>
      </c>
      <c r="H93" s="13" t="s">
        <v>16</v>
      </c>
      <c r="I93" s="13">
        <v>11735.0</v>
      </c>
      <c r="J93" s="5" t="str">
        <f t="shared" si="1"/>
        <v>Tena Cruz</v>
      </c>
    </row>
    <row r="94">
      <c r="A94" s="13">
        <v>93.0</v>
      </c>
      <c r="B94" s="13" t="s">
        <v>644</v>
      </c>
      <c r="C94" s="13" t="s">
        <v>645</v>
      </c>
      <c r="D94" s="13" t="s">
        <v>646</v>
      </c>
      <c r="E94" s="13" t="s">
        <v>647</v>
      </c>
      <c r="F94" s="13" t="s">
        <v>648</v>
      </c>
      <c r="G94" s="13" t="s">
        <v>240</v>
      </c>
      <c r="H94" s="13" t="s">
        <v>16</v>
      </c>
      <c r="I94" s="13">
        <v>12180.0</v>
      </c>
      <c r="J94" s="5" t="str">
        <f t="shared" si="1"/>
        <v>Corrina Sawyer</v>
      </c>
    </row>
    <row r="95">
      <c r="A95" s="13">
        <v>94.0</v>
      </c>
      <c r="B95" s="13" t="s">
        <v>649</v>
      </c>
      <c r="C95" s="13" t="s">
        <v>650</v>
      </c>
      <c r="D95" s="13" t="s">
        <v>18</v>
      </c>
      <c r="E95" s="13" t="s">
        <v>651</v>
      </c>
      <c r="F95" s="13" t="s">
        <v>652</v>
      </c>
      <c r="G95" s="13" t="s">
        <v>44</v>
      </c>
      <c r="H95" s="13" t="s">
        <v>16</v>
      </c>
      <c r="I95" s="13">
        <v>13027.0</v>
      </c>
      <c r="J95" s="5" t="str">
        <f t="shared" si="1"/>
        <v>Sharyn Hopkins</v>
      </c>
    </row>
    <row r="96">
      <c r="A96" s="13">
        <v>95.0</v>
      </c>
      <c r="B96" s="13" t="s">
        <v>653</v>
      </c>
      <c r="C96" s="13" t="s">
        <v>654</v>
      </c>
      <c r="D96" s="13" t="s">
        <v>18</v>
      </c>
      <c r="E96" s="13" t="s">
        <v>655</v>
      </c>
      <c r="F96" s="13" t="s">
        <v>656</v>
      </c>
      <c r="G96" s="13" t="s">
        <v>223</v>
      </c>
      <c r="H96" s="13" t="s">
        <v>16</v>
      </c>
      <c r="I96" s="13">
        <v>12866.0</v>
      </c>
      <c r="J96" s="5" t="str">
        <f t="shared" si="1"/>
        <v>Letitia Franco</v>
      </c>
    </row>
    <row r="97">
      <c r="A97" s="13">
        <v>96.0</v>
      </c>
      <c r="B97" s="13" t="s">
        <v>657</v>
      </c>
      <c r="C97" s="13" t="s">
        <v>658</v>
      </c>
      <c r="D97" s="13" t="s">
        <v>18</v>
      </c>
      <c r="E97" s="13" t="s">
        <v>659</v>
      </c>
      <c r="F97" s="13" t="s">
        <v>660</v>
      </c>
      <c r="G97" s="13" t="s">
        <v>52</v>
      </c>
      <c r="H97" s="13" t="s">
        <v>16</v>
      </c>
      <c r="I97" s="13">
        <v>11361.0</v>
      </c>
      <c r="J97" s="5" t="str">
        <f t="shared" si="1"/>
        <v>Floretta Higgins</v>
      </c>
    </row>
    <row r="98">
      <c r="A98" s="13">
        <v>97.0</v>
      </c>
      <c r="B98" s="13" t="s">
        <v>661</v>
      </c>
      <c r="C98" s="13" t="s">
        <v>662</v>
      </c>
      <c r="D98" s="13" t="s">
        <v>18</v>
      </c>
      <c r="E98" s="13" t="s">
        <v>663</v>
      </c>
      <c r="F98" s="13" t="s">
        <v>664</v>
      </c>
      <c r="G98" s="13" t="s">
        <v>259</v>
      </c>
      <c r="H98" s="13" t="s">
        <v>15</v>
      </c>
      <c r="I98" s="13">
        <v>95993.0</v>
      </c>
      <c r="J98" s="5" t="str">
        <f t="shared" si="1"/>
        <v>Louanne Martin</v>
      </c>
    </row>
    <row r="99">
      <c r="A99" s="13">
        <v>98.0</v>
      </c>
      <c r="B99" s="13" t="s">
        <v>665</v>
      </c>
      <c r="C99" s="13" t="s">
        <v>666</v>
      </c>
      <c r="D99" s="13" t="s">
        <v>18</v>
      </c>
      <c r="E99" s="13" t="s">
        <v>667</v>
      </c>
      <c r="F99" s="13" t="s">
        <v>668</v>
      </c>
      <c r="G99" s="13" t="s">
        <v>191</v>
      </c>
      <c r="H99" s="13" t="s">
        <v>16</v>
      </c>
      <c r="I99" s="13">
        <v>12901.0</v>
      </c>
      <c r="J99" s="5" t="str">
        <f t="shared" si="1"/>
        <v>Violet Valenzuela</v>
      </c>
    </row>
    <row r="100">
      <c r="A100" s="13">
        <v>99.0</v>
      </c>
      <c r="B100" s="13" t="s">
        <v>669</v>
      </c>
      <c r="C100" s="13" t="s">
        <v>670</v>
      </c>
      <c r="D100" s="13" t="s">
        <v>18</v>
      </c>
      <c r="E100" s="13" t="s">
        <v>671</v>
      </c>
      <c r="F100" s="13" t="s">
        <v>672</v>
      </c>
      <c r="G100" s="13" t="s">
        <v>165</v>
      </c>
      <c r="H100" s="13" t="s">
        <v>16</v>
      </c>
      <c r="I100" s="13">
        <v>10950.0</v>
      </c>
      <c r="J100" s="5" t="str">
        <f t="shared" si="1"/>
        <v>Carie Kidd</v>
      </c>
    </row>
    <row r="101">
      <c r="A101" s="13">
        <v>100.0</v>
      </c>
      <c r="B101" s="13" t="s">
        <v>673</v>
      </c>
      <c r="C101" s="13" t="s">
        <v>654</v>
      </c>
      <c r="D101" s="13" t="s">
        <v>18</v>
      </c>
      <c r="E101" s="13" t="s">
        <v>674</v>
      </c>
      <c r="F101" s="13" t="s">
        <v>675</v>
      </c>
      <c r="G101" s="13" t="s">
        <v>82</v>
      </c>
      <c r="H101" s="13" t="s">
        <v>16</v>
      </c>
      <c r="I101" s="13">
        <v>11725.0</v>
      </c>
      <c r="J101" s="5" t="str">
        <f t="shared" si="1"/>
        <v>Kellie Franco</v>
      </c>
    </row>
    <row r="102">
      <c r="A102" s="13">
        <v>101.0</v>
      </c>
      <c r="B102" s="13" t="s">
        <v>676</v>
      </c>
      <c r="C102" s="13" t="s">
        <v>677</v>
      </c>
      <c r="D102" s="13" t="s">
        <v>18</v>
      </c>
      <c r="E102" s="13" t="s">
        <v>678</v>
      </c>
      <c r="F102" s="13" t="s">
        <v>679</v>
      </c>
      <c r="G102" s="13" t="s">
        <v>224</v>
      </c>
      <c r="H102" s="13" t="s">
        <v>16</v>
      </c>
      <c r="I102" s="13">
        <v>10583.0</v>
      </c>
      <c r="J102" s="5" t="str">
        <f t="shared" si="1"/>
        <v>Nichelle Howell</v>
      </c>
    </row>
    <row r="103">
      <c r="A103" s="13">
        <v>102.0</v>
      </c>
      <c r="B103" s="13" t="s">
        <v>680</v>
      </c>
      <c r="C103" s="13" t="s">
        <v>681</v>
      </c>
      <c r="D103" s="13" t="s">
        <v>18</v>
      </c>
      <c r="E103" s="13" t="s">
        <v>682</v>
      </c>
      <c r="F103" s="13" t="s">
        <v>683</v>
      </c>
      <c r="G103" s="13" t="s">
        <v>68</v>
      </c>
      <c r="H103" s="13" t="s">
        <v>16</v>
      </c>
      <c r="I103" s="13">
        <v>14424.0</v>
      </c>
      <c r="J103" s="5" t="str">
        <f t="shared" si="1"/>
        <v>Marisol Goodman</v>
      </c>
    </row>
    <row r="104">
      <c r="A104" s="13">
        <v>103.0</v>
      </c>
      <c r="B104" s="13" t="s">
        <v>684</v>
      </c>
      <c r="C104" s="13" t="s">
        <v>685</v>
      </c>
      <c r="D104" s="13" t="s">
        <v>18</v>
      </c>
      <c r="E104" s="13" t="s">
        <v>686</v>
      </c>
      <c r="F104" s="13" t="s">
        <v>687</v>
      </c>
      <c r="G104" s="13" t="s">
        <v>237</v>
      </c>
      <c r="H104" s="13" t="s">
        <v>16</v>
      </c>
      <c r="I104" s="13">
        <v>11791.0</v>
      </c>
      <c r="J104" s="5" t="str">
        <f t="shared" si="1"/>
        <v>Sylvie Wilkerson</v>
      </c>
    </row>
    <row r="105">
      <c r="A105" s="13">
        <v>104.0</v>
      </c>
      <c r="B105" s="13" t="s">
        <v>688</v>
      </c>
      <c r="C105" s="13" t="s">
        <v>689</v>
      </c>
      <c r="D105" s="13" t="s">
        <v>18</v>
      </c>
      <c r="E105" s="13" t="s">
        <v>690</v>
      </c>
      <c r="F105" s="13" t="s">
        <v>691</v>
      </c>
      <c r="G105" s="13" t="s">
        <v>66</v>
      </c>
      <c r="H105" s="13" t="s">
        <v>15</v>
      </c>
      <c r="I105" s="13">
        <v>95008.0</v>
      </c>
      <c r="J105" s="5" t="str">
        <f t="shared" si="1"/>
        <v>Katharina Bates</v>
      </c>
    </row>
    <row r="106">
      <c r="A106" s="13">
        <v>105.0</v>
      </c>
      <c r="B106" s="13" t="s">
        <v>692</v>
      </c>
      <c r="C106" s="13" t="s">
        <v>693</v>
      </c>
      <c r="D106" s="13" t="s">
        <v>18</v>
      </c>
      <c r="E106" s="13" t="s">
        <v>694</v>
      </c>
      <c r="F106" s="13" t="s">
        <v>695</v>
      </c>
      <c r="G106" s="13" t="s">
        <v>255</v>
      </c>
      <c r="H106" s="13" t="s">
        <v>16</v>
      </c>
      <c r="I106" s="13">
        <v>11421.0</v>
      </c>
      <c r="J106" s="5" t="str">
        <f t="shared" si="1"/>
        <v>Marget Hodge</v>
      </c>
    </row>
    <row r="107">
      <c r="A107" s="13">
        <v>106.0</v>
      </c>
      <c r="B107" s="13" t="s">
        <v>696</v>
      </c>
      <c r="C107" s="13" t="s">
        <v>697</v>
      </c>
      <c r="D107" s="13" t="s">
        <v>18</v>
      </c>
      <c r="E107" s="13" t="s">
        <v>698</v>
      </c>
      <c r="F107" s="13" t="s">
        <v>699</v>
      </c>
      <c r="G107" s="13" t="s">
        <v>108</v>
      </c>
      <c r="H107" s="13" t="s">
        <v>16</v>
      </c>
      <c r="I107" s="13">
        <v>11373.0</v>
      </c>
      <c r="J107" s="5" t="str">
        <f t="shared" si="1"/>
        <v>Raul Melendez</v>
      </c>
    </row>
    <row r="108">
      <c r="A108" s="13">
        <v>107.0</v>
      </c>
      <c r="B108" s="13" t="s">
        <v>700</v>
      </c>
      <c r="C108" s="13" t="s">
        <v>701</v>
      </c>
      <c r="D108" s="13" t="s">
        <v>18</v>
      </c>
      <c r="E108" s="13" t="s">
        <v>702</v>
      </c>
      <c r="F108" s="13" t="s">
        <v>703</v>
      </c>
      <c r="G108" s="13" t="s">
        <v>76</v>
      </c>
      <c r="H108" s="13" t="s">
        <v>16</v>
      </c>
      <c r="I108" s="13">
        <v>11722.0</v>
      </c>
      <c r="J108" s="5" t="str">
        <f t="shared" si="1"/>
        <v>Cecil Hopper</v>
      </c>
    </row>
    <row r="109">
      <c r="A109" s="13">
        <v>108.0</v>
      </c>
      <c r="B109" s="13" t="s">
        <v>704</v>
      </c>
      <c r="C109" s="13" t="s">
        <v>705</v>
      </c>
      <c r="D109" s="13" t="s">
        <v>18</v>
      </c>
      <c r="E109" s="13" t="s">
        <v>706</v>
      </c>
      <c r="F109" s="13" t="s">
        <v>707</v>
      </c>
      <c r="G109" s="13" t="s">
        <v>116</v>
      </c>
      <c r="H109" s="13" t="s">
        <v>16</v>
      </c>
      <c r="I109" s="13">
        <v>11001.0</v>
      </c>
      <c r="J109" s="5" t="str">
        <f t="shared" si="1"/>
        <v>Shae Hickman</v>
      </c>
    </row>
    <row r="110">
      <c r="A110" s="13">
        <v>109.0</v>
      </c>
      <c r="B110" s="13" t="s">
        <v>708</v>
      </c>
      <c r="C110" s="13" t="s">
        <v>709</v>
      </c>
      <c r="D110" s="13" t="s">
        <v>710</v>
      </c>
      <c r="E110" s="13" t="s">
        <v>711</v>
      </c>
      <c r="F110" s="13" t="s">
        <v>712</v>
      </c>
      <c r="G110" s="13" t="s">
        <v>217</v>
      </c>
      <c r="H110" s="13" t="s">
        <v>15</v>
      </c>
      <c r="I110" s="13">
        <v>95127.0</v>
      </c>
      <c r="J110" s="5" t="str">
        <f t="shared" si="1"/>
        <v>Monica Sears</v>
      </c>
    </row>
    <row r="111">
      <c r="A111" s="13">
        <v>110.0</v>
      </c>
      <c r="B111" s="13" t="s">
        <v>713</v>
      </c>
      <c r="C111" s="13" t="s">
        <v>714</v>
      </c>
      <c r="D111" s="13" t="s">
        <v>715</v>
      </c>
      <c r="E111" s="13" t="s">
        <v>716</v>
      </c>
      <c r="F111" s="13" t="s">
        <v>717</v>
      </c>
      <c r="G111" s="13" t="s">
        <v>32</v>
      </c>
      <c r="H111" s="13" t="s">
        <v>15</v>
      </c>
      <c r="I111" s="13">
        <v>92806.0</v>
      </c>
      <c r="J111" s="5" t="str">
        <f t="shared" si="1"/>
        <v>Ollie Zimmerman</v>
      </c>
    </row>
    <row r="112">
      <c r="A112" s="13">
        <v>111.0</v>
      </c>
      <c r="B112" s="13" t="s">
        <v>718</v>
      </c>
      <c r="C112" s="13" t="s">
        <v>719</v>
      </c>
      <c r="D112" s="13" t="s">
        <v>18</v>
      </c>
      <c r="E112" s="13" t="s">
        <v>720</v>
      </c>
      <c r="F112" s="13" t="s">
        <v>721</v>
      </c>
      <c r="G112" s="13" t="s">
        <v>182</v>
      </c>
      <c r="H112" s="13" t="s">
        <v>16</v>
      </c>
      <c r="I112" s="13">
        <v>14127.0</v>
      </c>
      <c r="J112" s="5" t="str">
        <f t="shared" si="1"/>
        <v>Shila White</v>
      </c>
    </row>
    <row r="113">
      <c r="A113" s="13">
        <v>112.0</v>
      </c>
      <c r="B113" s="13" t="s">
        <v>722</v>
      </c>
      <c r="C113" s="13" t="s">
        <v>530</v>
      </c>
      <c r="D113" s="13" t="s">
        <v>18</v>
      </c>
      <c r="E113" s="13" t="s">
        <v>723</v>
      </c>
      <c r="F113" s="13" t="s">
        <v>724</v>
      </c>
      <c r="G113" s="13" t="s">
        <v>251</v>
      </c>
      <c r="H113" s="13" t="s">
        <v>16</v>
      </c>
      <c r="I113" s="13">
        <v>11552.0</v>
      </c>
      <c r="J113" s="5" t="str">
        <f t="shared" si="1"/>
        <v>Yuk Vega</v>
      </c>
    </row>
    <row r="114">
      <c r="A114" s="13">
        <v>113.0</v>
      </c>
      <c r="B114" s="13" t="s">
        <v>725</v>
      </c>
      <c r="C114" s="13" t="s">
        <v>726</v>
      </c>
      <c r="D114" s="13" t="s">
        <v>18</v>
      </c>
      <c r="E114" s="13" t="s">
        <v>727</v>
      </c>
      <c r="F114" s="13" t="s">
        <v>728</v>
      </c>
      <c r="G114" s="13" t="s">
        <v>115</v>
      </c>
      <c r="H114" s="13" t="s">
        <v>16</v>
      </c>
      <c r="I114" s="13">
        <v>11735.0</v>
      </c>
      <c r="J114" s="5" t="str">
        <f t="shared" si="1"/>
        <v>Eliana Silva</v>
      </c>
    </row>
    <row r="115">
      <c r="A115" s="13">
        <v>114.0</v>
      </c>
      <c r="B115" s="13" t="s">
        <v>729</v>
      </c>
      <c r="C115" s="13" t="s">
        <v>730</v>
      </c>
      <c r="D115" s="13" t="s">
        <v>18</v>
      </c>
      <c r="E115" s="13" t="s">
        <v>731</v>
      </c>
      <c r="F115" s="13" t="s">
        <v>732</v>
      </c>
      <c r="G115" s="13" t="s">
        <v>29</v>
      </c>
      <c r="H115" s="13" t="s">
        <v>16</v>
      </c>
      <c r="I115" s="13">
        <v>11701.0</v>
      </c>
      <c r="J115" s="5" t="str">
        <f t="shared" si="1"/>
        <v>Thalia Horne</v>
      </c>
    </row>
    <row r="116">
      <c r="A116" s="13">
        <v>115.0</v>
      </c>
      <c r="B116" s="13" t="s">
        <v>733</v>
      </c>
      <c r="C116" s="13" t="s">
        <v>734</v>
      </c>
      <c r="D116" s="13" t="s">
        <v>18</v>
      </c>
      <c r="E116" s="13" t="s">
        <v>735</v>
      </c>
      <c r="F116" s="13" t="s">
        <v>736</v>
      </c>
      <c r="G116" s="13" t="s">
        <v>165</v>
      </c>
      <c r="H116" s="13" t="s">
        <v>16</v>
      </c>
      <c r="I116" s="13">
        <v>10950.0</v>
      </c>
      <c r="J116" s="5" t="str">
        <f t="shared" si="1"/>
        <v>Rey Lindsay</v>
      </c>
    </row>
    <row r="117">
      <c r="A117" s="13">
        <v>116.0</v>
      </c>
      <c r="B117" s="13" t="s">
        <v>737</v>
      </c>
      <c r="C117" s="13" t="s">
        <v>738</v>
      </c>
      <c r="D117" s="13" t="s">
        <v>18</v>
      </c>
      <c r="E117" s="13" t="s">
        <v>739</v>
      </c>
      <c r="F117" s="13" t="s">
        <v>740</v>
      </c>
      <c r="G117" s="13" t="s">
        <v>112</v>
      </c>
      <c r="H117" s="13" t="s">
        <v>17</v>
      </c>
      <c r="I117" s="13">
        <v>76039.0</v>
      </c>
      <c r="J117" s="5" t="str">
        <f t="shared" si="1"/>
        <v>Merlene Vinson</v>
      </c>
    </row>
    <row r="118">
      <c r="A118" s="13">
        <v>117.0</v>
      </c>
      <c r="B118" s="13" t="s">
        <v>741</v>
      </c>
      <c r="C118" s="13" t="s">
        <v>742</v>
      </c>
      <c r="D118" s="13" t="s">
        <v>18</v>
      </c>
      <c r="E118" s="13" t="s">
        <v>743</v>
      </c>
      <c r="F118" s="13" t="s">
        <v>744</v>
      </c>
      <c r="G118" s="13" t="s">
        <v>235</v>
      </c>
      <c r="H118" s="13" t="s">
        <v>17</v>
      </c>
      <c r="I118" s="13">
        <v>77478.0</v>
      </c>
      <c r="J118" s="5" t="str">
        <f t="shared" si="1"/>
        <v>Dacia William</v>
      </c>
    </row>
    <row r="119">
      <c r="A119" s="13">
        <v>118.0</v>
      </c>
      <c r="B119" s="13" t="s">
        <v>745</v>
      </c>
      <c r="C119" s="13" t="s">
        <v>746</v>
      </c>
      <c r="D119" s="13" t="s">
        <v>18</v>
      </c>
      <c r="E119" s="13" t="s">
        <v>747</v>
      </c>
      <c r="F119" s="13" t="s">
        <v>748</v>
      </c>
      <c r="G119" s="13" t="s">
        <v>189</v>
      </c>
      <c r="H119" s="13" t="s">
        <v>16</v>
      </c>
      <c r="I119" s="13">
        <v>14534.0</v>
      </c>
      <c r="J119" s="5" t="str">
        <f t="shared" si="1"/>
        <v>Le Wood</v>
      </c>
    </row>
    <row r="120">
      <c r="A120" s="13">
        <v>119.0</v>
      </c>
      <c r="B120" s="13" t="s">
        <v>729</v>
      </c>
      <c r="C120" s="13" t="s">
        <v>749</v>
      </c>
      <c r="D120" s="13" t="s">
        <v>18</v>
      </c>
      <c r="E120" s="13" t="s">
        <v>750</v>
      </c>
      <c r="F120" s="13" t="s">
        <v>751</v>
      </c>
      <c r="G120" s="13" t="s">
        <v>213</v>
      </c>
      <c r="H120" s="13" t="s">
        <v>17</v>
      </c>
      <c r="I120" s="13">
        <v>76901.0</v>
      </c>
      <c r="J120" s="5" t="str">
        <f t="shared" si="1"/>
        <v>Thalia Dillard</v>
      </c>
    </row>
    <row r="121">
      <c r="A121" s="13">
        <v>120.0</v>
      </c>
      <c r="B121" s="13" t="s">
        <v>752</v>
      </c>
      <c r="C121" s="13" t="s">
        <v>753</v>
      </c>
      <c r="D121" s="13" t="s">
        <v>754</v>
      </c>
      <c r="E121" s="13" t="s">
        <v>755</v>
      </c>
      <c r="F121" s="13" t="s">
        <v>756</v>
      </c>
      <c r="G121" s="13" t="s">
        <v>124</v>
      </c>
      <c r="H121" s="13" t="s">
        <v>15</v>
      </c>
      <c r="I121" s="13">
        <v>93706.0</v>
      </c>
      <c r="J121" s="5" t="str">
        <f t="shared" si="1"/>
        <v>Luz House</v>
      </c>
    </row>
    <row r="122">
      <c r="A122" s="13">
        <v>121.0</v>
      </c>
      <c r="B122" s="13" t="s">
        <v>757</v>
      </c>
      <c r="C122" s="13" t="s">
        <v>758</v>
      </c>
      <c r="D122" s="13" t="s">
        <v>18</v>
      </c>
      <c r="E122" s="13" t="s">
        <v>759</v>
      </c>
      <c r="F122" s="13" t="s">
        <v>760</v>
      </c>
      <c r="G122" s="13" t="s">
        <v>187</v>
      </c>
      <c r="H122" s="13" t="s">
        <v>15</v>
      </c>
      <c r="I122" s="13">
        <v>90274.0</v>
      </c>
      <c r="J122" s="5" t="str">
        <f t="shared" si="1"/>
        <v>Lucy Woods</v>
      </c>
    </row>
    <row r="123">
      <c r="A123" s="13">
        <v>122.0</v>
      </c>
      <c r="B123" s="13" t="s">
        <v>761</v>
      </c>
      <c r="C123" s="13" t="s">
        <v>443</v>
      </c>
      <c r="D123" s="13" t="s">
        <v>18</v>
      </c>
      <c r="E123" s="13" t="s">
        <v>762</v>
      </c>
      <c r="F123" s="13" t="s">
        <v>763</v>
      </c>
      <c r="G123" s="13" t="s">
        <v>139</v>
      </c>
      <c r="H123" s="13" t="s">
        <v>16</v>
      </c>
      <c r="I123" s="13">
        <v>11414.0</v>
      </c>
      <c r="J123" s="5" t="str">
        <f t="shared" si="1"/>
        <v>Shena Carter</v>
      </c>
    </row>
    <row r="124">
      <c r="A124" s="13">
        <v>123.0</v>
      </c>
      <c r="B124" s="13" t="s">
        <v>764</v>
      </c>
      <c r="C124" s="13" t="s">
        <v>765</v>
      </c>
      <c r="D124" s="13" t="s">
        <v>766</v>
      </c>
      <c r="E124" s="13" t="s">
        <v>767</v>
      </c>
      <c r="F124" s="13" t="s">
        <v>768</v>
      </c>
      <c r="G124" s="13" t="s">
        <v>90</v>
      </c>
      <c r="H124" s="13" t="s">
        <v>17</v>
      </c>
      <c r="I124" s="13">
        <v>78418.0</v>
      </c>
      <c r="J124" s="5" t="str">
        <f t="shared" si="1"/>
        <v>Robena Hill</v>
      </c>
    </row>
    <row r="125">
      <c r="A125" s="13">
        <v>124.0</v>
      </c>
      <c r="B125" s="13" t="s">
        <v>769</v>
      </c>
      <c r="C125" s="13" t="s">
        <v>770</v>
      </c>
      <c r="D125" s="13" t="s">
        <v>18</v>
      </c>
      <c r="E125" s="13" t="s">
        <v>771</v>
      </c>
      <c r="F125" s="13" t="s">
        <v>772</v>
      </c>
      <c r="G125" s="13" t="s">
        <v>229</v>
      </c>
      <c r="H125" s="13" t="s">
        <v>15</v>
      </c>
      <c r="I125" s="13">
        <v>91733.0</v>
      </c>
      <c r="J125" s="5" t="str">
        <f t="shared" si="1"/>
        <v>Jeni Booker</v>
      </c>
    </row>
    <row r="126">
      <c r="A126" s="13">
        <v>125.0</v>
      </c>
      <c r="B126" s="13" t="s">
        <v>773</v>
      </c>
      <c r="C126" s="13" t="s">
        <v>774</v>
      </c>
      <c r="D126" s="13" t="s">
        <v>18</v>
      </c>
      <c r="E126" s="13" t="s">
        <v>775</v>
      </c>
      <c r="F126" s="13" t="s">
        <v>776</v>
      </c>
      <c r="G126" s="13" t="s">
        <v>68</v>
      </c>
      <c r="H126" s="13" t="s">
        <v>16</v>
      </c>
      <c r="I126" s="13">
        <v>14424.0</v>
      </c>
      <c r="J126" s="5" t="str">
        <f t="shared" si="1"/>
        <v>Herlinda Stone</v>
      </c>
    </row>
    <row r="127">
      <c r="A127" s="13">
        <v>126.0</v>
      </c>
      <c r="B127" s="13" t="s">
        <v>777</v>
      </c>
      <c r="C127" s="13" t="s">
        <v>778</v>
      </c>
      <c r="D127" s="13" t="s">
        <v>18</v>
      </c>
      <c r="E127" s="13" t="s">
        <v>779</v>
      </c>
      <c r="F127" s="13" t="s">
        <v>780</v>
      </c>
      <c r="G127" s="13" t="s">
        <v>175</v>
      </c>
      <c r="H127" s="13" t="s">
        <v>16</v>
      </c>
      <c r="I127" s="13">
        <v>12550.0</v>
      </c>
      <c r="J127" s="5" t="str">
        <f t="shared" si="1"/>
        <v>Lavina Dejesus</v>
      </c>
    </row>
    <row r="128">
      <c r="A128" s="13">
        <v>127.0</v>
      </c>
      <c r="B128" s="13" t="s">
        <v>781</v>
      </c>
      <c r="C128" s="13" t="s">
        <v>782</v>
      </c>
      <c r="D128" s="13" t="s">
        <v>18</v>
      </c>
      <c r="E128" s="13" t="s">
        <v>783</v>
      </c>
      <c r="F128" s="13" t="s">
        <v>784</v>
      </c>
      <c r="G128" s="13" t="s">
        <v>159</v>
      </c>
      <c r="H128" s="13" t="s">
        <v>16</v>
      </c>
      <c r="I128" s="13">
        <v>11378.0</v>
      </c>
      <c r="J128" s="5" t="str">
        <f t="shared" si="1"/>
        <v>Erlinda Nielsen</v>
      </c>
    </row>
    <row r="129">
      <c r="A129" s="13">
        <v>128.0</v>
      </c>
      <c r="B129" s="13" t="s">
        <v>785</v>
      </c>
      <c r="C129" s="13" t="s">
        <v>786</v>
      </c>
      <c r="D129" s="13" t="s">
        <v>18</v>
      </c>
      <c r="E129" s="13" t="s">
        <v>787</v>
      </c>
      <c r="F129" s="13" t="s">
        <v>788</v>
      </c>
      <c r="G129" s="13" t="s">
        <v>191</v>
      </c>
      <c r="H129" s="13" t="s">
        <v>16</v>
      </c>
      <c r="I129" s="13">
        <v>12901.0</v>
      </c>
      <c r="J129" s="5" t="str">
        <f t="shared" si="1"/>
        <v>Terrance Lynn</v>
      </c>
    </row>
    <row r="130">
      <c r="A130" s="13">
        <v>129.0</v>
      </c>
      <c r="B130" s="13" t="s">
        <v>789</v>
      </c>
      <c r="C130" s="13" t="s">
        <v>778</v>
      </c>
      <c r="D130" s="13" t="s">
        <v>18</v>
      </c>
      <c r="E130" s="13" t="s">
        <v>790</v>
      </c>
      <c r="F130" s="13" t="s">
        <v>791</v>
      </c>
      <c r="G130" s="13" t="s">
        <v>153</v>
      </c>
      <c r="H130" s="13" t="s">
        <v>16</v>
      </c>
      <c r="I130" s="13">
        <v>14094.0</v>
      </c>
      <c r="J130" s="5" t="str">
        <f t="shared" si="1"/>
        <v>Walton Dejesus</v>
      </c>
    </row>
    <row r="131">
      <c r="A131" s="13">
        <v>130.0</v>
      </c>
      <c r="B131" s="13" t="s">
        <v>792</v>
      </c>
      <c r="C131" s="13" t="s">
        <v>793</v>
      </c>
      <c r="D131" s="13" t="s">
        <v>794</v>
      </c>
      <c r="E131" s="13" t="s">
        <v>795</v>
      </c>
      <c r="F131" s="13" t="s">
        <v>796</v>
      </c>
      <c r="G131" s="13" t="s">
        <v>240</v>
      </c>
      <c r="H131" s="13" t="s">
        <v>16</v>
      </c>
      <c r="I131" s="13">
        <v>12180.0</v>
      </c>
      <c r="J131" s="5" t="str">
        <f t="shared" si="1"/>
        <v>Wes Stanton</v>
      </c>
    </row>
    <row r="132">
      <c r="A132" s="13">
        <v>131.0</v>
      </c>
      <c r="B132" s="13" t="s">
        <v>797</v>
      </c>
      <c r="C132" s="13" t="s">
        <v>798</v>
      </c>
      <c r="D132" s="13" t="s">
        <v>18</v>
      </c>
      <c r="E132" s="13" t="s">
        <v>799</v>
      </c>
      <c r="F132" s="13" t="s">
        <v>800</v>
      </c>
      <c r="G132" s="13" t="s">
        <v>237</v>
      </c>
      <c r="H132" s="13" t="s">
        <v>16</v>
      </c>
      <c r="I132" s="13">
        <v>11791.0</v>
      </c>
      <c r="J132" s="5" t="str">
        <f t="shared" si="1"/>
        <v>Tanesha Hampton</v>
      </c>
    </row>
    <row r="133">
      <c r="A133" s="13">
        <v>132.0</v>
      </c>
      <c r="B133" s="13" t="s">
        <v>801</v>
      </c>
      <c r="C133" s="13" t="s">
        <v>802</v>
      </c>
      <c r="D133" s="13" t="s">
        <v>18</v>
      </c>
      <c r="E133" s="13" t="s">
        <v>803</v>
      </c>
      <c r="F133" s="13" t="s">
        <v>804</v>
      </c>
      <c r="G133" s="13" t="s">
        <v>130</v>
      </c>
      <c r="H133" s="13" t="s">
        <v>16</v>
      </c>
      <c r="I133" s="13">
        <v>14075.0</v>
      </c>
      <c r="J133" s="5" t="str">
        <f t="shared" si="1"/>
        <v>Boyd Irwin</v>
      </c>
    </row>
    <row r="134">
      <c r="A134" s="13">
        <v>133.0</v>
      </c>
      <c r="B134" s="13" t="s">
        <v>805</v>
      </c>
      <c r="C134" s="13" t="s">
        <v>806</v>
      </c>
      <c r="D134" s="13" t="s">
        <v>18</v>
      </c>
      <c r="E134" s="13" t="s">
        <v>807</v>
      </c>
      <c r="F134" s="13" t="s">
        <v>808</v>
      </c>
      <c r="G134" s="13" t="s">
        <v>86</v>
      </c>
      <c r="H134" s="13" t="s">
        <v>16</v>
      </c>
      <c r="I134" s="13">
        <v>11727.0</v>
      </c>
      <c r="J134" s="5" t="str">
        <f t="shared" si="1"/>
        <v>Delbert Wilkins</v>
      </c>
    </row>
    <row r="135">
      <c r="A135" s="13">
        <v>134.0</v>
      </c>
      <c r="B135" s="13" t="s">
        <v>809</v>
      </c>
      <c r="C135" s="13" t="s">
        <v>810</v>
      </c>
      <c r="D135" s="13" t="s">
        <v>811</v>
      </c>
      <c r="E135" s="13" t="s">
        <v>812</v>
      </c>
      <c r="F135" s="13" t="s">
        <v>813</v>
      </c>
      <c r="G135" s="13" t="s">
        <v>133</v>
      </c>
      <c r="H135" s="13" t="s">
        <v>16</v>
      </c>
      <c r="I135" s="13">
        <v>11550.0</v>
      </c>
      <c r="J135" s="5" t="str">
        <f t="shared" si="1"/>
        <v>Brianna Moss</v>
      </c>
    </row>
    <row r="136">
      <c r="A136" s="13">
        <v>135.0</v>
      </c>
      <c r="B136" s="13" t="s">
        <v>814</v>
      </c>
      <c r="C136" s="13" t="s">
        <v>464</v>
      </c>
      <c r="D136" s="13" t="s">
        <v>815</v>
      </c>
      <c r="E136" s="13" t="s">
        <v>816</v>
      </c>
      <c r="F136" s="13" t="s">
        <v>817</v>
      </c>
      <c r="G136" s="13" t="s">
        <v>138</v>
      </c>
      <c r="H136" s="13" t="s">
        <v>17</v>
      </c>
      <c r="I136" s="13">
        <v>77016.0</v>
      </c>
      <c r="J136" s="5" t="str">
        <f t="shared" si="1"/>
        <v>Dorthey Jackson</v>
      </c>
    </row>
    <row r="137">
      <c r="A137" s="13">
        <v>136.0</v>
      </c>
      <c r="B137" s="13" t="s">
        <v>818</v>
      </c>
      <c r="C137" s="13" t="s">
        <v>587</v>
      </c>
      <c r="D137" s="13" t="s">
        <v>18</v>
      </c>
      <c r="E137" s="13" t="s">
        <v>819</v>
      </c>
      <c r="F137" s="13" t="s">
        <v>820</v>
      </c>
      <c r="G137" s="13" t="s">
        <v>119</v>
      </c>
      <c r="H137" s="13" t="s">
        <v>17</v>
      </c>
      <c r="I137" s="13">
        <v>75126.0</v>
      </c>
      <c r="J137" s="5" t="str">
        <f t="shared" si="1"/>
        <v>Sarita Parks</v>
      </c>
    </row>
    <row r="138">
      <c r="A138" s="13">
        <v>137.0</v>
      </c>
      <c r="B138" s="13" t="s">
        <v>821</v>
      </c>
      <c r="C138" s="13" t="s">
        <v>822</v>
      </c>
      <c r="D138" s="13" t="s">
        <v>18</v>
      </c>
      <c r="E138" s="13" t="s">
        <v>823</v>
      </c>
      <c r="F138" s="13" t="s">
        <v>824</v>
      </c>
      <c r="G138" s="13" t="s">
        <v>160</v>
      </c>
      <c r="H138" s="13" t="s">
        <v>16</v>
      </c>
      <c r="I138" s="13">
        <v>11758.0</v>
      </c>
      <c r="J138" s="5" t="str">
        <f t="shared" si="1"/>
        <v>Shonta Mercer</v>
      </c>
    </row>
    <row r="139">
      <c r="A139" s="13">
        <v>138.0</v>
      </c>
      <c r="B139" s="13" t="s">
        <v>825</v>
      </c>
      <c r="C139" s="13" t="s">
        <v>826</v>
      </c>
      <c r="D139" s="13" t="s">
        <v>827</v>
      </c>
      <c r="E139" s="13" t="s">
        <v>828</v>
      </c>
      <c r="F139" s="13" t="s">
        <v>829</v>
      </c>
      <c r="G139" s="13" t="s">
        <v>32</v>
      </c>
      <c r="H139" s="13" t="s">
        <v>15</v>
      </c>
      <c r="I139" s="13">
        <v>92806.0</v>
      </c>
      <c r="J139" s="5" t="str">
        <f t="shared" si="1"/>
        <v>Jone Bernard</v>
      </c>
    </row>
    <row r="140">
      <c r="A140" s="13">
        <v>139.0</v>
      </c>
      <c r="B140" s="13" t="s">
        <v>830</v>
      </c>
      <c r="C140" s="13" t="s">
        <v>831</v>
      </c>
      <c r="D140" s="13" t="s">
        <v>18</v>
      </c>
      <c r="E140" s="13" t="s">
        <v>832</v>
      </c>
      <c r="F140" s="13" t="s">
        <v>833</v>
      </c>
      <c r="G140" s="13" t="s">
        <v>232</v>
      </c>
      <c r="H140" s="13" t="s">
        <v>16</v>
      </c>
      <c r="I140" s="13">
        <v>10977.0</v>
      </c>
      <c r="J140" s="5" t="str">
        <f t="shared" si="1"/>
        <v>Wanita Davenport</v>
      </c>
    </row>
    <row r="141">
      <c r="A141" s="13">
        <v>140.0</v>
      </c>
      <c r="B141" s="13" t="s">
        <v>834</v>
      </c>
      <c r="C141" s="13" t="s">
        <v>835</v>
      </c>
      <c r="D141" s="13" t="s">
        <v>18</v>
      </c>
      <c r="E141" s="13" t="s">
        <v>836</v>
      </c>
      <c r="F141" s="13" t="s">
        <v>837</v>
      </c>
      <c r="G141" s="13" t="s">
        <v>100</v>
      </c>
      <c r="H141" s="13" t="s">
        <v>16</v>
      </c>
      <c r="I141" s="13">
        <v>11369.0</v>
      </c>
      <c r="J141" s="5" t="str">
        <f t="shared" si="1"/>
        <v>Cleopatra Tate</v>
      </c>
    </row>
    <row r="142">
      <c r="A142" s="13">
        <v>141.0</v>
      </c>
      <c r="B142" s="13" t="s">
        <v>838</v>
      </c>
      <c r="C142" s="13" t="s">
        <v>839</v>
      </c>
      <c r="D142" s="13" t="s">
        <v>18</v>
      </c>
      <c r="E142" s="13" t="s">
        <v>840</v>
      </c>
      <c r="F142" s="13" t="s">
        <v>841</v>
      </c>
      <c r="G142" s="13" t="s">
        <v>212</v>
      </c>
      <c r="H142" s="13" t="s">
        <v>16</v>
      </c>
      <c r="I142" s="13">
        <v>11412.0</v>
      </c>
      <c r="J142" s="5" t="str">
        <f t="shared" si="1"/>
        <v>Ramiro Byers</v>
      </c>
    </row>
    <row r="143">
      <c r="A143" s="13">
        <v>142.0</v>
      </c>
      <c r="B143" s="13" t="s">
        <v>842</v>
      </c>
      <c r="C143" s="13" t="s">
        <v>843</v>
      </c>
      <c r="D143" s="13" t="s">
        <v>18</v>
      </c>
      <c r="E143" s="13" t="s">
        <v>844</v>
      </c>
      <c r="F143" s="13" t="s">
        <v>845</v>
      </c>
      <c r="G143" s="13" t="s">
        <v>251</v>
      </c>
      <c r="H143" s="13" t="s">
        <v>16</v>
      </c>
      <c r="I143" s="13">
        <v>11552.0</v>
      </c>
      <c r="J143" s="5" t="str">
        <f t="shared" si="1"/>
        <v>Nicholas Vazquez</v>
      </c>
    </row>
    <row r="144">
      <c r="A144" s="13">
        <v>143.0</v>
      </c>
      <c r="B144" s="13" t="s">
        <v>846</v>
      </c>
      <c r="C144" s="13" t="s">
        <v>847</v>
      </c>
      <c r="D144" s="13" t="s">
        <v>18</v>
      </c>
      <c r="E144" s="13" t="s">
        <v>848</v>
      </c>
      <c r="F144" s="13" t="s">
        <v>849</v>
      </c>
      <c r="G144" s="13" t="s">
        <v>143</v>
      </c>
      <c r="H144" s="13" t="s">
        <v>16</v>
      </c>
      <c r="I144" s="13">
        <v>11372.0</v>
      </c>
      <c r="J144" s="5" t="str">
        <f t="shared" si="1"/>
        <v>Janae Doyle</v>
      </c>
    </row>
    <row r="145">
      <c r="A145" s="13">
        <v>144.0</v>
      </c>
      <c r="B145" s="13" t="s">
        <v>850</v>
      </c>
      <c r="C145" s="13" t="s">
        <v>851</v>
      </c>
      <c r="D145" s="13" t="s">
        <v>18</v>
      </c>
      <c r="E145" s="13" t="s">
        <v>852</v>
      </c>
      <c r="F145" s="13" t="s">
        <v>853</v>
      </c>
      <c r="G145" s="13" t="s">
        <v>194</v>
      </c>
      <c r="H145" s="13" t="s">
        <v>16</v>
      </c>
      <c r="I145" s="13">
        <v>10573.0</v>
      </c>
      <c r="J145" s="5" t="str">
        <f t="shared" si="1"/>
        <v>Hans Price</v>
      </c>
    </row>
    <row r="146">
      <c r="A146" s="13">
        <v>145.0</v>
      </c>
      <c r="B146" s="13" t="s">
        <v>854</v>
      </c>
      <c r="C146" s="13" t="s">
        <v>855</v>
      </c>
      <c r="D146" s="13" t="s">
        <v>18</v>
      </c>
      <c r="E146" s="13" t="s">
        <v>856</v>
      </c>
      <c r="F146" s="13" t="s">
        <v>857</v>
      </c>
      <c r="G146" s="13" t="s">
        <v>234</v>
      </c>
      <c r="H146" s="13" t="s">
        <v>16</v>
      </c>
      <c r="I146" s="13">
        <v>10301.0</v>
      </c>
      <c r="J146" s="5" t="str">
        <f t="shared" si="1"/>
        <v>Miquel Neal</v>
      </c>
    </row>
    <row r="147">
      <c r="A147" s="13">
        <v>146.0</v>
      </c>
      <c r="B147" s="13" t="s">
        <v>858</v>
      </c>
      <c r="C147" s="13" t="s">
        <v>859</v>
      </c>
      <c r="D147" s="13" t="s">
        <v>18</v>
      </c>
      <c r="E147" s="13" t="s">
        <v>860</v>
      </c>
      <c r="F147" s="13" t="s">
        <v>861</v>
      </c>
      <c r="G147" s="13" t="s">
        <v>223</v>
      </c>
      <c r="H147" s="13" t="s">
        <v>16</v>
      </c>
      <c r="I147" s="13">
        <v>12866.0</v>
      </c>
      <c r="J147" s="5" t="str">
        <f t="shared" si="1"/>
        <v>Stefany Potter</v>
      </c>
    </row>
    <row r="148">
      <c r="A148" s="13">
        <v>147.0</v>
      </c>
      <c r="B148" s="13" t="s">
        <v>862</v>
      </c>
      <c r="C148" s="13" t="s">
        <v>863</v>
      </c>
      <c r="D148" s="13" t="s">
        <v>18</v>
      </c>
      <c r="E148" s="13" t="s">
        <v>864</v>
      </c>
      <c r="F148" s="13" t="s">
        <v>865</v>
      </c>
      <c r="G148" s="13" t="s">
        <v>228</v>
      </c>
      <c r="H148" s="13" t="s">
        <v>16</v>
      </c>
      <c r="I148" s="13">
        <v>11787.0</v>
      </c>
      <c r="J148" s="5" t="str">
        <f t="shared" si="1"/>
        <v>Bernetta Marquez</v>
      </c>
    </row>
    <row r="149">
      <c r="A149" s="13">
        <v>148.0</v>
      </c>
      <c r="B149" s="13" t="s">
        <v>866</v>
      </c>
      <c r="C149" s="13" t="s">
        <v>867</v>
      </c>
      <c r="D149" s="13" t="s">
        <v>18</v>
      </c>
      <c r="E149" s="13" t="s">
        <v>868</v>
      </c>
      <c r="F149" s="13" t="s">
        <v>869</v>
      </c>
      <c r="G149" s="13" t="s">
        <v>202</v>
      </c>
      <c r="H149" s="13" t="s">
        <v>16</v>
      </c>
      <c r="I149" s="13">
        <v>11418.0</v>
      </c>
      <c r="J149" s="5" t="str">
        <f t="shared" si="1"/>
        <v>Julee Woodard</v>
      </c>
    </row>
    <row r="150">
      <c r="A150" s="13">
        <v>149.0</v>
      </c>
      <c r="B150" s="13" t="s">
        <v>870</v>
      </c>
      <c r="C150" s="13" t="s">
        <v>871</v>
      </c>
      <c r="D150" s="13" t="s">
        <v>18</v>
      </c>
      <c r="E150" s="13" t="s">
        <v>872</v>
      </c>
      <c r="F150" s="13" t="s">
        <v>873</v>
      </c>
      <c r="G150" s="13" t="s">
        <v>232</v>
      </c>
      <c r="H150" s="13" t="s">
        <v>16</v>
      </c>
      <c r="I150" s="13">
        <v>10977.0</v>
      </c>
      <c r="J150" s="5" t="str">
        <f t="shared" si="1"/>
        <v>Meredith Bryan</v>
      </c>
    </row>
    <row r="151">
      <c r="A151" s="13">
        <v>150.0</v>
      </c>
      <c r="B151" s="13" t="s">
        <v>874</v>
      </c>
      <c r="C151" s="13" t="s">
        <v>875</v>
      </c>
      <c r="D151" s="13" t="s">
        <v>18</v>
      </c>
      <c r="E151" s="13" t="s">
        <v>876</v>
      </c>
      <c r="F151" s="13" t="s">
        <v>877</v>
      </c>
      <c r="G151" s="13" t="s">
        <v>140</v>
      </c>
      <c r="H151" s="13" t="s">
        <v>16</v>
      </c>
      <c r="I151" s="13">
        <v>11743.0</v>
      </c>
      <c r="J151" s="5" t="str">
        <f t="shared" si="1"/>
        <v>Weldon Michael</v>
      </c>
    </row>
    <row r="152">
      <c r="A152" s="13">
        <v>151.0</v>
      </c>
      <c r="B152" s="13" t="s">
        <v>878</v>
      </c>
      <c r="C152" s="13" t="s">
        <v>879</v>
      </c>
      <c r="D152" s="13" t="s">
        <v>18</v>
      </c>
      <c r="E152" s="13" t="s">
        <v>880</v>
      </c>
      <c r="F152" s="13" t="s">
        <v>881</v>
      </c>
      <c r="G152" s="13" t="s">
        <v>35</v>
      </c>
      <c r="H152" s="13" t="s">
        <v>15</v>
      </c>
      <c r="I152" s="13">
        <v>95301.0</v>
      </c>
      <c r="J152" s="5" t="str">
        <f t="shared" si="1"/>
        <v>Joesph Delacruz</v>
      </c>
    </row>
    <row r="153">
      <c r="A153" s="13">
        <v>152.0</v>
      </c>
      <c r="B153" s="13" t="s">
        <v>882</v>
      </c>
      <c r="C153" s="13" t="s">
        <v>883</v>
      </c>
      <c r="D153" s="13" t="s">
        <v>18</v>
      </c>
      <c r="E153" s="13" t="s">
        <v>884</v>
      </c>
      <c r="F153" s="13" t="s">
        <v>885</v>
      </c>
      <c r="G153" s="13" t="s">
        <v>190</v>
      </c>
      <c r="H153" s="13" t="s">
        <v>16</v>
      </c>
      <c r="I153" s="13">
        <v>11803.0</v>
      </c>
      <c r="J153" s="5" t="str">
        <f t="shared" si="1"/>
        <v>Katherina Odom</v>
      </c>
    </row>
    <row r="154">
      <c r="A154" s="13">
        <v>153.0</v>
      </c>
      <c r="B154" s="13" t="s">
        <v>886</v>
      </c>
      <c r="C154" s="13" t="s">
        <v>887</v>
      </c>
      <c r="D154" s="13" t="s">
        <v>18</v>
      </c>
      <c r="E154" s="13" t="s">
        <v>888</v>
      </c>
      <c r="F154" s="13" t="s">
        <v>889</v>
      </c>
      <c r="G154" s="13" t="s">
        <v>213</v>
      </c>
      <c r="H154" s="13" t="s">
        <v>17</v>
      </c>
      <c r="I154" s="13">
        <v>76901.0</v>
      </c>
      <c r="J154" s="5" t="str">
        <f t="shared" si="1"/>
        <v>Laraine Robbins</v>
      </c>
    </row>
    <row r="155">
      <c r="A155" s="13">
        <v>154.0</v>
      </c>
      <c r="B155" s="13" t="s">
        <v>890</v>
      </c>
      <c r="C155" s="13" t="s">
        <v>891</v>
      </c>
      <c r="D155" s="13" t="s">
        <v>18</v>
      </c>
      <c r="E155" s="13" t="s">
        <v>892</v>
      </c>
      <c r="F155" s="13" t="s">
        <v>893</v>
      </c>
      <c r="G155" s="13" t="s">
        <v>132</v>
      </c>
      <c r="H155" s="13" t="s">
        <v>17</v>
      </c>
      <c r="I155" s="13">
        <v>78023.0</v>
      </c>
      <c r="J155" s="5" t="str">
        <f t="shared" si="1"/>
        <v>Jenise Preston</v>
      </c>
    </row>
    <row r="156">
      <c r="A156" s="13">
        <v>155.0</v>
      </c>
      <c r="B156" s="13" t="s">
        <v>894</v>
      </c>
      <c r="C156" s="13" t="s">
        <v>895</v>
      </c>
      <c r="D156" s="13" t="s">
        <v>18</v>
      </c>
      <c r="E156" s="13" t="s">
        <v>896</v>
      </c>
      <c r="F156" s="13" t="s">
        <v>897</v>
      </c>
      <c r="G156" s="13" t="s">
        <v>50</v>
      </c>
      <c r="H156" s="13" t="s">
        <v>16</v>
      </c>
      <c r="I156" s="13">
        <v>11706.0</v>
      </c>
      <c r="J156" s="5" t="str">
        <f t="shared" si="1"/>
        <v>Lory Page</v>
      </c>
    </row>
    <row r="157">
      <c r="A157" s="13">
        <v>156.0</v>
      </c>
      <c r="B157" s="13" t="s">
        <v>898</v>
      </c>
      <c r="C157" s="13" t="s">
        <v>899</v>
      </c>
      <c r="D157" s="13" t="s">
        <v>18</v>
      </c>
      <c r="E157" s="13" t="s">
        <v>900</v>
      </c>
      <c r="F157" s="13" t="s">
        <v>901</v>
      </c>
      <c r="G157" s="13" t="s">
        <v>252</v>
      </c>
      <c r="H157" s="13" t="s">
        <v>16</v>
      </c>
      <c r="I157" s="13">
        <v>11795.0</v>
      </c>
      <c r="J157" s="5" t="str">
        <f t="shared" si="1"/>
        <v>Charlyn Cantrell</v>
      </c>
    </row>
    <row r="158">
      <c r="A158" s="13">
        <v>157.0</v>
      </c>
      <c r="B158" s="13" t="s">
        <v>902</v>
      </c>
      <c r="C158" s="13" t="s">
        <v>903</v>
      </c>
      <c r="D158" s="13" t="s">
        <v>18</v>
      </c>
      <c r="E158" s="13" t="s">
        <v>904</v>
      </c>
      <c r="F158" s="13" t="s">
        <v>905</v>
      </c>
      <c r="G158" s="13" t="s">
        <v>48</v>
      </c>
      <c r="H158" s="13" t="s">
        <v>15</v>
      </c>
      <c r="I158" s="13">
        <v>92220.0</v>
      </c>
      <c r="J158" s="5" t="str">
        <f t="shared" si="1"/>
        <v>Carola Rodriquez</v>
      </c>
    </row>
    <row r="159">
      <c r="A159" s="13">
        <v>158.0</v>
      </c>
      <c r="B159" s="13" t="s">
        <v>906</v>
      </c>
      <c r="C159" s="13" t="s">
        <v>547</v>
      </c>
      <c r="D159" s="13" t="s">
        <v>18</v>
      </c>
      <c r="E159" s="13" t="s">
        <v>907</v>
      </c>
      <c r="F159" s="13" t="s">
        <v>908</v>
      </c>
      <c r="G159" s="13" t="s">
        <v>232</v>
      </c>
      <c r="H159" s="13" t="s">
        <v>16</v>
      </c>
      <c r="I159" s="13">
        <v>10977.0</v>
      </c>
      <c r="J159" s="5" t="str">
        <f t="shared" si="1"/>
        <v>Alane Kennedy</v>
      </c>
    </row>
    <row r="160">
      <c r="A160" s="13">
        <v>159.0</v>
      </c>
      <c r="B160" s="13" t="s">
        <v>909</v>
      </c>
      <c r="C160" s="13" t="s">
        <v>910</v>
      </c>
      <c r="D160" s="13" t="s">
        <v>18</v>
      </c>
      <c r="E160" s="13" t="s">
        <v>911</v>
      </c>
      <c r="F160" s="13" t="s">
        <v>912</v>
      </c>
      <c r="G160" s="13" t="s">
        <v>127</v>
      </c>
      <c r="H160" s="13" t="s">
        <v>17</v>
      </c>
      <c r="I160" s="13">
        <v>75043.0</v>
      </c>
      <c r="J160" s="5" t="str">
        <f t="shared" si="1"/>
        <v>Regina Burns</v>
      </c>
    </row>
    <row r="161">
      <c r="A161" s="13">
        <v>160.0</v>
      </c>
      <c r="B161" s="13" t="s">
        <v>913</v>
      </c>
      <c r="C161" s="13" t="s">
        <v>914</v>
      </c>
      <c r="D161" s="13" t="s">
        <v>18</v>
      </c>
      <c r="E161" s="13" t="s">
        <v>915</v>
      </c>
      <c r="F161" s="13" t="s">
        <v>916</v>
      </c>
      <c r="G161" s="13" t="s">
        <v>210</v>
      </c>
      <c r="H161" s="13" t="s">
        <v>17</v>
      </c>
      <c r="I161" s="13">
        <v>75088.0</v>
      </c>
      <c r="J161" s="5" t="str">
        <f t="shared" si="1"/>
        <v>Omer Estrada</v>
      </c>
    </row>
    <row r="162">
      <c r="A162" s="13">
        <v>161.0</v>
      </c>
      <c r="B162" s="13" t="s">
        <v>917</v>
      </c>
      <c r="C162" s="13" t="s">
        <v>918</v>
      </c>
      <c r="D162" s="13" t="s">
        <v>18</v>
      </c>
      <c r="E162" s="13" t="s">
        <v>919</v>
      </c>
      <c r="F162" s="13" t="s">
        <v>920</v>
      </c>
      <c r="G162" s="13" t="s">
        <v>228</v>
      </c>
      <c r="H162" s="13" t="s">
        <v>16</v>
      </c>
      <c r="I162" s="13">
        <v>11787.0</v>
      </c>
      <c r="J162" s="5" t="str">
        <f t="shared" si="1"/>
        <v>Crystle Gilliam</v>
      </c>
    </row>
    <row r="163">
      <c r="A163" s="13">
        <v>162.0</v>
      </c>
      <c r="B163" s="13" t="s">
        <v>921</v>
      </c>
      <c r="C163" s="13" t="s">
        <v>922</v>
      </c>
      <c r="D163" s="13" t="s">
        <v>18</v>
      </c>
      <c r="E163" s="13" t="s">
        <v>923</v>
      </c>
      <c r="F163" s="13" t="s">
        <v>924</v>
      </c>
      <c r="G163" s="13" t="s">
        <v>175</v>
      </c>
      <c r="H163" s="13" t="s">
        <v>16</v>
      </c>
      <c r="I163" s="13">
        <v>12550.0</v>
      </c>
      <c r="J163" s="5" t="str">
        <f t="shared" si="1"/>
        <v>Kam Wilder</v>
      </c>
    </row>
    <row r="164">
      <c r="A164" s="13">
        <v>163.0</v>
      </c>
      <c r="B164" s="13" t="s">
        <v>925</v>
      </c>
      <c r="C164" s="13" t="s">
        <v>926</v>
      </c>
      <c r="D164" s="13" t="s">
        <v>18</v>
      </c>
      <c r="E164" s="13" t="s">
        <v>927</v>
      </c>
      <c r="F164" s="13" t="s">
        <v>928</v>
      </c>
      <c r="G164" s="13" t="s">
        <v>207</v>
      </c>
      <c r="H164" s="13" t="s">
        <v>16</v>
      </c>
      <c r="I164" s="13">
        <v>13440.0</v>
      </c>
      <c r="J164" s="5" t="str">
        <f t="shared" si="1"/>
        <v>Margert Stevens</v>
      </c>
    </row>
    <row r="165">
      <c r="A165" s="13">
        <v>164.0</v>
      </c>
      <c r="B165" s="13" t="s">
        <v>929</v>
      </c>
      <c r="C165" s="13" t="s">
        <v>930</v>
      </c>
      <c r="D165" s="13" t="s">
        <v>18</v>
      </c>
      <c r="E165" s="13" t="s">
        <v>931</v>
      </c>
      <c r="F165" s="13" t="s">
        <v>932</v>
      </c>
      <c r="G165" s="13" t="s">
        <v>256</v>
      </c>
      <c r="H165" s="13" t="s">
        <v>16</v>
      </c>
      <c r="I165" s="13">
        <v>11377.0</v>
      </c>
      <c r="J165" s="5" t="str">
        <f t="shared" si="1"/>
        <v>Tomika Larson</v>
      </c>
    </row>
    <row r="166">
      <c r="A166" s="13">
        <v>165.0</v>
      </c>
      <c r="B166" s="13" t="s">
        <v>933</v>
      </c>
      <c r="C166" s="13" t="s">
        <v>934</v>
      </c>
      <c r="D166" s="13" t="s">
        <v>935</v>
      </c>
      <c r="E166" s="13" t="s">
        <v>936</v>
      </c>
      <c r="F166" s="13" t="s">
        <v>937</v>
      </c>
      <c r="G166" s="13" t="s">
        <v>217</v>
      </c>
      <c r="H166" s="13" t="s">
        <v>15</v>
      </c>
      <c r="I166" s="13">
        <v>95127.0</v>
      </c>
      <c r="J166" s="5" t="str">
        <f t="shared" si="1"/>
        <v>Jeromy Burch</v>
      </c>
    </row>
    <row r="167">
      <c r="A167" s="13">
        <v>166.0</v>
      </c>
      <c r="B167" s="13" t="s">
        <v>938</v>
      </c>
      <c r="C167" s="13" t="s">
        <v>939</v>
      </c>
      <c r="D167" s="13" t="s">
        <v>18</v>
      </c>
      <c r="E167" s="13" t="s">
        <v>940</v>
      </c>
      <c r="F167" s="13" t="s">
        <v>941</v>
      </c>
      <c r="G167" s="13" t="s">
        <v>255</v>
      </c>
      <c r="H167" s="13" t="s">
        <v>16</v>
      </c>
      <c r="I167" s="13">
        <v>11421.0</v>
      </c>
      <c r="J167" s="5" t="str">
        <f t="shared" si="1"/>
        <v>Lena Mills</v>
      </c>
    </row>
    <row r="168">
      <c r="A168" s="13">
        <v>167.0</v>
      </c>
      <c r="B168" s="13" t="s">
        <v>942</v>
      </c>
      <c r="C168" s="13" t="s">
        <v>943</v>
      </c>
      <c r="D168" s="13" t="s">
        <v>18</v>
      </c>
      <c r="E168" s="13" t="s">
        <v>944</v>
      </c>
      <c r="F168" s="13" t="s">
        <v>945</v>
      </c>
      <c r="G168" s="13" t="s">
        <v>232</v>
      </c>
      <c r="H168" s="13" t="s">
        <v>16</v>
      </c>
      <c r="I168" s="13">
        <v>10977.0</v>
      </c>
      <c r="J168" s="5" t="str">
        <f t="shared" si="1"/>
        <v>Loreta Johnston</v>
      </c>
    </row>
    <row r="169">
      <c r="A169" s="13">
        <v>168.0</v>
      </c>
      <c r="B169" s="13" t="s">
        <v>946</v>
      </c>
      <c r="C169" s="13" t="s">
        <v>414</v>
      </c>
      <c r="D169" s="13" t="s">
        <v>18</v>
      </c>
      <c r="E169" s="13" t="s">
        <v>947</v>
      </c>
      <c r="F169" s="13" t="s">
        <v>948</v>
      </c>
      <c r="G169" s="13" t="s">
        <v>230</v>
      </c>
      <c r="H169" s="13" t="s">
        <v>16</v>
      </c>
      <c r="I169" s="13">
        <v>11420.0</v>
      </c>
      <c r="J169" s="5" t="str">
        <f t="shared" si="1"/>
        <v>Nettie Mcdaniel</v>
      </c>
    </row>
    <row r="170">
      <c r="A170" s="13">
        <v>169.0</v>
      </c>
      <c r="B170" s="13" t="s">
        <v>949</v>
      </c>
      <c r="C170" s="13" t="s">
        <v>950</v>
      </c>
      <c r="D170" s="13" t="s">
        <v>18</v>
      </c>
      <c r="E170" s="13" t="s">
        <v>951</v>
      </c>
      <c r="F170" s="13" t="s">
        <v>952</v>
      </c>
      <c r="G170" s="13" t="s">
        <v>187</v>
      </c>
      <c r="H170" s="13" t="s">
        <v>15</v>
      </c>
      <c r="I170" s="13">
        <v>90274.0</v>
      </c>
      <c r="J170" s="5" t="str">
        <f t="shared" si="1"/>
        <v>Karla Kirk</v>
      </c>
    </row>
    <row r="171">
      <c r="A171" s="13">
        <v>170.0</v>
      </c>
      <c r="B171" s="13" t="s">
        <v>953</v>
      </c>
      <c r="C171" s="13" t="s">
        <v>954</v>
      </c>
      <c r="D171" s="13" t="s">
        <v>955</v>
      </c>
      <c r="E171" s="13" t="s">
        <v>956</v>
      </c>
      <c r="F171" s="13" t="s">
        <v>957</v>
      </c>
      <c r="G171" s="13" t="s">
        <v>185</v>
      </c>
      <c r="H171" s="13" t="s">
        <v>15</v>
      </c>
      <c r="I171" s="13">
        <v>93035.0</v>
      </c>
      <c r="J171" s="5" t="str">
        <f t="shared" si="1"/>
        <v>Regine Gonzales</v>
      </c>
    </row>
    <row r="172">
      <c r="A172" s="13">
        <v>171.0</v>
      </c>
      <c r="B172" s="13" t="s">
        <v>958</v>
      </c>
      <c r="C172" s="13" t="s">
        <v>959</v>
      </c>
      <c r="D172" s="13" t="s">
        <v>18</v>
      </c>
      <c r="E172" s="13" t="s">
        <v>960</v>
      </c>
      <c r="F172" s="13" t="s">
        <v>961</v>
      </c>
      <c r="G172" s="13" t="s">
        <v>241</v>
      </c>
      <c r="H172" s="13" t="s">
        <v>16</v>
      </c>
      <c r="I172" s="13">
        <v>11553.0</v>
      </c>
      <c r="J172" s="5" t="str">
        <f t="shared" si="1"/>
        <v>Miriam Baker</v>
      </c>
    </row>
    <row r="173">
      <c r="A173" s="13">
        <v>172.0</v>
      </c>
      <c r="B173" s="13" t="s">
        <v>962</v>
      </c>
      <c r="C173" s="13" t="s">
        <v>543</v>
      </c>
      <c r="D173" s="13" t="s">
        <v>18</v>
      </c>
      <c r="E173" s="13" t="s">
        <v>963</v>
      </c>
      <c r="F173" s="13" t="s">
        <v>964</v>
      </c>
      <c r="G173" s="13" t="s">
        <v>220</v>
      </c>
      <c r="H173" s="13" t="s">
        <v>15</v>
      </c>
      <c r="I173" s="13">
        <v>95050.0</v>
      </c>
      <c r="J173" s="5" t="str">
        <f t="shared" si="1"/>
        <v>Jeanie Kirkland</v>
      </c>
    </row>
    <row r="174">
      <c r="A174" s="13">
        <v>173.0</v>
      </c>
      <c r="B174" s="13" t="s">
        <v>965</v>
      </c>
      <c r="C174" s="13" t="s">
        <v>966</v>
      </c>
      <c r="D174" s="13" t="s">
        <v>18</v>
      </c>
      <c r="E174" s="13" t="s">
        <v>967</v>
      </c>
      <c r="F174" s="13" t="s">
        <v>968</v>
      </c>
      <c r="G174" s="13" t="s">
        <v>127</v>
      </c>
      <c r="H174" s="13" t="s">
        <v>17</v>
      </c>
      <c r="I174" s="13">
        <v>75043.0</v>
      </c>
      <c r="J174" s="5" t="str">
        <f t="shared" si="1"/>
        <v>Marquerite Dawson</v>
      </c>
    </row>
    <row r="175">
      <c r="A175" s="13">
        <v>174.0</v>
      </c>
      <c r="B175" s="13" t="s">
        <v>969</v>
      </c>
      <c r="C175" s="13" t="s">
        <v>970</v>
      </c>
      <c r="D175" s="13" t="s">
        <v>18</v>
      </c>
      <c r="E175" s="13" t="s">
        <v>971</v>
      </c>
      <c r="F175" s="13" t="s">
        <v>972</v>
      </c>
      <c r="G175" s="13" t="s">
        <v>224</v>
      </c>
      <c r="H175" s="13" t="s">
        <v>16</v>
      </c>
      <c r="I175" s="13">
        <v>10583.0</v>
      </c>
      <c r="J175" s="5" t="str">
        <f t="shared" si="1"/>
        <v>Babara Ochoa</v>
      </c>
    </row>
    <row r="176">
      <c r="A176" s="13">
        <v>175.0</v>
      </c>
      <c r="B176" s="13" t="s">
        <v>973</v>
      </c>
      <c r="C176" s="13" t="s">
        <v>974</v>
      </c>
      <c r="D176" s="13" t="s">
        <v>18</v>
      </c>
      <c r="E176" s="13" t="s">
        <v>975</v>
      </c>
      <c r="F176" s="13" t="s">
        <v>976</v>
      </c>
      <c r="G176" s="13" t="s">
        <v>98</v>
      </c>
      <c r="H176" s="13" t="s">
        <v>15</v>
      </c>
      <c r="I176" s="13">
        <v>91010.0</v>
      </c>
      <c r="J176" s="5" t="str">
        <f t="shared" si="1"/>
        <v>Nova Hess</v>
      </c>
    </row>
    <row r="177">
      <c r="A177" s="13">
        <v>176.0</v>
      </c>
      <c r="B177" s="13" t="s">
        <v>977</v>
      </c>
      <c r="C177" s="13" t="s">
        <v>978</v>
      </c>
      <c r="D177" s="13" t="s">
        <v>18</v>
      </c>
      <c r="E177" s="13" t="s">
        <v>979</v>
      </c>
      <c r="F177" s="13" t="s">
        <v>980</v>
      </c>
      <c r="G177" s="13" t="s">
        <v>229</v>
      </c>
      <c r="H177" s="13" t="s">
        <v>15</v>
      </c>
      <c r="I177" s="13">
        <v>91733.0</v>
      </c>
      <c r="J177" s="5" t="str">
        <f t="shared" si="1"/>
        <v>Carley Reynolds</v>
      </c>
    </row>
    <row r="178">
      <c r="A178" s="13">
        <v>177.0</v>
      </c>
      <c r="B178" s="13" t="s">
        <v>981</v>
      </c>
      <c r="C178" s="13" t="s">
        <v>982</v>
      </c>
      <c r="D178" s="13" t="s">
        <v>18</v>
      </c>
      <c r="E178" s="13" t="s">
        <v>983</v>
      </c>
      <c r="F178" s="13" t="s">
        <v>984</v>
      </c>
      <c r="G178" s="13" t="s">
        <v>159</v>
      </c>
      <c r="H178" s="13" t="s">
        <v>16</v>
      </c>
      <c r="I178" s="13">
        <v>11378.0</v>
      </c>
      <c r="J178" s="5" t="str">
        <f t="shared" si="1"/>
        <v>Carissa Foreman</v>
      </c>
    </row>
    <row r="179">
      <c r="A179" s="13">
        <v>178.0</v>
      </c>
      <c r="B179" s="13" t="s">
        <v>302</v>
      </c>
      <c r="C179" s="13" t="s">
        <v>985</v>
      </c>
      <c r="D179" s="13" t="s">
        <v>986</v>
      </c>
      <c r="E179" s="13" t="s">
        <v>987</v>
      </c>
      <c r="F179" s="13" t="s">
        <v>988</v>
      </c>
      <c r="G179" s="13" t="s">
        <v>174</v>
      </c>
      <c r="H179" s="13" t="s">
        <v>16</v>
      </c>
      <c r="I179" s="13">
        <v>10002.0</v>
      </c>
      <c r="J179" s="5" t="str">
        <f t="shared" si="1"/>
        <v>Genoveva Tyler</v>
      </c>
    </row>
    <row r="180">
      <c r="A180" s="13">
        <v>179.0</v>
      </c>
      <c r="B180" s="13" t="s">
        <v>989</v>
      </c>
      <c r="C180" s="13" t="s">
        <v>709</v>
      </c>
      <c r="D180" s="13" t="s">
        <v>18</v>
      </c>
      <c r="E180" s="13" t="s">
        <v>990</v>
      </c>
      <c r="F180" s="13" t="s">
        <v>991</v>
      </c>
      <c r="G180" s="13" t="s">
        <v>189</v>
      </c>
      <c r="H180" s="13" t="s">
        <v>16</v>
      </c>
      <c r="I180" s="13">
        <v>14534.0</v>
      </c>
      <c r="J180" s="5" t="str">
        <f t="shared" si="1"/>
        <v>Deane Sears</v>
      </c>
    </row>
    <row r="181">
      <c r="A181" s="13">
        <v>180.0</v>
      </c>
      <c r="B181" s="13" t="s">
        <v>992</v>
      </c>
      <c r="C181" s="13" t="s">
        <v>993</v>
      </c>
      <c r="D181" s="13" t="s">
        <v>18</v>
      </c>
      <c r="E181" s="13" t="s">
        <v>994</v>
      </c>
      <c r="F181" s="13" t="s">
        <v>995</v>
      </c>
      <c r="G181" s="13" t="s">
        <v>115</v>
      </c>
      <c r="H181" s="13" t="s">
        <v>16</v>
      </c>
      <c r="I181" s="13">
        <v>11735.0</v>
      </c>
      <c r="J181" s="5" t="str">
        <f t="shared" si="1"/>
        <v>Karey Steele</v>
      </c>
    </row>
    <row r="182">
      <c r="A182" s="13">
        <v>181.0</v>
      </c>
      <c r="B182" s="13" t="s">
        <v>996</v>
      </c>
      <c r="C182" s="13" t="s">
        <v>997</v>
      </c>
      <c r="D182" s="13" t="s">
        <v>18</v>
      </c>
      <c r="E182" s="13" t="s">
        <v>998</v>
      </c>
      <c r="F182" s="13" t="s">
        <v>999</v>
      </c>
      <c r="G182" s="13" t="s">
        <v>199</v>
      </c>
      <c r="H182" s="13" t="s">
        <v>15</v>
      </c>
      <c r="I182" s="13">
        <v>90278.0</v>
      </c>
      <c r="J182" s="5" t="str">
        <f t="shared" si="1"/>
        <v>Olevia Pitts</v>
      </c>
    </row>
    <row r="183">
      <c r="A183" s="13">
        <v>182.0</v>
      </c>
      <c r="B183" s="13" t="s">
        <v>1000</v>
      </c>
      <c r="C183" s="13" t="s">
        <v>624</v>
      </c>
      <c r="D183" s="13" t="s">
        <v>18</v>
      </c>
      <c r="E183" s="13" t="s">
        <v>1001</v>
      </c>
      <c r="F183" s="13" t="s">
        <v>1002</v>
      </c>
      <c r="G183" s="13" t="s">
        <v>50</v>
      </c>
      <c r="H183" s="13" t="s">
        <v>16</v>
      </c>
      <c r="I183" s="13">
        <v>11706.0</v>
      </c>
      <c r="J183" s="5" t="str">
        <f t="shared" si="1"/>
        <v>Jenniffer Bullock</v>
      </c>
    </row>
    <row r="184">
      <c r="A184" s="13">
        <v>183.0</v>
      </c>
      <c r="B184" s="13" t="s">
        <v>1003</v>
      </c>
      <c r="C184" s="13" t="s">
        <v>1004</v>
      </c>
      <c r="D184" s="13" t="s">
        <v>18</v>
      </c>
      <c r="E184" s="13" t="s">
        <v>1005</v>
      </c>
      <c r="F184" s="13" t="s">
        <v>1006</v>
      </c>
      <c r="G184" s="13" t="s">
        <v>116</v>
      </c>
      <c r="H184" s="13" t="s">
        <v>16</v>
      </c>
      <c r="I184" s="13">
        <v>11001.0</v>
      </c>
      <c r="J184" s="5" t="str">
        <f t="shared" si="1"/>
        <v>Jeniffer Ratliff</v>
      </c>
    </row>
    <row r="185">
      <c r="A185" s="13">
        <v>184.0</v>
      </c>
      <c r="B185" s="13" t="s">
        <v>1007</v>
      </c>
      <c r="C185" s="13" t="s">
        <v>506</v>
      </c>
      <c r="D185" s="13" t="s">
        <v>18</v>
      </c>
      <c r="E185" s="13" t="s">
        <v>1008</v>
      </c>
      <c r="F185" s="13" t="s">
        <v>1009</v>
      </c>
      <c r="G185" s="13" t="s">
        <v>249</v>
      </c>
      <c r="H185" s="13" t="s">
        <v>16</v>
      </c>
      <c r="I185" s="13">
        <v>14580.0</v>
      </c>
      <c r="J185" s="5" t="str">
        <f t="shared" si="1"/>
        <v>Klara Stanley</v>
      </c>
    </row>
    <row r="186">
      <c r="A186" s="13">
        <v>185.0</v>
      </c>
      <c r="B186" s="13" t="s">
        <v>1010</v>
      </c>
      <c r="C186" s="13" t="s">
        <v>1011</v>
      </c>
      <c r="D186" s="13" t="s">
        <v>18</v>
      </c>
      <c r="E186" s="13" t="s">
        <v>1012</v>
      </c>
      <c r="F186" s="13" t="s">
        <v>1013</v>
      </c>
      <c r="G186" s="13" t="s">
        <v>213</v>
      </c>
      <c r="H186" s="13" t="s">
        <v>17</v>
      </c>
      <c r="I186" s="13">
        <v>76901.0</v>
      </c>
      <c r="J186" s="5" t="str">
        <f t="shared" si="1"/>
        <v>Morton Lee</v>
      </c>
    </row>
    <row r="187">
      <c r="A187" s="13">
        <v>186.0</v>
      </c>
      <c r="B187" s="13" t="s">
        <v>1014</v>
      </c>
      <c r="C187" s="13" t="s">
        <v>1015</v>
      </c>
      <c r="D187" s="13" t="s">
        <v>18</v>
      </c>
      <c r="E187" s="13" t="s">
        <v>1016</v>
      </c>
      <c r="F187" s="13" t="s">
        <v>1017</v>
      </c>
      <c r="G187" s="13" t="s">
        <v>166</v>
      </c>
      <c r="H187" s="13" t="s">
        <v>16</v>
      </c>
      <c r="I187" s="13">
        <v>10952.0</v>
      </c>
      <c r="J187" s="5" t="str">
        <f t="shared" si="1"/>
        <v>Ken Charles</v>
      </c>
    </row>
    <row r="188">
      <c r="A188" s="13">
        <v>187.0</v>
      </c>
      <c r="B188" s="13" t="s">
        <v>1018</v>
      </c>
      <c r="C188" s="13" t="s">
        <v>1019</v>
      </c>
      <c r="D188" s="13" t="s">
        <v>18</v>
      </c>
      <c r="E188" s="13" t="s">
        <v>1020</v>
      </c>
      <c r="F188" s="13" t="s">
        <v>1021</v>
      </c>
      <c r="G188" s="13" t="s">
        <v>33</v>
      </c>
      <c r="H188" s="13" t="s">
        <v>15</v>
      </c>
      <c r="I188" s="13">
        <v>92307.0</v>
      </c>
      <c r="J188" s="5" t="str">
        <f t="shared" si="1"/>
        <v>Hedwig Paul</v>
      </c>
    </row>
    <row r="189">
      <c r="A189" s="13">
        <v>188.0</v>
      </c>
      <c r="B189" s="13" t="s">
        <v>1022</v>
      </c>
      <c r="C189" s="13" t="s">
        <v>1023</v>
      </c>
      <c r="D189" s="13" t="s">
        <v>1024</v>
      </c>
      <c r="E189" s="13" t="s">
        <v>1025</v>
      </c>
      <c r="F189" s="13" t="s">
        <v>1026</v>
      </c>
      <c r="G189" s="13" t="s">
        <v>185</v>
      </c>
      <c r="H189" s="13" t="s">
        <v>15</v>
      </c>
      <c r="I189" s="13">
        <v>93035.0</v>
      </c>
      <c r="J189" s="5" t="str">
        <f t="shared" si="1"/>
        <v>Sharla Flynn</v>
      </c>
    </row>
    <row r="190">
      <c r="A190" s="13">
        <v>189.0</v>
      </c>
      <c r="B190" s="13" t="s">
        <v>1027</v>
      </c>
      <c r="C190" s="13" t="s">
        <v>966</v>
      </c>
      <c r="D190" s="13" t="s">
        <v>18</v>
      </c>
      <c r="E190" s="13" t="s">
        <v>1028</v>
      </c>
      <c r="F190" s="13" t="s">
        <v>1029</v>
      </c>
      <c r="G190" s="13" t="s">
        <v>152</v>
      </c>
      <c r="H190" s="13" t="s">
        <v>16</v>
      </c>
      <c r="I190" s="13">
        <v>13090.0</v>
      </c>
      <c r="J190" s="5" t="str">
        <f t="shared" si="1"/>
        <v>Damian Dawson</v>
      </c>
    </row>
    <row r="191">
      <c r="A191" s="13">
        <v>190.0</v>
      </c>
      <c r="B191" s="13" t="s">
        <v>1030</v>
      </c>
      <c r="C191" s="13" t="s">
        <v>1031</v>
      </c>
      <c r="D191" s="13" t="s">
        <v>1032</v>
      </c>
      <c r="E191" s="13" t="s">
        <v>1033</v>
      </c>
      <c r="F191" s="13" t="s">
        <v>1034</v>
      </c>
      <c r="G191" s="13" t="s">
        <v>154</v>
      </c>
      <c r="H191" s="13" t="s">
        <v>16</v>
      </c>
      <c r="I191" s="13">
        <v>11561.0</v>
      </c>
      <c r="J191" s="5" t="str">
        <f t="shared" si="1"/>
        <v>Toya Pratt</v>
      </c>
    </row>
    <row r="192">
      <c r="A192" s="13">
        <v>191.0</v>
      </c>
      <c r="B192" s="13" t="s">
        <v>1035</v>
      </c>
      <c r="C192" s="13" t="s">
        <v>1036</v>
      </c>
      <c r="D192" s="13" t="s">
        <v>1037</v>
      </c>
      <c r="E192" s="13" t="s">
        <v>1038</v>
      </c>
      <c r="F192" s="13" t="s">
        <v>1039</v>
      </c>
      <c r="G192" s="13" t="s">
        <v>185</v>
      </c>
      <c r="H192" s="13" t="s">
        <v>15</v>
      </c>
      <c r="I192" s="13">
        <v>93035.0</v>
      </c>
      <c r="J192" s="5" t="str">
        <f t="shared" si="1"/>
        <v>Graciela Barber</v>
      </c>
    </row>
    <row r="193">
      <c r="A193" s="13">
        <v>192.0</v>
      </c>
      <c r="B193" s="13" t="s">
        <v>1040</v>
      </c>
      <c r="C193" s="13" t="s">
        <v>1041</v>
      </c>
      <c r="D193" s="13" t="s">
        <v>18</v>
      </c>
      <c r="E193" s="13" t="s">
        <v>1042</v>
      </c>
      <c r="F193" s="13" t="s">
        <v>1043</v>
      </c>
      <c r="G193" s="13" t="s">
        <v>239</v>
      </c>
      <c r="H193" s="13" t="s">
        <v>15</v>
      </c>
      <c r="I193" s="13">
        <v>90505.0</v>
      </c>
      <c r="J193" s="5" t="str">
        <f t="shared" si="1"/>
        <v>Bong Hebert</v>
      </c>
    </row>
    <row r="194">
      <c r="A194" s="13">
        <v>193.0</v>
      </c>
      <c r="B194" s="13" t="s">
        <v>1044</v>
      </c>
      <c r="C194" s="13" t="s">
        <v>475</v>
      </c>
      <c r="D194" s="13" t="s">
        <v>18</v>
      </c>
      <c r="E194" s="13" t="s">
        <v>1045</v>
      </c>
      <c r="F194" s="13" t="s">
        <v>1046</v>
      </c>
      <c r="G194" s="13" t="s">
        <v>134</v>
      </c>
      <c r="H194" s="13" t="s">
        <v>16</v>
      </c>
      <c r="I194" s="13">
        <v>11801.0</v>
      </c>
      <c r="J194" s="5" t="str">
        <f t="shared" si="1"/>
        <v>Ayanna Rhodes</v>
      </c>
    </row>
    <row r="195">
      <c r="A195" s="13">
        <v>194.0</v>
      </c>
      <c r="B195" s="13" t="s">
        <v>1047</v>
      </c>
      <c r="C195" s="13" t="s">
        <v>1048</v>
      </c>
      <c r="D195" s="13" t="s">
        <v>18</v>
      </c>
      <c r="E195" s="13" t="s">
        <v>1049</v>
      </c>
      <c r="F195" s="13" t="s">
        <v>1050</v>
      </c>
      <c r="G195" s="13" t="s">
        <v>221</v>
      </c>
      <c r="H195" s="13" t="s">
        <v>15</v>
      </c>
      <c r="I195" s="13">
        <v>95060.0</v>
      </c>
      <c r="J195" s="5" t="str">
        <f t="shared" si="1"/>
        <v>Dorine Roberson</v>
      </c>
    </row>
    <row r="196">
      <c r="A196" s="13">
        <v>195.0</v>
      </c>
      <c r="B196" s="13" t="s">
        <v>1051</v>
      </c>
      <c r="C196" s="13" t="s">
        <v>1052</v>
      </c>
      <c r="D196" s="13" t="s">
        <v>18</v>
      </c>
      <c r="E196" s="13" t="s">
        <v>1053</v>
      </c>
      <c r="F196" s="13" t="s">
        <v>1054</v>
      </c>
      <c r="G196" s="13" t="s">
        <v>121</v>
      </c>
      <c r="H196" s="13" t="s">
        <v>16</v>
      </c>
      <c r="I196" s="13">
        <v>11010.0</v>
      </c>
      <c r="J196" s="5" t="str">
        <f t="shared" si="1"/>
        <v>Addie Hahn</v>
      </c>
    </row>
    <row r="197">
      <c r="A197" s="13">
        <v>196.0</v>
      </c>
      <c r="B197" s="13" t="s">
        <v>1055</v>
      </c>
      <c r="C197" s="13" t="s">
        <v>377</v>
      </c>
      <c r="D197" s="13" t="s">
        <v>18</v>
      </c>
      <c r="E197" s="13" t="s">
        <v>1056</v>
      </c>
      <c r="F197" s="13" t="s">
        <v>1057</v>
      </c>
      <c r="G197" s="13" t="s">
        <v>177</v>
      </c>
      <c r="H197" s="13" t="s">
        <v>16</v>
      </c>
      <c r="I197" s="13">
        <v>14120.0</v>
      </c>
      <c r="J197" s="5" t="str">
        <f t="shared" si="1"/>
        <v>Edythe Valencia</v>
      </c>
    </row>
    <row r="198">
      <c r="A198" s="13">
        <v>197.0</v>
      </c>
      <c r="B198" s="13" t="s">
        <v>1058</v>
      </c>
      <c r="C198" s="13" t="s">
        <v>1059</v>
      </c>
      <c r="D198" s="13" t="s">
        <v>18</v>
      </c>
      <c r="E198" s="13" t="s">
        <v>1060</v>
      </c>
      <c r="F198" s="13" t="s">
        <v>1061</v>
      </c>
      <c r="G198" s="13" t="s">
        <v>200</v>
      </c>
      <c r="H198" s="13" t="s">
        <v>16</v>
      </c>
      <c r="I198" s="13">
        <v>11374.0</v>
      </c>
      <c r="J198" s="5" t="str">
        <f t="shared" si="1"/>
        <v>Andy O'neill</v>
      </c>
    </row>
    <row r="199">
      <c r="A199" s="13">
        <v>198.0</v>
      </c>
      <c r="B199" s="13" t="s">
        <v>1062</v>
      </c>
      <c r="C199" s="13" t="s">
        <v>985</v>
      </c>
      <c r="D199" s="13" t="s">
        <v>18</v>
      </c>
      <c r="E199" s="13" t="s">
        <v>1063</v>
      </c>
      <c r="F199" s="13" t="s">
        <v>1064</v>
      </c>
      <c r="G199" s="13" t="s">
        <v>27</v>
      </c>
      <c r="H199" s="13" t="s">
        <v>17</v>
      </c>
      <c r="I199" s="13">
        <v>79106.0</v>
      </c>
      <c r="J199" s="5" t="str">
        <f t="shared" si="1"/>
        <v>Luis Tyler</v>
      </c>
    </row>
    <row r="200">
      <c r="A200" s="13">
        <v>199.0</v>
      </c>
      <c r="B200" s="13" t="s">
        <v>1065</v>
      </c>
      <c r="C200" s="13" t="s">
        <v>1066</v>
      </c>
      <c r="D200" s="13" t="s">
        <v>18</v>
      </c>
      <c r="E200" s="13" t="s">
        <v>1067</v>
      </c>
      <c r="F200" s="13" t="s">
        <v>1068</v>
      </c>
      <c r="G200" s="13" t="s">
        <v>173</v>
      </c>
      <c r="H200" s="13" t="s">
        <v>16</v>
      </c>
      <c r="I200" s="13">
        <v>12553.0</v>
      </c>
      <c r="J200" s="5" t="str">
        <f t="shared" si="1"/>
        <v>Clelia Workman</v>
      </c>
    </row>
    <row r="201">
      <c r="A201" s="13">
        <v>200.0</v>
      </c>
      <c r="B201" s="13" t="s">
        <v>1069</v>
      </c>
      <c r="C201" s="13" t="s">
        <v>1070</v>
      </c>
      <c r="D201" s="13" t="s">
        <v>18</v>
      </c>
      <c r="E201" s="13" t="s">
        <v>1071</v>
      </c>
      <c r="F201" s="13" t="s">
        <v>1072</v>
      </c>
      <c r="G201" s="13" t="s">
        <v>115</v>
      </c>
      <c r="H201" s="13" t="s">
        <v>16</v>
      </c>
      <c r="I201" s="13">
        <v>11735.0</v>
      </c>
      <c r="J201" s="5" t="str">
        <f t="shared" si="1"/>
        <v>Ashely Holmes</v>
      </c>
    </row>
    <row r="202">
      <c r="A202" s="13">
        <v>201.0</v>
      </c>
      <c r="B202" s="13" t="s">
        <v>1073</v>
      </c>
      <c r="C202" s="13" t="s">
        <v>1074</v>
      </c>
      <c r="D202" s="13" t="s">
        <v>18</v>
      </c>
      <c r="E202" s="13" t="s">
        <v>1075</v>
      </c>
      <c r="F202" s="13" t="s">
        <v>1076</v>
      </c>
      <c r="G202" s="13" t="s">
        <v>46</v>
      </c>
      <c r="H202" s="13" t="s">
        <v>16</v>
      </c>
      <c r="I202" s="13">
        <v>12020.0</v>
      </c>
      <c r="J202" s="5" t="str">
        <f t="shared" si="1"/>
        <v>Candis Harding</v>
      </c>
    </row>
    <row r="203">
      <c r="A203" s="13">
        <v>202.0</v>
      </c>
      <c r="B203" s="13" t="s">
        <v>1077</v>
      </c>
      <c r="C203" s="13" t="s">
        <v>1078</v>
      </c>
      <c r="D203" s="13" t="s">
        <v>1079</v>
      </c>
      <c r="E203" s="13" t="s">
        <v>1080</v>
      </c>
      <c r="F203" s="13" t="s">
        <v>1081</v>
      </c>
      <c r="G203" s="13" t="s">
        <v>148</v>
      </c>
      <c r="H203" s="13" t="s">
        <v>16</v>
      </c>
      <c r="I203" s="13">
        <v>14086.0</v>
      </c>
      <c r="J203" s="5" t="str">
        <f t="shared" si="1"/>
        <v>Marni Bolton</v>
      </c>
    </row>
    <row r="204">
      <c r="A204" s="13">
        <v>203.0</v>
      </c>
      <c r="B204" s="13" t="s">
        <v>1082</v>
      </c>
      <c r="C204" s="13" t="s">
        <v>1083</v>
      </c>
      <c r="D204" s="13" t="s">
        <v>1084</v>
      </c>
      <c r="E204" s="13" t="s">
        <v>1085</v>
      </c>
      <c r="F204" s="13" t="s">
        <v>1086</v>
      </c>
      <c r="G204" s="13" t="s">
        <v>138</v>
      </c>
      <c r="H204" s="13" t="s">
        <v>17</v>
      </c>
      <c r="I204" s="13">
        <v>77016.0</v>
      </c>
      <c r="J204" s="5" t="str">
        <f t="shared" si="1"/>
        <v>Minerva Decker</v>
      </c>
    </row>
    <row r="205">
      <c r="A205" s="13">
        <v>204.0</v>
      </c>
      <c r="B205" s="13" t="s">
        <v>1087</v>
      </c>
      <c r="C205" s="13" t="s">
        <v>1088</v>
      </c>
      <c r="D205" s="13" t="s">
        <v>18</v>
      </c>
      <c r="E205" s="13" t="s">
        <v>1089</v>
      </c>
      <c r="F205" s="13" t="s">
        <v>1090</v>
      </c>
      <c r="G205" s="13" t="s">
        <v>206</v>
      </c>
      <c r="H205" s="13" t="s">
        <v>16</v>
      </c>
      <c r="I205" s="13">
        <v>11570.0</v>
      </c>
      <c r="J205" s="5" t="str">
        <f t="shared" si="1"/>
        <v>Alpha King</v>
      </c>
    </row>
    <row r="206">
      <c r="A206" s="13">
        <v>205.0</v>
      </c>
      <c r="B206" s="13" t="s">
        <v>1091</v>
      </c>
      <c r="C206" s="13" t="s">
        <v>1092</v>
      </c>
      <c r="D206" s="13" t="s">
        <v>18</v>
      </c>
      <c r="E206" s="13" t="s">
        <v>1093</v>
      </c>
      <c r="F206" s="13" t="s">
        <v>1094</v>
      </c>
      <c r="G206" s="13" t="s">
        <v>144</v>
      </c>
      <c r="H206" s="13" t="s">
        <v>16</v>
      </c>
      <c r="I206" s="13">
        <v>11432.0</v>
      </c>
      <c r="J206" s="5" t="str">
        <f t="shared" si="1"/>
        <v>Harris Pittman</v>
      </c>
    </row>
    <row r="207">
      <c r="A207" s="13">
        <v>206.0</v>
      </c>
      <c r="B207" s="13" t="s">
        <v>1095</v>
      </c>
      <c r="C207" s="13" t="s">
        <v>1096</v>
      </c>
      <c r="D207" s="13" t="s">
        <v>18</v>
      </c>
      <c r="E207" s="13" t="s">
        <v>1097</v>
      </c>
      <c r="F207" s="13" t="s">
        <v>1098</v>
      </c>
      <c r="G207" s="13" t="s">
        <v>62</v>
      </c>
      <c r="H207" s="13" t="s">
        <v>16</v>
      </c>
      <c r="I207" s="13">
        <v>11201.0</v>
      </c>
      <c r="J207" s="5" t="str">
        <f t="shared" si="1"/>
        <v>Stephaine Riddle</v>
      </c>
    </row>
    <row r="208">
      <c r="A208" s="13">
        <v>207.0</v>
      </c>
      <c r="B208" s="13" t="s">
        <v>1099</v>
      </c>
      <c r="C208" s="13" t="s">
        <v>1100</v>
      </c>
      <c r="D208" s="13" t="s">
        <v>18</v>
      </c>
      <c r="E208" s="13" t="s">
        <v>1101</v>
      </c>
      <c r="F208" s="13" t="s">
        <v>1102</v>
      </c>
      <c r="G208" s="13" t="s">
        <v>119</v>
      </c>
      <c r="H208" s="13" t="s">
        <v>17</v>
      </c>
      <c r="I208" s="13">
        <v>75126.0</v>
      </c>
      <c r="J208" s="5" t="str">
        <f t="shared" si="1"/>
        <v>Michel Blankenship</v>
      </c>
    </row>
    <row r="209">
      <c r="A209" s="13">
        <v>208.0</v>
      </c>
      <c r="B209" s="13" t="s">
        <v>1103</v>
      </c>
      <c r="C209" s="13" t="s">
        <v>632</v>
      </c>
      <c r="D209" s="13" t="s">
        <v>18</v>
      </c>
      <c r="E209" s="13" t="s">
        <v>1104</v>
      </c>
      <c r="F209" s="13" t="s">
        <v>1105</v>
      </c>
      <c r="G209" s="13" t="s">
        <v>203</v>
      </c>
      <c r="H209" s="13" t="s">
        <v>15</v>
      </c>
      <c r="I209" s="13">
        <v>93555.0</v>
      </c>
      <c r="J209" s="5" t="str">
        <f t="shared" si="1"/>
        <v>Denis Logan</v>
      </c>
    </row>
    <row r="210">
      <c r="A210" s="13">
        <v>209.0</v>
      </c>
      <c r="B210" s="13" t="s">
        <v>1106</v>
      </c>
      <c r="C210" s="13" t="s">
        <v>1107</v>
      </c>
      <c r="D210" s="13" t="s">
        <v>18</v>
      </c>
      <c r="E210" s="13" t="s">
        <v>1108</v>
      </c>
      <c r="F210" s="13" t="s">
        <v>1109</v>
      </c>
      <c r="G210" s="13" t="s">
        <v>226</v>
      </c>
      <c r="H210" s="13" t="s">
        <v>16</v>
      </c>
      <c r="I210" s="13">
        <v>11784.0</v>
      </c>
      <c r="J210" s="5" t="str">
        <f t="shared" si="1"/>
        <v>Jutta Everett</v>
      </c>
    </row>
    <row r="211">
      <c r="A211" s="13">
        <v>210.0</v>
      </c>
      <c r="B211" s="13" t="s">
        <v>1110</v>
      </c>
      <c r="C211" s="13" t="s">
        <v>806</v>
      </c>
      <c r="D211" s="13" t="s">
        <v>1111</v>
      </c>
      <c r="E211" s="13" t="s">
        <v>1112</v>
      </c>
      <c r="F211" s="13" t="s">
        <v>1113</v>
      </c>
      <c r="G211" s="13" t="s">
        <v>25</v>
      </c>
      <c r="H211" s="13" t="s">
        <v>16</v>
      </c>
      <c r="I211" s="13">
        <v>12203.0</v>
      </c>
      <c r="J211" s="5" t="str">
        <f t="shared" si="1"/>
        <v>Priscilla Wilkins</v>
      </c>
    </row>
    <row r="212">
      <c r="A212" s="13">
        <v>211.0</v>
      </c>
      <c r="B212" s="13" t="s">
        <v>1114</v>
      </c>
      <c r="C212" s="13" t="s">
        <v>778</v>
      </c>
      <c r="D212" s="13" t="s">
        <v>18</v>
      </c>
      <c r="E212" s="13" t="s">
        <v>1115</v>
      </c>
      <c r="F212" s="13" t="s">
        <v>1116</v>
      </c>
      <c r="G212" s="13" t="s">
        <v>224</v>
      </c>
      <c r="H212" s="13" t="s">
        <v>16</v>
      </c>
      <c r="I212" s="13">
        <v>10583.0</v>
      </c>
      <c r="J212" s="5" t="str">
        <f t="shared" si="1"/>
        <v>Gilma Dejesus</v>
      </c>
    </row>
    <row r="213">
      <c r="A213" s="13">
        <v>212.0</v>
      </c>
      <c r="B213" s="13" t="s">
        <v>1117</v>
      </c>
      <c r="C213" s="13" t="s">
        <v>579</v>
      </c>
      <c r="D213" s="13" t="s">
        <v>1118</v>
      </c>
      <c r="E213" s="13" t="s">
        <v>1119</v>
      </c>
      <c r="F213" s="13" t="s">
        <v>1120</v>
      </c>
      <c r="G213" s="13" t="s">
        <v>240</v>
      </c>
      <c r="H213" s="13" t="s">
        <v>16</v>
      </c>
      <c r="I213" s="13">
        <v>12180.0</v>
      </c>
      <c r="J213" s="5" t="str">
        <f t="shared" si="1"/>
        <v>Buford Bridges</v>
      </c>
    </row>
    <row r="214">
      <c r="A214" s="13">
        <v>213.0</v>
      </c>
      <c r="B214" s="13" t="s">
        <v>1121</v>
      </c>
      <c r="C214" s="13" t="s">
        <v>1122</v>
      </c>
      <c r="D214" s="13" t="s">
        <v>18</v>
      </c>
      <c r="E214" s="13" t="s">
        <v>1123</v>
      </c>
      <c r="F214" s="13" t="s">
        <v>1124</v>
      </c>
      <c r="G214" s="13" t="s">
        <v>130</v>
      </c>
      <c r="H214" s="13" t="s">
        <v>16</v>
      </c>
      <c r="I214" s="13">
        <v>14075.0</v>
      </c>
      <c r="J214" s="5" t="str">
        <f t="shared" si="1"/>
        <v>Elenore Hensley</v>
      </c>
    </row>
    <row r="215">
      <c r="A215" s="13">
        <v>214.0</v>
      </c>
      <c r="B215" s="13" t="s">
        <v>1125</v>
      </c>
      <c r="C215" s="13" t="s">
        <v>1126</v>
      </c>
      <c r="D215" s="13" t="s">
        <v>18</v>
      </c>
      <c r="E215" s="13" t="s">
        <v>1127</v>
      </c>
      <c r="F215" s="13" t="s">
        <v>1128</v>
      </c>
      <c r="G215" s="13" t="s">
        <v>177</v>
      </c>
      <c r="H215" s="13" t="s">
        <v>16</v>
      </c>
      <c r="I215" s="13">
        <v>14120.0</v>
      </c>
      <c r="J215" s="5" t="str">
        <f t="shared" si="1"/>
        <v>Ross Pugh</v>
      </c>
    </row>
    <row r="216">
      <c r="A216" s="13">
        <v>215.0</v>
      </c>
      <c r="B216" s="13" t="s">
        <v>1129</v>
      </c>
      <c r="C216" s="13" t="s">
        <v>1130</v>
      </c>
      <c r="D216" s="13" t="s">
        <v>18</v>
      </c>
      <c r="E216" s="13" t="s">
        <v>1131</v>
      </c>
      <c r="F216" s="13" t="s">
        <v>1132</v>
      </c>
      <c r="G216" s="13" t="s">
        <v>254</v>
      </c>
      <c r="H216" s="13" t="s">
        <v>16</v>
      </c>
      <c r="I216" s="13">
        <v>11357.0</v>
      </c>
      <c r="J216" s="5" t="str">
        <f t="shared" si="1"/>
        <v>Judith Finley</v>
      </c>
    </row>
    <row r="217">
      <c r="A217" s="13">
        <v>216.0</v>
      </c>
      <c r="B217" s="13" t="s">
        <v>1133</v>
      </c>
      <c r="C217" s="13" t="s">
        <v>1134</v>
      </c>
      <c r="D217" s="13" t="s">
        <v>18</v>
      </c>
      <c r="E217" s="13" t="s">
        <v>1135</v>
      </c>
      <c r="F217" s="13" t="s">
        <v>1136</v>
      </c>
      <c r="G217" s="13" t="s">
        <v>56</v>
      </c>
      <c r="H217" s="13" t="s">
        <v>16</v>
      </c>
      <c r="I217" s="13">
        <v>11714.0</v>
      </c>
      <c r="J217" s="5" t="str">
        <f t="shared" si="1"/>
        <v>Wai Soto</v>
      </c>
    </row>
    <row r="218">
      <c r="A218" s="13">
        <v>217.0</v>
      </c>
      <c r="B218" s="13" t="s">
        <v>1137</v>
      </c>
      <c r="C218" s="13" t="s">
        <v>1138</v>
      </c>
      <c r="D218" s="13" t="s">
        <v>1139</v>
      </c>
      <c r="E218" s="13" t="s">
        <v>1140</v>
      </c>
      <c r="F218" s="13" t="s">
        <v>1141</v>
      </c>
      <c r="G218" s="13" t="s">
        <v>124</v>
      </c>
      <c r="H218" s="13" t="s">
        <v>15</v>
      </c>
      <c r="I218" s="13">
        <v>93706.0</v>
      </c>
      <c r="J218" s="5" t="str">
        <f t="shared" si="1"/>
        <v>Carline Collier</v>
      </c>
    </row>
    <row r="219">
      <c r="A219" s="13">
        <v>218.0</v>
      </c>
      <c r="B219" s="13" t="s">
        <v>555</v>
      </c>
      <c r="C219" s="13" t="s">
        <v>1142</v>
      </c>
      <c r="D219" s="13" t="s">
        <v>18</v>
      </c>
      <c r="E219" s="13" t="s">
        <v>1143</v>
      </c>
      <c r="F219" s="13" t="s">
        <v>1144</v>
      </c>
      <c r="G219" s="13" t="s">
        <v>196</v>
      </c>
      <c r="H219" s="13" t="s">
        <v>16</v>
      </c>
      <c r="I219" s="13">
        <v>11050.0</v>
      </c>
      <c r="J219" s="5" t="str">
        <f t="shared" si="1"/>
        <v>Casey Gill</v>
      </c>
    </row>
    <row r="220">
      <c r="A220" s="13">
        <v>219.0</v>
      </c>
      <c r="B220" s="13" t="s">
        <v>1145</v>
      </c>
      <c r="C220" s="13" t="s">
        <v>1146</v>
      </c>
      <c r="D220" s="13" t="s">
        <v>1147</v>
      </c>
      <c r="E220" s="13" t="s">
        <v>1148</v>
      </c>
      <c r="F220" s="13" t="s">
        <v>1149</v>
      </c>
      <c r="G220" s="13" t="s">
        <v>180</v>
      </c>
      <c r="H220" s="13" t="s">
        <v>16</v>
      </c>
      <c r="I220" s="13">
        <v>11572.0</v>
      </c>
      <c r="J220" s="5" t="str">
        <f t="shared" si="1"/>
        <v>Darcie Morgan</v>
      </c>
    </row>
    <row r="221">
      <c r="A221" s="13">
        <v>220.0</v>
      </c>
      <c r="B221" s="13" t="s">
        <v>1150</v>
      </c>
      <c r="C221" s="13" t="s">
        <v>1151</v>
      </c>
      <c r="D221" s="13" t="s">
        <v>18</v>
      </c>
      <c r="E221" s="13" t="s">
        <v>1152</v>
      </c>
      <c r="F221" s="13" t="s">
        <v>1153</v>
      </c>
      <c r="G221" s="13" t="s">
        <v>228</v>
      </c>
      <c r="H221" s="13" t="s">
        <v>16</v>
      </c>
      <c r="I221" s="13">
        <v>11787.0</v>
      </c>
      <c r="J221" s="5" t="str">
        <f t="shared" si="1"/>
        <v>Lucio Sherman</v>
      </c>
    </row>
    <row r="222">
      <c r="A222" s="13">
        <v>221.0</v>
      </c>
      <c r="B222" s="13" t="s">
        <v>1154</v>
      </c>
      <c r="C222" s="13" t="s">
        <v>1155</v>
      </c>
      <c r="D222" s="13" t="s">
        <v>18</v>
      </c>
      <c r="E222" s="13" t="s">
        <v>1156</v>
      </c>
      <c r="F222" s="13" t="s">
        <v>1157</v>
      </c>
      <c r="G222" s="13" t="s">
        <v>162</v>
      </c>
      <c r="H222" s="13" t="s">
        <v>17</v>
      </c>
      <c r="I222" s="13">
        <v>78501.0</v>
      </c>
      <c r="J222" s="5" t="str">
        <f t="shared" si="1"/>
        <v>Clementine Mooney</v>
      </c>
    </row>
    <row r="223">
      <c r="A223" s="13">
        <v>222.0</v>
      </c>
      <c r="B223" s="13" t="s">
        <v>1158</v>
      </c>
      <c r="C223" s="13" t="s">
        <v>1159</v>
      </c>
      <c r="D223" s="13" t="s">
        <v>18</v>
      </c>
      <c r="E223" s="13" t="s">
        <v>1160</v>
      </c>
      <c r="F223" s="13" t="s">
        <v>1161</v>
      </c>
      <c r="G223" s="13" t="s">
        <v>104</v>
      </c>
      <c r="H223" s="13" t="s">
        <v>16</v>
      </c>
      <c r="I223" s="13">
        <v>11731.0</v>
      </c>
      <c r="J223" s="5" t="str">
        <f t="shared" si="1"/>
        <v>Anya Contreras</v>
      </c>
    </row>
    <row r="224">
      <c r="A224" s="13">
        <v>223.0</v>
      </c>
      <c r="B224" s="13" t="s">
        <v>1162</v>
      </c>
      <c r="C224" s="13" t="s">
        <v>1163</v>
      </c>
      <c r="D224" s="13" t="s">
        <v>18</v>
      </c>
      <c r="E224" s="13" t="s">
        <v>1164</v>
      </c>
      <c r="F224" s="13" t="s">
        <v>1165</v>
      </c>
      <c r="G224" s="13" t="s">
        <v>188</v>
      </c>
      <c r="H224" s="13" t="s">
        <v>16</v>
      </c>
      <c r="I224" s="13">
        <v>11772.0</v>
      </c>
      <c r="J224" s="5" t="str">
        <f t="shared" si="1"/>
        <v>Scarlet Yates</v>
      </c>
    </row>
    <row r="225">
      <c r="A225" s="13">
        <v>224.0</v>
      </c>
      <c r="B225" s="13" t="s">
        <v>1166</v>
      </c>
      <c r="C225" s="13" t="s">
        <v>1167</v>
      </c>
      <c r="D225" s="13" t="s">
        <v>18</v>
      </c>
      <c r="E225" s="13" t="s">
        <v>1168</v>
      </c>
      <c r="F225" s="13" t="s">
        <v>1169</v>
      </c>
      <c r="G225" s="13" t="s">
        <v>149</v>
      </c>
      <c r="H225" s="13" t="s">
        <v>15</v>
      </c>
      <c r="I225" s="13">
        <v>90260.0</v>
      </c>
      <c r="J225" s="5" t="str">
        <f t="shared" si="1"/>
        <v>Moses Pope</v>
      </c>
    </row>
    <row r="226">
      <c r="A226" s="13">
        <v>225.0</v>
      </c>
      <c r="B226" s="13" t="s">
        <v>1170</v>
      </c>
      <c r="C226" s="13" t="s">
        <v>1171</v>
      </c>
      <c r="D226" s="13" t="s">
        <v>18</v>
      </c>
      <c r="E226" s="13" t="s">
        <v>1172</v>
      </c>
      <c r="F226" s="13" t="s">
        <v>1173</v>
      </c>
      <c r="G226" s="13" t="s">
        <v>190</v>
      </c>
      <c r="H226" s="13" t="s">
        <v>16</v>
      </c>
      <c r="I226" s="13">
        <v>11803.0</v>
      </c>
      <c r="J226" s="5" t="str">
        <f t="shared" si="1"/>
        <v>Barbera Riggs</v>
      </c>
    </row>
    <row r="227">
      <c r="A227" s="13">
        <v>226.0</v>
      </c>
      <c r="B227" s="13" t="s">
        <v>1174</v>
      </c>
      <c r="C227" s="13" t="s">
        <v>1175</v>
      </c>
      <c r="D227" s="13" t="s">
        <v>18</v>
      </c>
      <c r="E227" s="13" t="s">
        <v>1176</v>
      </c>
      <c r="F227" s="13" t="s">
        <v>1177</v>
      </c>
      <c r="G227" s="13" t="s">
        <v>202</v>
      </c>
      <c r="H227" s="13" t="s">
        <v>16</v>
      </c>
      <c r="I227" s="13">
        <v>11418.0</v>
      </c>
      <c r="J227" s="5" t="str">
        <f t="shared" si="1"/>
        <v>Kiana Rivera</v>
      </c>
    </row>
    <row r="228">
      <c r="A228" s="13">
        <v>227.0</v>
      </c>
      <c r="B228" s="13" t="s">
        <v>1178</v>
      </c>
      <c r="C228" s="13" t="s">
        <v>1179</v>
      </c>
      <c r="D228" s="13" t="s">
        <v>18</v>
      </c>
      <c r="E228" s="13" t="s">
        <v>1180</v>
      </c>
      <c r="F228" s="13" t="s">
        <v>1181</v>
      </c>
      <c r="G228" s="13" t="s">
        <v>188</v>
      </c>
      <c r="H228" s="13" t="s">
        <v>16</v>
      </c>
      <c r="I228" s="13">
        <v>11772.0</v>
      </c>
      <c r="J228" s="5" t="str">
        <f t="shared" si="1"/>
        <v>Danielle Bond</v>
      </c>
    </row>
    <row r="229">
      <c r="A229" s="13">
        <v>228.0</v>
      </c>
      <c r="B229" s="13" t="s">
        <v>1182</v>
      </c>
      <c r="C229" s="13" t="s">
        <v>1183</v>
      </c>
      <c r="D229" s="13" t="s">
        <v>1184</v>
      </c>
      <c r="E229" s="13" t="s">
        <v>1185</v>
      </c>
      <c r="F229" s="13" t="s">
        <v>1186</v>
      </c>
      <c r="G229" s="13" t="s">
        <v>58</v>
      </c>
      <c r="H229" s="13" t="s">
        <v>16</v>
      </c>
      <c r="I229" s="13">
        <v>11717.0</v>
      </c>
      <c r="J229" s="5" t="str">
        <f t="shared" si="1"/>
        <v>Whitney Estes</v>
      </c>
    </row>
    <row r="230">
      <c r="A230" s="13">
        <v>229.0</v>
      </c>
      <c r="B230" s="13" t="s">
        <v>1187</v>
      </c>
      <c r="C230" s="13" t="s">
        <v>1188</v>
      </c>
      <c r="D230" s="13" t="s">
        <v>18</v>
      </c>
      <c r="E230" s="13" t="s">
        <v>1189</v>
      </c>
      <c r="F230" s="13" t="s">
        <v>1190</v>
      </c>
      <c r="G230" s="13" t="s">
        <v>135</v>
      </c>
      <c r="H230" s="13" t="s">
        <v>16</v>
      </c>
      <c r="I230" s="13">
        <v>11741.0</v>
      </c>
      <c r="J230" s="5" t="str">
        <f t="shared" si="1"/>
        <v>Molly Langley</v>
      </c>
    </row>
    <row r="231">
      <c r="A231" s="13">
        <v>230.0</v>
      </c>
      <c r="B231" s="13" t="s">
        <v>1191</v>
      </c>
      <c r="C231" s="13" t="s">
        <v>340</v>
      </c>
      <c r="D231" s="13" t="s">
        <v>18</v>
      </c>
      <c r="E231" s="13" t="s">
        <v>1192</v>
      </c>
      <c r="F231" s="13" t="s">
        <v>1193</v>
      </c>
      <c r="G231" s="13" t="s">
        <v>92</v>
      </c>
      <c r="H231" s="13" t="s">
        <v>16</v>
      </c>
      <c r="I231" s="13">
        <v>11729.0</v>
      </c>
      <c r="J231" s="5" t="str">
        <f t="shared" si="1"/>
        <v>Chelsey Hardin</v>
      </c>
    </row>
    <row r="232">
      <c r="A232" s="13">
        <v>231.0</v>
      </c>
      <c r="B232" s="13" t="s">
        <v>1194</v>
      </c>
      <c r="C232" s="13" t="s">
        <v>1195</v>
      </c>
      <c r="D232" s="13" t="s">
        <v>1196</v>
      </c>
      <c r="E232" s="13" t="s">
        <v>1197</v>
      </c>
      <c r="F232" s="13" t="s">
        <v>1198</v>
      </c>
      <c r="G232" s="13" t="s">
        <v>211</v>
      </c>
      <c r="H232" s="13" t="s">
        <v>15</v>
      </c>
      <c r="I232" s="13">
        <v>95820.0</v>
      </c>
      <c r="J232" s="5" t="str">
        <f t="shared" si="1"/>
        <v>Jenee Rasmussen</v>
      </c>
    </row>
    <row r="233">
      <c r="A233" s="13">
        <v>232.0</v>
      </c>
      <c r="B233" s="13" t="s">
        <v>1199</v>
      </c>
      <c r="C233" s="13" t="s">
        <v>1200</v>
      </c>
      <c r="D233" s="13" t="s">
        <v>18</v>
      </c>
      <c r="E233" s="13" t="s">
        <v>1201</v>
      </c>
      <c r="F233" s="13" t="s">
        <v>1202</v>
      </c>
      <c r="G233" s="13" t="s">
        <v>112</v>
      </c>
      <c r="H233" s="13" t="s">
        <v>17</v>
      </c>
      <c r="I233" s="13">
        <v>76039.0</v>
      </c>
      <c r="J233" s="5" t="str">
        <f t="shared" si="1"/>
        <v>Freddie Mathis</v>
      </c>
    </row>
    <row r="234">
      <c r="A234" s="13">
        <v>233.0</v>
      </c>
      <c r="B234" s="13" t="s">
        <v>1203</v>
      </c>
      <c r="C234" s="13" t="s">
        <v>1204</v>
      </c>
      <c r="D234" s="13" t="s">
        <v>18</v>
      </c>
      <c r="E234" s="13" t="s">
        <v>1205</v>
      </c>
      <c r="F234" s="13" t="s">
        <v>1206</v>
      </c>
      <c r="G234" s="13" t="s">
        <v>220</v>
      </c>
      <c r="H234" s="13" t="s">
        <v>15</v>
      </c>
      <c r="I234" s="13">
        <v>95050.0</v>
      </c>
      <c r="J234" s="5" t="str">
        <f t="shared" si="1"/>
        <v>Mariana Strong</v>
      </c>
    </row>
    <row r="235">
      <c r="A235" s="13">
        <v>234.0</v>
      </c>
      <c r="B235" s="13" t="s">
        <v>1207</v>
      </c>
      <c r="C235" s="13" t="s">
        <v>1091</v>
      </c>
      <c r="D235" s="13" t="s">
        <v>18</v>
      </c>
      <c r="E235" s="13" t="s">
        <v>1208</v>
      </c>
      <c r="F235" s="13" t="s">
        <v>1209</v>
      </c>
      <c r="G235" s="13" t="s">
        <v>102</v>
      </c>
      <c r="H235" s="13" t="s">
        <v>16</v>
      </c>
      <c r="I235" s="13">
        <v>11554.0</v>
      </c>
      <c r="J235" s="5" t="str">
        <f t="shared" si="1"/>
        <v>Winfred Harris</v>
      </c>
    </row>
    <row r="236">
      <c r="A236" s="13">
        <v>235.0</v>
      </c>
      <c r="B236" s="13" t="s">
        <v>933</v>
      </c>
      <c r="C236" s="13" t="s">
        <v>1210</v>
      </c>
      <c r="D236" s="13" t="s">
        <v>18</v>
      </c>
      <c r="E236" s="13" t="s">
        <v>1211</v>
      </c>
      <c r="F236" s="13" t="s">
        <v>1212</v>
      </c>
      <c r="G236" s="13" t="s">
        <v>50</v>
      </c>
      <c r="H236" s="13" t="s">
        <v>16</v>
      </c>
      <c r="I236" s="13">
        <v>11706.0</v>
      </c>
      <c r="J236" s="5" t="str">
        <f t="shared" si="1"/>
        <v>Jeromy Elliott</v>
      </c>
    </row>
    <row r="237">
      <c r="A237" s="13">
        <v>236.0</v>
      </c>
      <c r="B237" s="13" t="s">
        <v>1213</v>
      </c>
      <c r="C237" s="13" t="s">
        <v>1059</v>
      </c>
      <c r="D237" s="13" t="s">
        <v>18</v>
      </c>
      <c r="E237" s="13" t="s">
        <v>1214</v>
      </c>
      <c r="F237" s="13" t="s">
        <v>1215</v>
      </c>
      <c r="G237" s="13" t="s">
        <v>226</v>
      </c>
      <c r="H237" s="13" t="s">
        <v>16</v>
      </c>
      <c r="I237" s="13">
        <v>11784.0</v>
      </c>
      <c r="J237" s="5" t="str">
        <f t="shared" si="1"/>
        <v>Verona O'neill</v>
      </c>
    </row>
    <row r="238">
      <c r="A238" s="13">
        <v>237.0</v>
      </c>
      <c r="B238" s="13" t="s">
        <v>1216</v>
      </c>
      <c r="C238" s="13" t="s">
        <v>1217</v>
      </c>
      <c r="D238" s="13" t="s">
        <v>18</v>
      </c>
      <c r="E238" s="13" t="s">
        <v>1218</v>
      </c>
      <c r="F238" s="13" t="s">
        <v>1219</v>
      </c>
      <c r="G238" s="13" t="s">
        <v>48</v>
      </c>
      <c r="H238" s="13" t="s">
        <v>15</v>
      </c>
      <c r="I238" s="13">
        <v>92220.0</v>
      </c>
      <c r="J238" s="5" t="str">
        <f t="shared" si="1"/>
        <v>Elvera Peck</v>
      </c>
    </row>
    <row r="239">
      <c r="A239" s="13">
        <v>238.0</v>
      </c>
      <c r="B239" s="13" t="s">
        <v>1220</v>
      </c>
      <c r="C239" s="13" t="s">
        <v>930</v>
      </c>
      <c r="D239" s="13" t="s">
        <v>18</v>
      </c>
      <c r="E239" s="13" t="s">
        <v>1221</v>
      </c>
      <c r="F239" s="13" t="s">
        <v>1222</v>
      </c>
      <c r="G239" s="13" t="s">
        <v>139</v>
      </c>
      <c r="H239" s="13" t="s">
        <v>16</v>
      </c>
      <c r="I239" s="13">
        <v>11414.0</v>
      </c>
      <c r="J239" s="5" t="str">
        <f t="shared" si="1"/>
        <v>Cindi Larson</v>
      </c>
    </row>
    <row r="240">
      <c r="A240" s="13">
        <v>239.0</v>
      </c>
      <c r="B240" s="13" t="s">
        <v>1223</v>
      </c>
      <c r="C240" s="13" t="s">
        <v>1224</v>
      </c>
      <c r="D240" s="13" t="s">
        <v>18</v>
      </c>
      <c r="E240" s="13" t="s">
        <v>1225</v>
      </c>
      <c r="F240" s="13" t="s">
        <v>1226</v>
      </c>
      <c r="G240" s="13" t="s">
        <v>70</v>
      </c>
      <c r="H240" s="13" t="s">
        <v>15</v>
      </c>
      <c r="I240" s="13">
        <v>91387.0</v>
      </c>
      <c r="J240" s="5" t="str">
        <f t="shared" si="1"/>
        <v>Felice Guzman</v>
      </c>
    </row>
    <row r="241">
      <c r="A241" s="13">
        <v>240.0</v>
      </c>
      <c r="B241" s="13" t="s">
        <v>745</v>
      </c>
      <c r="C241" s="13" t="s">
        <v>1227</v>
      </c>
      <c r="D241" s="13" t="s">
        <v>18</v>
      </c>
      <c r="E241" s="13" t="s">
        <v>1228</v>
      </c>
      <c r="F241" s="13" t="s">
        <v>1229</v>
      </c>
      <c r="G241" s="13" t="s">
        <v>48</v>
      </c>
      <c r="H241" s="13" t="s">
        <v>15</v>
      </c>
      <c r="I241" s="13">
        <v>92220.0</v>
      </c>
      <c r="J241" s="5" t="str">
        <f t="shared" si="1"/>
        <v>Le Deleon</v>
      </c>
    </row>
    <row r="242">
      <c r="A242" s="13">
        <v>241.0</v>
      </c>
      <c r="B242" s="13" t="s">
        <v>1230</v>
      </c>
      <c r="C242" s="13" t="s">
        <v>331</v>
      </c>
      <c r="D242" s="13" t="s">
        <v>18</v>
      </c>
      <c r="E242" s="13" t="s">
        <v>1231</v>
      </c>
      <c r="F242" s="13" t="s">
        <v>1232</v>
      </c>
      <c r="G242" s="13" t="s">
        <v>198</v>
      </c>
      <c r="H242" s="13" t="s">
        <v>16</v>
      </c>
      <c r="I242" s="13">
        <v>12804.0</v>
      </c>
      <c r="J242" s="5" t="str">
        <f t="shared" si="1"/>
        <v>Manie Sanchez</v>
      </c>
    </row>
    <row r="243">
      <c r="A243" s="13">
        <v>242.0</v>
      </c>
      <c r="B243" s="13" t="s">
        <v>1233</v>
      </c>
      <c r="C243" s="13" t="s">
        <v>677</v>
      </c>
      <c r="D243" s="13" t="s">
        <v>18</v>
      </c>
      <c r="E243" s="13" t="s">
        <v>1234</v>
      </c>
      <c r="F243" s="13" t="s">
        <v>1235</v>
      </c>
      <c r="G243" s="13" t="s">
        <v>70</v>
      </c>
      <c r="H243" s="13" t="s">
        <v>15</v>
      </c>
      <c r="I243" s="13">
        <v>91387.0</v>
      </c>
      <c r="J243" s="5" t="str">
        <f t="shared" si="1"/>
        <v>Rutha Howell</v>
      </c>
    </row>
    <row r="244">
      <c r="A244" s="13">
        <v>243.0</v>
      </c>
      <c r="B244" s="13" t="s">
        <v>1236</v>
      </c>
      <c r="C244" s="13" t="s">
        <v>1237</v>
      </c>
      <c r="D244" s="13" t="s">
        <v>18</v>
      </c>
      <c r="E244" s="13" t="s">
        <v>1238</v>
      </c>
      <c r="F244" s="13" t="s">
        <v>1239</v>
      </c>
      <c r="G244" s="13" t="s">
        <v>46</v>
      </c>
      <c r="H244" s="13" t="s">
        <v>16</v>
      </c>
      <c r="I244" s="13">
        <v>12020.0</v>
      </c>
      <c r="J244" s="5" t="str">
        <f t="shared" si="1"/>
        <v>Natosha Rowland</v>
      </c>
    </row>
    <row r="245">
      <c r="A245" s="13">
        <v>244.0</v>
      </c>
      <c r="B245" s="13" t="s">
        <v>1240</v>
      </c>
      <c r="C245" s="13" t="s">
        <v>1241</v>
      </c>
      <c r="D245" s="13" t="s">
        <v>18</v>
      </c>
      <c r="E245" s="13" t="s">
        <v>1242</v>
      </c>
      <c r="F245" s="13" t="s">
        <v>1243</v>
      </c>
      <c r="G245" s="13" t="s">
        <v>219</v>
      </c>
      <c r="H245" s="13" t="s">
        <v>15</v>
      </c>
      <c r="I245" s="13">
        <v>94806.0</v>
      </c>
      <c r="J245" s="5" t="str">
        <f t="shared" si="1"/>
        <v>Jessika Bray</v>
      </c>
    </row>
    <row r="246">
      <c r="A246" s="13">
        <v>245.0</v>
      </c>
      <c r="B246" s="13" t="s">
        <v>1244</v>
      </c>
      <c r="C246" s="13" t="s">
        <v>1245</v>
      </c>
      <c r="D246" s="13" t="s">
        <v>18</v>
      </c>
      <c r="E246" s="13" t="s">
        <v>1246</v>
      </c>
      <c r="F246" s="13" t="s">
        <v>1247</v>
      </c>
      <c r="G246" s="13" t="s">
        <v>187</v>
      </c>
      <c r="H246" s="13" t="s">
        <v>15</v>
      </c>
      <c r="I246" s="13">
        <v>90274.0</v>
      </c>
      <c r="J246" s="5" t="str">
        <f t="shared" si="1"/>
        <v>Delila Hamilton</v>
      </c>
    </row>
    <row r="247">
      <c r="A247" s="13">
        <v>246.0</v>
      </c>
      <c r="B247" s="13" t="s">
        <v>1248</v>
      </c>
      <c r="C247" s="13" t="s">
        <v>559</v>
      </c>
      <c r="D247" s="13" t="s">
        <v>18</v>
      </c>
      <c r="E247" s="13" t="s">
        <v>1249</v>
      </c>
      <c r="F247" s="13" t="s">
        <v>1250</v>
      </c>
      <c r="G247" s="13" t="s">
        <v>176</v>
      </c>
      <c r="H247" s="13" t="s">
        <v>16</v>
      </c>
      <c r="I247" s="13">
        <v>14304.0</v>
      </c>
      <c r="J247" s="5" t="str">
        <f t="shared" si="1"/>
        <v>Dionne Norris</v>
      </c>
    </row>
    <row r="248">
      <c r="A248" s="13">
        <v>247.0</v>
      </c>
      <c r="B248" s="13" t="s">
        <v>1251</v>
      </c>
      <c r="C248" s="13" t="s">
        <v>1252</v>
      </c>
      <c r="D248" s="13" t="s">
        <v>18</v>
      </c>
      <c r="E248" s="13" t="s">
        <v>1253</v>
      </c>
      <c r="F248" s="13" t="s">
        <v>1254</v>
      </c>
      <c r="G248" s="13" t="s">
        <v>187</v>
      </c>
      <c r="H248" s="13" t="s">
        <v>15</v>
      </c>
      <c r="I248" s="13">
        <v>90274.0</v>
      </c>
      <c r="J248" s="5" t="str">
        <f t="shared" si="1"/>
        <v>Muriel Juarez</v>
      </c>
    </row>
    <row r="249">
      <c r="A249" s="13">
        <v>248.0</v>
      </c>
      <c r="B249" s="13" t="s">
        <v>1255</v>
      </c>
      <c r="C249" s="13" t="s">
        <v>1142</v>
      </c>
      <c r="D249" s="13" t="s">
        <v>18</v>
      </c>
      <c r="E249" s="13" t="s">
        <v>1256</v>
      </c>
      <c r="F249" s="13" t="s">
        <v>1257</v>
      </c>
      <c r="G249" s="13" t="s">
        <v>162</v>
      </c>
      <c r="H249" s="13" t="s">
        <v>17</v>
      </c>
      <c r="I249" s="13">
        <v>78501.0</v>
      </c>
      <c r="J249" s="5" t="str">
        <f t="shared" si="1"/>
        <v>Cecelia Gill</v>
      </c>
    </row>
    <row r="250">
      <c r="A250" s="13">
        <v>249.0</v>
      </c>
      <c r="B250" s="13" t="s">
        <v>1258</v>
      </c>
      <c r="C250" s="13" t="s">
        <v>1259</v>
      </c>
      <c r="D250" s="13" t="s">
        <v>18</v>
      </c>
      <c r="E250" s="13" t="s">
        <v>1260</v>
      </c>
      <c r="F250" s="13" t="s">
        <v>1261</v>
      </c>
      <c r="G250" s="13" t="s">
        <v>183</v>
      </c>
      <c r="H250" s="13" t="s">
        <v>16</v>
      </c>
      <c r="I250" s="13">
        <v>10562.0</v>
      </c>
      <c r="J250" s="5" t="str">
        <f t="shared" si="1"/>
        <v>Magda Eaton</v>
      </c>
    </row>
    <row r="251">
      <c r="A251" s="13">
        <v>250.0</v>
      </c>
      <c r="B251" s="13" t="s">
        <v>1262</v>
      </c>
      <c r="C251" s="13" t="s">
        <v>487</v>
      </c>
      <c r="D251" s="13" t="s">
        <v>1263</v>
      </c>
      <c r="E251" s="13" t="s">
        <v>1264</v>
      </c>
      <c r="F251" s="13" t="s">
        <v>1265</v>
      </c>
      <c r="G251" s="13" t="s">
        <v>106</v>
      </c>
      <c r="H251" s="13" t="s">
        <v>17</v>
      </c>
      <c r="I251" s="13">
        <v>79930.0</v>
      </c>
      <c r="J251" s="5" t="str">
        <f t="shared" si="1"/>
        <v>Ivonne Yang</v>
      </c>
    </row>
    <row r="252">
      <c r="A252" s="13">
        <v>251.0</v>
      </c>
      <c r="B252" s="13" t="s">
        <v>1266</v>
      </c>
      <c r="C252" s="13" t="s">
        <v>903</v>
      </c>
      <c r="D252" s="13" t="s">
        <v>18</v>
      </c>
      <c r="E252" s="13" t="s">
        <v>1267</v>
      </c>
      <c r="F252" s="13" t="s">
        <v>1268</v>
      </c>
      <c r="G252" s="13" t="s">
        <v>46</v>
      </c>
      <c r="H252" s="13" t="s">
        <v>16</v>
      </c>
      <c r="I252" s="13">
        <v>12020.0</v>
      </c>
      <c r="J252" s="5" t="str">
        <f t="shared" si="1"/>
        <v>Kasie Rodriquez</v>
      </c>
    </row>
    <row r="253">
      <c r="A253" s="13">
        <v>252.0</v>
      </c>
      <c r="B253" s="13" t="s">
        <v>1269</v>
      </c>
      <c r="C253" s="13" t="s">
        <v>1270</v>
      </c>
      <c r="D253" s="13" t="s">
        <v>18</v>
      </c>
      <c r="E253" s="13" t="s">
        <v>1271</v>
      </c>
      <c r="F253" s="13" t="s">
        <v>1272</v>
      </c>
      <c r="G253" s="13" t="s">
        <v>202</v>
      </c>
      <c r="H253" s="13" t="s">
        <v>16</v>
      </c>
      <c r="I253" s="13">
        <v>11418.0</v>
      </c>
      <c r="J253" s="5" t="str">
        <f t="shared" si="1"/>
        <v>Eleni Gordon</v>
      </c>
    </row>
    <row r="254">
      <c r="A254" s="13">
        <v>253.0</v>
      </c>
      <c r="B254" s="13" t="s">
        <v>1273</v>
      </c>
      <c r="C254" s="13" t="s">
        <v>1274</v>
      </c>
      <c r="D254" s="13" t="s">
        <v>18</v>
      </c>
      <c r="E254" s="13" t="s">
        <v>1275</v>
      </c>
      <c r="F254" s="13" t="s">
        <v>1276</v>
      </c>
      <c r="G254" s="13" t="s">
        <v>35</v>
      </c>
      <c r="H254" s="13" t="s">
        <v>15</v>
      </c>
      <c r="I254" s="13">
        <v>95301.0</v>
      </c>
      <c r="J254" s="5" t="str">
        <f t="shared" si="1"/>
        <v>Maurice Norton</v>
      </c>
    </row>
    <row r="255">
      <c r="A255" s="13">
        <v>254.0</v>
      </c>
      <c r="B255" s="13" t="s">
        <v>1277</v>
      </c>
      <c r="C255" s="13" t="s">
        <v>1278</v>
      </c>
      <c r="D255" s="13" t="s">
        <v>18</v>
      </c>
      <c r="E255" s="13" t="s">
        <v>1279</v>
      </c>
      <c r="F255" s="13" t="s">
        <v>1280</v>
      </c>
      <c r="G255" s="13" t="s">
        <v>149</v>
      </c>
      <c r="H255" s="13" t="s">
        <v>15</v>
      </c>
      <c r="I255" s="13">
        <v>90260.0</v>
      </c>
      <c r="J255" s="5" t="str">
        <f t="shared" si="1"/>
        <v>Cristobal Hutchinson</v>
      </c>
    </row>
    <row r="256">
      <c r="A256" s="13">
        <v>255.0</v>
      </c>
      <c r="B256" s="13" t="s">
        <v>1281</v>
      </c>
      <c r="C256" s="13" t="s">
        <v>1282</v>
      </c>
      <c r="D256" s="13" t="s">
        <v>18</v>
      </c>
      <c r="E256" s="13" t="s">
        <v>1283</v>
      </c>
      <c r="F256" s="13" t="s">
        <v>1284</v>
      </c>
      <c r="G256" s="13" t="s">
        <v>161</v>
      </c>
      <c r="H256" s="13" t="s">
        <v>16</v>
      </c>
      <c r="I256" s="13">
        <v>11762.0</v>
      </c>
      <c r="J256" s="5" t="str">
        <f t="shared" si="1"/>
        <v>Flossie Holder</v>
      </c>
    </row>
    <row r="257">
      <c r="A257" s="13">
        <v>256.0</v>
      </c>
      <c r="B257" s="13" t="s">
        <v>1285</v>
      </c>
      <c r="C257" s="13" t="s">
        <v>1286</v>
      </c>
      <c r="D257" s="13" t="s">
        <v>18</v>
      </c>
      <c r="E257" s="13" t="s">
        <v>1287</v>
      </c>
      <c r="F257" s="13" t="s">
        <v>1288</v>
      </c>
      <c r="G257" s="13" t="s">
        <v>163</v>
      </c>
      <c r="H257" s="13" t="s">
        <v>16</v>
      </c>
      <c r="I257" s="13">
        <v>11566.0</v>
      </c>
      <c r="J257" s="5" t="str">
        <f t="shared" si="1"/>
        <v>Erma Salinas</v>
      </c>
    </row>
    <row r="258">
      <c r="A258" s="13">
        <v>257.0</v>
      </c>
      <c r="B258" s="13" t="s">
        <v>1289</v>
      </c>
      <c r="C258" s="13" t="s">
        <v>506</v>
      </c>
      <c r="D258" s="13" t="s">
        <v>18</v>
      </c>
      <c r="E258" s="13" t="s">
        <v>1290</v>
      </c>
      <c r="F258" s="13" t="s">
        <v>1291</v>
      </c>
      <c r="G258" s="13" t="s">
        <v>108</v>
      </c>
      <c r="H258" s="13" t="s">
        <v>16</v>
      </c>
      <c r="I258" s="13">
        <v>11373.0</v>
      </c>
      <c r="J258" s="5" t="str">
        <f t="shared" si="1"/>
        <v>Earl Stanley</v>
      </c>
    </row>
    <row r="259">
      <c r="A259" s="13">
        <v>258.0</v>
      </c>
      <c r="B259" s="13" t="s">
        <v>1292</v>
      </c>
      <c r="C259" s="13" t="s">
        <v>742</v>
      </c>
      <c r="D259" s="13" t="s">
        <v>18</v>
      </c>
      <c r="E259" s="13" t="s">
        <v>1293</v>
      </c>
      <c r="F259" s="13" t="s">
        <v>1294</v>
      </c>
      <c r="G259" s="13" t="s">
        <v>239</v>
      </c>
      <c r="H259" s="13" t="s">
        <v>15</v>
      </c>
      <c r="I259" s="13">
        <v>90505.0</v>
      </c>
      <c r="J259" s="5" t="str">
        <f t="shared" si="1"/>
        <v>Maribel William</v>
      </c>
    </row>
    <row r="260">
      <c r="A260" s="13">
        <v>259.0</v>
      </c>
      <c r="B260" s="13" t="s">
        <v>1295</v>
      </c>
      <c r="C260" s="13" t="s">
        <v>1296</v>
      </c>
      <c r="D260" s="13" t="s">
        <v>18</v>
      </c>
      <c r="E260" s="13" t="s">
        <v>1297</v>
      </c>
      <c r="F260" s="13" t="s">
        <v>1298</v>
      </c>
      <c r="G260" s="13" t="s">
        <v>192</v>
      </c>
      <c r="H260" s="13" t="s">
        <v>15</v>
      </c>
      <c r="I260" s="13">
        <v>94566.0</v>
      </c>
      <c r="J260" s="5" t="str">
        <f t="shared" si="1"/>
        <v>Johnathan Velazquez</v>
      </c>
    </row>
    <row r="261">
      <c r="A261" s="13">
        <v>260.0</v>
      </c>
      <c r="B261" s="13" t="s">
        <v>1299</v>
      </c>
      <c r="C261" s="13" t="s">
        <v>1300</v>
      </c>
      <c r="D261" s="13" t="s">
        <v>18</v>
      </c>
      <c r="E261" s="13" t="s">
        <v>1301</v>
      </c>
      <c r="F261" s="13" t="s">
        <v>1302</v>
      </c>
      <c r="G261" s="13" t="s">
        <v>70</v>
      </c>
      <c r="H261" s="13" t="s">
        <v>15</v>
      </c>
      <c r="I261" s="13">
        <v>91387.0</v>
      </c>
      <c r="J261" s="5" t="str">
        <f t="shared" si="1"/>
        <v>Rodrick Shelton</v>
      </c>
    </row>
    <row r="262">
      <c r="A262" s="13">
        <v>261.0</v>
      </c>
      <c r="B262" s="13" t="s">
        <v>1303</v>
      </c>
      <c r="C262" s="13" t="s">
        <v>1304</v>
      </c>
      <c r="D262" s="13" t="s">
        <v>18</v>
      </c>
      <c r="E262" s="13" t="s">
        <v>1305</v>
      </c>
      <c r="F262" s="13" t="s">
        <v>1306</v>
      </c>
      <c r="G262" s="13" t="s">
        <v>125</v>
      </c>
      <c r="H262" s="13" t="s">
        <v>15</v>
      </c>
      <c r="I262" s="13">
        <v>92831.0</v>
      </c>
      <c r="J262" s="5" t="str">
        <f t="shared" si="1"/>
        <v>Ferne Kline</v>
      </c>
    </row>
    <row r="263">
      <c r="A263" s="13">
        <v>262.0</v>
      </c>
      <c r="B263" s="13" t="s">
        <v>1307</v>
      </c>
      <c r="C263" s="13" t="s">
        <v>1083</v>
      </c>
      <c r="D263" s="13" t="s">
        <v>1308</v>
      </c>
      <c r="E263" s="13" t="s">
        <v>1309</v>
      </c>
      <c r="F263" s="13" t="s">
        <v>1310</v>
      </c>
      <c r="G263" s="13" t="s">
        <v>64</v>
      </c>
      <c r="H263" s="13" t="s">
        <v>16</v>
      </c>
      <c r="I263" s="13">
        <v>14215.0</v>
      </c>
      <c r="J263" s="5" t="str">
        <f t="shared" si="1"/>
        <v>Rubin Decker</v>
      </c>
    </row>
    <row r="264">
      <c r="A264" s="13">
        <v>263.0</v>
      </c>
      <c r="B264" s="13" t="s">
        <v>1311</v>
      </c>
      <c r="C264" s="13" t="s">
        <v>1312</v>
      </c>
      <c r="D264" s="13" t="s">
        <v>1313</v>
      </c>
      <c r="E264" s="13" t="s">
        <v>1314</v>
      </c>
      <c r="F264" s="13" t="s">
        <v>1315</v>
      </c>
      <c r="G264" s="13" t="s">
        <v>180</v>
      </c>
      <c r="H264" s="13" t="s">
        <v>16</v>
      </c>
      <c r="I264" s="13">
        <v>11572.0</v>
      </c>
      <c r="J264" s="5" t="str">
        <f t="shared" si="1"/>
        <v>Dortha Jarvis</v>
      </c>
    </row>
    <row r="265">
      <c r="A265" s="13">
        <v>264.0</v>
      </c>
      <c r="B265" s="13" t="s">
        <v>1316</v>
      </c>
      <c r="C265" s="13" t="s">
        <v>1317</v>
      </c>
      <c r="D265" s="13" t="s">
        <v>18</v>
      </c>
      <c r="E265" s="13" t="s">
        <v>1318</v>
      </c>
      <c r="F265" s="13" t="s">
        <v>1319</v>
      </c>
      <c r="G265" s="13" t="s">
        <v>126</v>
      </c>
      <c r="H265" s="13" t="s">
        <v>16</v>
      </c>
      <c r="I265" s="13">
        <v>11530.0</v>
      </c>
      <c r="J265" s="5" t="str">
        <f t="shared" si="1"/>
        <v>Mariela Huffman</v>
      </c>
    </row>
    <row r="266">
      <c r="A266" s="13">
        <v>265.0</v>
      </c>
      <c r="B266" s="13" t="s">
        <v>1320</v>
      </c>
      <c r="C266" s="13" t="s">
        <v>1321</v>
      </c>
      <c r="D266" s="13" t="s">
        <v>18</v>
      </c>
      <c r="E266" s="13" t="s">
        <v>1322</v>
      </c>
      <c r="F266" s="13" t="s">
        <v>1323</v>
      </c>
      <c r="G266" s="13" t="s">
        <v>76</v>
      </c>
      <c r="H266" s="13" t="s">
        <v>16</v>
      </c>
      <c r="I266" s="13">
        <v>11722.0</v>
      </c>
      <c r="J266" s="5" t="str">
        <f t="shared" si="1"/>
        <v>Mellisa Farley</v>
      </c>
    </row>
    <row r="267">
      <c r="A267" s="13">
        <v>266.0</v>
      </c>
      <c r="B267" s="13" t="s">
        <v>1324</v>
      </c>
      <c r="C267" s="13" t="s">
        <v>1325</v>
      </c>
      <c r="D267" s="13" t="s">
        <v>18</v>
      </c>
      <c r="E267" s="13" t="s">
        <v>1326</v>
      </c>
      <c r="F267" s="13" t="s">
        <v>1327</v>
      </c>
      <c r="G267" s="13" t="s">
        <v>109</v>
      </c>
      <c r="H267" s="13" t="s">
        <v>16</v>
      </c>
      <c r="I267" s="13">
        <v>11003.0</v>
      </c>
      <c r="J267" s="5" t="str">
        <f t="shared" si="1"/>
        <v>Myung Hooper</v>
      </c>
    </row>
    <row r="268">
      <c r="A268" s="13">
        <v>267.0</v>
      </c>
      <c r="B268" s="13" t="s">
        <v>1328</v>
      </c>
      <c r="C268" s="13" t="s">
        <v>1329</v>
      </c>
      <c r="D268" s="13" t="s">
        <v>18</v>
      </c>
      <c r="E268" s="13" t="s">
        <v>1330</v>
      </c>
      <c r="F268" s="13" t="s">
        <v>1331</v>
      </c>
      <c r="G268" s="13" t="s">
        <v>33</v>
      </c>
      <c r="H268" s="13" t="s">
        <v>15</v>
      </c>
      <c r="I268" s="13">
        <v>92307.0</v>
      </c>
      <c r="J268" s="5" t="str">
        <f t="shared" si="1"/>
        <v>Angelina Lloyd</v>
      </c>
    </row>
    <row r="269">
      <c r="A269" s="13">
        <v>268.0</v>
      </c>
      <c r="B269" s="13" t="s">
        <v>1332</v>
      </c>
      <c r="C269" s="13" t="s">
        <v>1096</v>
      </c>
      <c r="D269" s="13" t="s">
        <v>18</v>
      </c>
      <c r="E269" s="13" t="s">
        <v>1333</v>
      </c>
      <c r="F269" s="13" t="s">
        <v>1334</v>
      </c>
      <c r="G269" s="13" t="s">
        <v>46</v>
      </c>
      <c r="H269" s="13" t="s">
        <v>16</v>
      </c>
      <c r="I269" s="13">
        <v>12020.0</v>
      </c>
      <c r="J269" s="5" t="str">
        <f t="shared" si="1"/>
        <v>Trinity Riddle</v>
      </c>
    </row>
    <row r="270">
      <c r="A270" s="13">
        <v>269.0</v>
      </c>
      <c r="B270" s="13" t="s">
        <v>1335</v>
      </c>
      <c r="C270" s="13" t="s">
        <v>1336</v>
      </c>
      <c r="D270" s="13" t="s">
        <v>18</v>
      </c>
      <c r="E270" s="13" t="s">
        <v>1337</v>
      </c>
      <c r="F270" s="13" t="s">
        <v>1338</v>
      </c>
      <c r="G270" s="13" t="s">
        <v>54</v>
      </c>
      <c r="H270" s="13" t="s">
        <v>16</v>
      </c>
      <c r="I270" s="13">
        <v>11710.0</v>
      </c>
      <c r="J270" s="5" t="str">
        <f t="shared" si="1"/>
        <v>Barton Crosby</v>
      </c>
    </row>
    <row r="271">
      <c r="A271" s="13">
        <v>270.0</v>
      </c>
      <c r="B271" s="13" t="s">
        <v>1339</v>
      </c>
      <c r="C271" s="13" t="s">
        <v>1340</v>
      </c>
      <c r="D271" s="13" t="s">
        <v>18</v>
      </c>
      <c r="E271" s="13" t="s">
        <v>1341</v>
      </c>
      <c r="F271" s="13" t="s">
        <v>1342</v>
      </c>
      <c r="G271" s="13" t="s">
        <v>146</v>
      </c>
      <c r="H271" s="13" t="s">
        <v>16</v>
      </c>
      <c r="I271" s="13">
        <v>12401.0</v>
      </c>
      <c r="J271" s="5" t="str">
        <f t="shared" si="1"/>
        <v>Claudio Wise</v>
      </c>
    </row>
    <row r="272">
      <c r="A272" s="13">
        <v>271.0</v>
      </c>
      <c r="B272" s="13" t="s">
        <v>1343</v>
      </c>
      <c r="C272" s="13" t="s">
        <v>1344</v>
      </c>
      <c r="D272" s="13" t="s">
        <v>18</v>
      </c>
      <c r="E272" s="13" t="s">
        <v>1345</v>
      </c>
      <c r="F272" s="13" t="s">
        <v>1346</v>
      </c>
      <c r="G272" s="13" t="s">
        <v>155</v>
      </c>
      <c r="H272" s="13" t="s">
        <v>17</v>
      </c>
      <c r="I272" s="13">
        <v>75604.0</v>
      </c>
      <c r="J272" s="5" t="str">
        <f t="shared" si="1"/>
        <v>Katheleen Marks</v>
      </c>
    </row>
    <row r="273">
      <c r="A273" s="13">
        <v>272.0</v>
      </c>
      <c r="B273" s="13" t="s">
        <v>1347</v>
      </c>
      <c r="C273" s="13" t="s">
        <v>1348</v>
      </c>
      <c r="D273" s="13" t="s">
        <v>18</v>
      </c>
      <c r="E273" s="13" t="s">
        <v>1349</v>
      </c>
      <c r="F273" s="13" t="s">
        <v>1350</v>
      </c>
      <c r="G273" s="13" t="s">
        <v>144</v>
      </c>
      <c r="H273" s="13" t="s">
        <v>16</v>
      </c>
      <c r="I273" s="13">
        <v>11432.0</v>
      </c>
      <c r="J273" s="5" t="str">
        <f t="shared" si="1"/>
        <v>Deja Chaney</v>
      </c>
    </row>
    <row r="274">
      <c r="A274" s="13">
        <v>273.0</v>
      </c>
      <c r="B274" s="13" t="s">
        <v>1351</v>
      </c>
      <c r="C274" s="13" t="s">
        <v>1352</v>
      </c>
      <c r="D274" s="13" t="s">
        <v>18</v>
      </c>
      <c r="E274" s="13" t="s">
        <v>1353</v>
      </c>
      <c r="F274" s="13" t="s">
        <v>1354</v>
      </c>
      <c r="G274" s="13" t="s">
        <v>186</v>
      </c>
      <c r="H274" s="13" t="s">
        <v>16</v>
      </c>
      <c r="I274" s="13">
        <v>11417.0</v>
      </c>
      <c r="J274" s="5" t="str">
        <f t="shared" si="1"/>
        <v>Queenie Vance</v>
      </c>
    </row>
    <row r="275">
      <c r="A275" s="13">
        <v>274.0</v>
      </c>
      <c r="B275" s="13" t="s">
        <v>1355</v>
      </c>
      <c r="C275" s="13" t="s">
        <v>1356</v>
      </c>
      <c r="D275" s="13" t="s">
        <v>18</v>
      </c>
      <c r="E275" s="13" t="s">
        <v>1357</v>
      </c>
      <c r="F275" s="13" t="s">
        <v>1358</v>
      </c>
      <c r="G275" s="13" t="s">
        <v>137</v>
      </c>
      <c r="H275" s="13" t="s">
        <v>16</v>
      </c>
      <c r="I275" s="13">
        <v>12533.0</v>
      </c>
      <c r="J275" s="5" t="str">
        <f t="shared" si="1"/>
        <v>Josh Shaw</v>
      </c>
    </row>
    <row r="276">
      <c r="A276" s="13">
        <v>275.0</v>
      </c>
      <c r="B276" s="13" t="s">
        <v>1359</v>
      </c>
      <c r="C276" s="13" t="s">
        <v>543</v>
      </c>
      <c r="D276" s="13" t="s">
        <v>18</v>
      </c>
      <c r="E276" s="13" t="s">
        <v>1360</v>
      </c>
      <c r="F276" s="13" t="s">
        <v>1361</v>
      </c>
      <c r="G276" s="13" t="s">
        <v>213</v>
      </c>
      <c r="H276" s="13" t="s">
        <v>17</v>
      </c>
      <c r="I276" s="13">
        <v>76901.0</v>
      </c>
      <c r="J276" s="5" t="str">
        <f t="shared" si="1"/>
        <v>Pinkie Kirkland</v>
      </c>
    </row>
    <row r="277">
      <c r="A277" s="13">
        <v>276.0</v>
      </c>
      <c r="B277" s="13" t="s">
        <v>1362</v>
      </c>
      <c r="C277" s="13" t="s">
        <v>1363</v>
      </c>
      <c r="D277" s="13" t="s">
        <v>18</v>
      </c>
      <c r="E277" s="13" t="s">
        <v>1364</v>
      </c>
      <c r="F277" s="13" t="s">
        <v>1365</v>
      </c>
      <c r="G277" s="13" t="s">
        <v>208</v>
      </c>
      <c r="H277" s="13" t="s">
        <v>16</v>
      </c>
      <c r="I277" s="13">
        <v>11779.0</v>
      </c>
      <c r="J277" s="5" t="str">
        <f t="shared" si="1"/>
        <v>Lavette Wright</v>
      </c>
    </row>
    <row r="278">
      <c r="A278" s="13">
        <v>277.0</v>
      </c>
      <c r="B278" s="13" t="s">
        <v>1366</v>
      </c>
      <c r="C278" s="13" t="s">
        <v>1367</v>
      </c>
      <c r="D278" s="13" t="s">
        <v>18</v>
      </c>
      <c r="E278" s="13" t="s">
        <v>1368</v>
      </c>
      <c r="F278" s="13" t="s">
        <v>1369</v>
      </c>
      <c r="G278" s="13" t="s">
        <v>165</v>
      </c>
      <c r="H278" s="13" t="s">
        <v>16</v>
      </c>
      <c r="I278" s="13">
        <v>10950.0</v>
      </c>
      <c r="J278" s="5" t="str">
        <f t="shared" si="1"/>
        <v>Mark Garrett</v>
      </c>
    </row>
    <row r="279">
      <c r="A279" s="13">
        <v>278.0</v>
      </c>
      <c r="B279" s="13" t="s">
        <v>1370</v>
      </c>
      <c r="C279" s="13" t="s">
        <v>1371</v>
      </c>
      <c r="D279" s="13" t="s">
        <v>18</v>
      </c>
      <c r="E279" s="13" t="s">
        <v>1372</v>
      </c>
      <c r="F279" s="13" t="s">
        <v>1373</v>
      </c>
      <c r="G279" s="13" t="s">
        <v>66</v>
      </c>
      <c r="H279" s="13" t="s">
        <v>15</v>
      </c>
      <c r="I279" s="13">
        <v>95008.0</v>
      </c>
      <c r="J279" s="5" t="str">
        <f t="shared" si="1"/>
        <v>Myesha Burgess</v>
      </c>
    </row>
    <row r="280">
      <c r="A280" s="13">
        <v>279.0</v>
      </c>
      <c r="B280" s="13" t="s">
        <v>1374</v>
      </c>
      <c r="C280" s="13" t="s">
        <v>1375</v>
      </c>
      <c r="D280" s="13" t="s">
        <v>18</v>
      </c>
      <c r="E280" s="13" t="s">
        <v>1376</v>
      </c>
      <c r="F280" s="13" t="s">
        <v>1377</v>
      </c>
      <c r="G280" s="13" t="s">
        <v>229</v>
      </c>
      <c r="H280" s="13" t="s">
        <v>15</v>
      </c>
      <c r="I280" s="13">
        <v>91733.0</v>
      </c>
      <c r="J280" s="5" t="str">
        <f t="shared" si="1"/>
        <v>Justina Long</v>
      </c>
    </row>
    <row r="281">
      <c r="A281" s="13">
        <v>280.0</v>
      </c>
      <c r="B281" s="13" t="s">
        <v>1378</v>
      </c>
      <c r="C281" s="13" t="s">
        <v>835</v>
      </c>
      <c r="D281" s="13" t="s">
        <v>18</v>
      </c>
      <c r="E281" s="13" t="s">
        <v>1379</v>
      </c>
      <c r="F281" s="13" t="s">
        <v>1380</v>
      </c>
      <c r="G281" s="13" t="s">
        <v>213</v>
      </c>
      <c r="H281" s="13" t="s">
        <v>17</v>
      </c>
      <c r="I281" s="13">
        <v>76901.0</v>
      </c>
      <c r="J281" s="5" t="str">
        <f t="shared" si="1"/>
        <v>Brenda Tate</v>
      </c>
    </row>
    <row r="282">
      <c r="A282" s="13">
        <v>281.0</v>
      </c>
      <c r="B282" s="13" t="s">
        <v>1381</v>
      </c>
      <c r="C282" s="13" t="s">
        <v>1382</v>
      </c>
      <c r="D282" s="13" t="s">
        <v>18</v>
      </c>
      <c r="E282" s="13" t="s">
        <v>1383</v>
      </c>
      <c r="F282" s="13" t="s">
        <v>1384</v>
      </c>
      <c r="G282" s="13" t="s">
        <v>186</v>
      </c>
      <c r="H282" s="13" t="s">
        <v>16</v>
      </c>
      <c r="I282" s="13">
        <v>11417.0</v>
      </c>
      <c r="J282" s="5" t="str">
        <f t="shared" si="1"/>
        <v>Rayna Perry</v>
      </c>
    </row>
    <row r="283">
      <c r="A283" s="13">
        <v>282.0</v>
      </c>
      <c r="B283" s="13" t="s">
        <v>1385</v>
      </c>
      <c r="C283" s="13" t="s">
        <v>1386</v>
      </c>
      <c r="D283" s="13" t="s">
        <v>18</v>
      </c>
      <c r="E283" s="13" t="s">
        <v>1387</v>
      </c>
      <c r="F283" s="13" t="s">
        <v>1388</v>
      </c>
      <c r="G283" s="13" t="s">
        <v>218</v>
      </c>
      <c r="H283" s="13" t="s">
        <v>15</v>
      </c>
      <c r="I283" s="13">
        <v>94580.0</v>
      </c>
      <c r="J283" s="5" t="str">
        <f t="shared" si="1"/>
        <v>Randolph Chase</v>
      </c>
    </row>
    <row r="284">
      <c r="A284" s="13">
        <v>283.0</v>
      </c>
      <c r="B284" s="13" t="s">
        <v>1389</v>
      </c>
      <c r="C284" s="13" t="s">
        <v>1390</v>
      </c>
      <c r="D284" s="13" t="s">
        <v>18</v>
      </c>
      <c r="E284" s="13" t="s">
        <v>1391</v>
      </c>
      <c r="F284" s="13" t="s">
        <v>1392</v>
      </c>
      <c r="G284" s="13" t="s">
        <v>197</v>
      </c>
      <c r="H284" s="13" t="s">
        <v>16</v>
      </c>
      <c r="I284" s="13">
        <v>12601.0</v>
      </c>
      <c r="J284" s="5" t="str">
        <f t="shared" si="1"/>
        <v>Jaimee Day</v>
      </c>
    </row>
    <row r="285">
      <c r="A285" s="13">
        <v>284.0</v>
      </c>
      <c r="B285" s="13" t="s">
        <v>1393</v>
      </c>
      <c r="C285" s="13" t="s">
        <v>1394</v>
      </c>
      <c r="D285" s="13" t="s">
        <v>18</v>
      </c>
      <c r="E285" s="13" t="s">
        <v>1395</v>
      </c>
      <c r="F285" s="13" t="s">
        <v>1396</v>
      </c>
      <c r="G285" s="13" t="s">
        <v>82</v>
      </c>
      <c r="H285" s="13" t="s">
        <v>16</v>
      </c>
      <c r="I285" s="13">
        <v>11725.0</v>
      </c>
      <c r="J285" s="5" t="str">
        <f t="shared" si="1"/>
        <v>Susann Bass</v>
      </c>
    </row>
    <row r="286">
      <c r="A286" s="13">
        <v>285.0</v>
      </c>
      <c r="B286" s="13" t="s">
        <v>1397</v>
      </c>
      <c r="C286" s="13" t="s">
        <v>1398</v>
      </c>
      <c r="D286" s="13" t="s">
        <v>18</v>
      </c>
      <c r="E286" s="13" t="s">
        <v>1399</v>
      </c>
      <c r="F286" s="13" t="s">
        <v>1400</v>
      </c>
      <c r="G286" s="13" t="s">
        <v>34</v>
      </c>
      <c r="H286" s="13" t="s">
        <v>16</v>
      </c>
      <c r="I286" s="13">
        <v>11102.0</v>
      </c>
      <c r="J286" s="5" t="str">
        <f t="shared" si="1"/>
        <v>Leola Gould</v>
      </c>
    </row>
    <row r="287">
      <c r="A287" s="13">
        <v>286.0</v>
      </c>
      <c r="B287" s="13" t="s">
        <v>1401</v>
      </c>
      <c r="C287" s="13" t="s">
        <v>381</v>
      </c>
      <c r="D287" s="13" t="s">
        <v>18</v>
      </c>
      <c r="E287" s="13" t="s">
        <v>1402</v>
      </c>
      <c r="F287" s="13" t="s">
        <v>1403</v>
      </c>
      <c r="G287" s="13" t="s">
        <v>150</v>
      </c>
      <c r="H287" s="13" t="s">
        <v>16</v>
      </c>
      <c r="I287" s="13">
        <v>11756.0</v>
      </c>
      <c r="J287" s="5" t="str">
        <f t="shared" si="1"/>
        <v>Virgil Frost</v>
      </c>
    </row>
    <row r="288">
      <c r="A288" s="13">
        <v>287.0</v>
      </c>
      <c r="B288" s="13" t="s">
        <v>1404</v>
      </c>
      <c r="C288" s="13" t="s">
        <v>1405</v>
      </c>
      <c r="D288" s="13" t="s">
        <v>1406</v>
      </c>
      <c r="E288" s="13" t="s">
        <v>1407</v>
      </c>
      <c r="F288" s="13" t="s">
        <v>1408</v>
      </c>
      <c r="G288" s="13" t="s">
        <v>185</v>
      </c>
      <c r="H288" s="13" t="s">
        <v>15</v>
      </c>
      <c r="I288" s="13">
        <v>93035.0</v>
      </c>
      <c r="J288" s="5" t="str">
        <f t="shared" si="1"/>
        <v>Mireille Puckett</v>
      </c>
    </row>
    <row r="289">
      <c r="A289" s="13">
        <v>288.0</v>
      </c>
      <c r="B289" s="13" t="s">
        <v>1409</v>
      </c>
      <c r="C289" s="13" t="s">
        <v>1410</v>
      </c>
      <c r="D289" s="13" t="s">
        <v>18</v>
      </c>
      <c r="E289" s="13" t="s">
        <v>1411</v>
      </c>
      <c r="F289" s="13" t="s">
        <v>1412</v>
      </c>
      <c r="G289" s="13" t="s">
        <v>48</v>
      </c>
      <c r="H289" s="13" t="s">
        <v>15</v>
      </c>
      <c r="I289" s="13">
        <v>92220.0</v>
      </c>
      <c r="J289" s="5" t="str">
        <f t="shared" si="1"/>
        <v>Keturah Massey</v>
      </c>
    </row>
    <row r="290">
      <c r="A290" s="13">
        <v>289.0</v>
      </c>
      <c r="B290" s="13" t="s">
        <v>1413</v>
      </c>
      <c r="C290" s="13" t="s">
        <v>249</v>
      </c>
      <c r="D290" s="13" t="s">
        <v>18</v>
      </c>
      <c r="E290" s="13" t="s">
        <v>1414</v>
      </c>
      <c r="F290" s="13" t="s">
        <v>1415</v>
      </c>
      <c r="G290" s="13" t="s">
        <v>201</v>
      </c>
      <c r="H290" s="13" t="s">
        <v>17</v>
      </c>
      <c r="I290" s="13">
        <v>75080.0</v>
      </c>
      <c r="J290" s="5" t="str">
        <f t="shared" si="1"/>
        <v>Charmain Webster</v>
      </c>
    </row>
    <row r="291">
      <c r="A291" s="13">
        <v>290.0</v>
      </c>
      <c r="B291" s="13" t="s">
        <v>1416</v>
      </c>
      <c r="C291" s="13" t="s">
        <v>1417</v>
      </c>
      <c r="D291" s="13" t="s">
        <v>18</v>
      </c>
      <c r="E291" s="13" t="s">
        <v>1418</v>
      </c>
      <c r="F291" s="13" t="s">
        <v>1419</v>
      </c>
      <c r="G291" s="13" t="s">
        <v>74</v>
      </c>
      <c r="H291" s="13" t="s">
        <v>16</v>
      </c>
      <c r="I291" s="13">
        <v>11720.0</v>
      </c>
      <c r="J291" s="5" t="str">
        <f t="shared" si="1"/>
        <v>Barry Buckner</v>
      </c>
    </row>
    <row r="292">
      <c r="A292" s="13">
        <v>291.0</v>
      </c>
      <c r="B292" s="13" t="s">
        <v>1420</v>
      </c>
      <c r="C292" s="13" t="s">
        <v>269</v>
      </c>
      <c r="D292" s="13" t="s">
        <v>18</v>
      </c>
      <c r="E292" s="13" t="s">
        <v>1421</v>
      </c>
      <c r="F292" s="13" t="s">
        <v>1422</v>
      </c>
      <c r="G292" s="13" t="s">
        <v>236</v>
      </c>
      <c r="H292" s="13" t="s">
        <v>16</v>
      </c>
      <c r="I292" s="13">
        <v>11104.0</v>
      </c>
      <c r="J292" s="5" t="str">
        <f t="shared" si="1"/>
        <v>Boyce Burks</v>
      </c>
    </row>
    <row r="293">
      <c r="A293" s="13">
        <v>292.0</v>
      </c>
      <c r="B293" s="13" t="s">
        <v>1423</v>
      </c>
      <c r="C293" s="13" t="s">
        <v>381</v>
      </c>
      <c r="D293" s="13" t="s">
        <v>1424</v>
      </c>
      <c r="E293" s="13" t="s">
        <v>1425</v>
      </c>
      <c r="F293" s="13" t="s">
        <v>1426</v>
      </c>
      <c r="G293" s="13" t="s">
        <v>133</v>
      </c>
      <c r="H293" s="13" t="s">
        <v>16</v>
      </c>
      <c r="I293" s="13">
        <v>11550.0</v>
      </c>
      <c r="J293" s="5" t="str">
        <f t="shared" si="1"/>
        <v>Monty Frost</v>
      </c>
    </row>
    <row r="294">
      <c r="A294" s="13">
        <v>293.0</v>
      </c>
      <c r="B294" s="13" t="s">
        <v>1427</v>
      </c>
      <c r="C294" s="13" t="s">
        <v>1428</v>
      </c>
      <c r="D294" s="13" t="s">
        <v>18</v>
      </c>
      <c r="E294" s="13" t="s">
        <v>1429</v>
      </c>
      <c r="F294" s="13" t="s">
        <v>1430</v>
      </c>
      <c r="G294" s="13" t="s">
        <v>190</v>
      </c>
      <c r="H294" s="13" t="s">
        <v>16</v>
      </c>
      <c r="I294" s="13">
        <v>11803.0</v>
      </c>
      <c r="J294" s="5" t="str">
        <f t="shared" si="1"/>
        <v>Tiny French</v>
      </c>
    </row>
    <row r="295">
      <c r="A295" s="13">
        <v>294.0</v>
      </c>
      <c r="B295" s="13" t="s">
        <v>1431</v>
      </c>
      <c r="C295" s="13" t="s">
        <v>1432</v>
      </c>
      <c r="D295" s="13" t="s">
        <v>18</v>
      </c>
      <c r="E295" s="13" t="s">
        <v>1433</v>
      </c>
      <c r="F295" s="13" t="s">
        <v>1434</v>
      </c>
      <c r="G295" s="13" t="s">
        <v>207</v>
      </c>
      <c r="H295" s="13" t="s">
        <v>16</v>
      </c>
      <c r="I295" s="13">
        <v>13440.0</v>
      </c>
      <c r="J295" s="5" t="str">
        <f t="shared" si="1"/>
        <v>Clementina Sargent</v>
      </c>
    </row>
    <row r="296">
      <c r="A296" s="13">
        <v>295.0</v>
      </c>
      <c r="B296" s="13" t="s">
        <v>1435</v>
      </c>
      <c r="C296" s="13" t="s">
        <v>1436</v>
      </c>
      <c r="D296" s="13" t="s">
        <v>18</v>
      </c>
      <c r="E296" s="13" t="s">
        <v>1437</v>
      </c>
      <c r="F296" s="13" t="s">
        <v>1438</v>
      </c>
      <c r="G296" s="13" t="s">
        <v>230</v>
      </c>
      <c r="H296" s="13" t="s">
        <v>16</v>
      </c>
      <c r="I296" s="13">
        <v>11420.0</v>
      </c>
      <c r="J296" s="5" t="str">
        <f t="shared" si="1"/>
        <v>Danny Kim</v>
      </c>
    </row>
    <row r="297">
      <c r="A297" s="13">
        <v>296.0</v>
      </c>
      <c r="B297" s="13" t="s">
        <v>1439</v>
      </c>
      <c r="C297" s="13" t="s">
        <v>1440</v>
      </c>
      <c r="D297" s="13" t="s">
        <v>18</v>
      </c>
      <c r="E297" s="13" t="s">
        <v>1441</v>
      </c>
      <c r="F297" s="13" t="s">
        <v>1442</v>
      </c>
      <c r="G297" s="13" t="s">
        <v>241</v>
      </c>
      <c r="H297" s="13" t="s">
        <v>16</v>
      </c>
      <c r="I297" s="13">
        <v>11553.0</v>
      </c>
      <c r="J297" s="5" t="str">
        <f t="shared" si="1"/>
        <v>Sophia Mcmillan</v>
      </c>
    </row>
    <row r="298">
      <c r="A298" s="13">
        <v>297.0</v>
      </c>
      <c r="B298" s="13" t="s">
        <v>1443</v>
      </c>
      <c r="C298" s="13" t="s">
        <v>551</v>
      </c>
      <c r="D298" s="13" t="s">
        <v>18</v>
      </c>
      <c r="E298" s="13" t="s">
        <v>1444</v>
      </c>
      <c r="F298" s="13" t="s">
        <v>1445</v>
      </c>
      <c r="G298" s="13" t="s">
        <v>132</v>
      </c>
      <c r="H298" s="13" t="s">
        <v>17</v>
      </c>
      <c r="I298" s="13">
        <v>78023.0</v>
      </c>
      <c r="J298" s="5" t="str">
        <f t="shared" si="1"/>
        <v>Christia Carson</v>
      </c>
    </row>
    <row r="299">
      <c r="A299" s="13">
        <v>298.0</v>
      </c>
      <c r="B299" s="13" t="s">
        <v>1446</v>
      </c>
      <c r="C299" s="13" t="s">
        <v>1447</v>
      </c>
      <c r="D299" s="13" t="s">
        <v>18</v>
      </c>
      <c r="E299" s="13" t="s">
        <v>1448</v>
      </c>
      <c r="F299" s="13" t="s">
        <v>1449</v>
      </c>
      <c r="G299" s="13" t="s">
        <v>242</v>
      </c>
      <c r="H299" s="13" t="s">
        <v>15</v>
      </c>
      <c r="I299" s="13">
        <v>91784.0</v>
      </c>
      <c r="J299" s="5" t="str">
        <f t="shared" si="1"/>
        <v>Jennie Middleton</v>
      </c>
    </row>
    <row r="300">
      <c r="A300" s="13">
        <v>299.0</v>
      </c>
      <c r="B300" s="13" t="s">
        <v>1450</v>
      </c>
      <c r="C300" s="13" t="s">
        <v>1171</v>
      </c>
      <c r="D300" s="13" t="s">
        <v>18</v>
      </c>
      <c r="E300" s="13" t="s">
        <v>1451</v>
      </c>
      <c r="F300" s="13" t="s">
        <v>1452</v>
      </c>
      <c r="G300" s="13" t="s">
        <v>50</v>
      </c>
      <c r="H300" s="13" t="s">
        <v>16</v>
      </c>
      <c r="I300" s="13">
        <v>11706.0</v>
      </c>
      <c r="J300" s="5" t="str">
        <f t="shared" si="1"/>
        <v>Jame Riggs</v>
      </c>
    </row>
    <row r="301">
      <c r="A301" s="13">
        <v>300.0</v>
      </c>
      <c r="B301" s="13" t="s">
        <v>1453</v>
      </c>
      <c r="C301" s="13" t="s">
        <v>1454</v>
      </c>
      <c r="D301" s="13" t="s">
        <v>18</v>
      </c>
      <c r="E301" s="13" t="s">
        <v>1455</v>
      </c>
      <c r="F301" s="13" t="s">
        <v>1456</v>
      </c>
      <c r="G301" s="13" t="s">
        <v>168</v>
      </c>
      <c r="H301" s="13" t="s">
        <v>15</v>
      </c>
      <c r="I301" s="13">
        <v>94043.0</v>
      </c>
      <c r="J301" s="5" t="str">
        <f t="shared" si="1"/>
        <v>Rayford Simon</v>
      </c>
    </row>
    <row r="302">
      <c r="A302" s="13">
        <v>301.0</v>
      </c>
      <c r="B302" s="13" t="s">
        <v>1457</v>
      </c>
      <c r="C302" s="13" t="s">
        <v>1367</v>
      </c>
      <c r="D302" s="13" t="s">
        <v>18</v>
      </c>
      <c r="E302" s="13" t="s">
        <v>1458</v>
      </c>
      <c r="F302" s="13" t="s">
        <v>1459</v>
      </c>
      <c r="G302" s="13" t="s">
        <v>224</v>
      </c>
      <c r="H302" s="13" t="s">
        <v>16</v>
      </c>
      <c r="I302" s="13">
        <v>10583.0</v>
      </c>
      <c r="J302" s="5" t="str">
        <f t="shared" si="1"/>
        <v>Annett Garrett</v>
      </c>
    </row>
    <row r="303">
      <c r="A303" s="13">
        <v>302.0</v>
      </c>
      <c r="B303" s="13" t="s">
        <v>1460</v>
      </c>
      <c r="C303" s="13" t="s">
        <v>1461</v>
      </c>
      <c r="D303" s="13" t="s">
        <v>18</v>
      </c>
      <c r="E303" s="13" t="s">
        <v>1462</v>
      </c>
      <c r="F303" s="13" t="s">
        <v>1463</v>
      </c>
      <c r="G303" s="13" t="s">
        <v>33</v>
      </c>
      <c r="H303" s="13" t="s">
        <v>15</v>
      </c>
      <c r="I303" s="13">
        <v>92307.0</v>
      </c>
      <c r="J303" s="5" t="str">
        <f t="shared" si="1"/>
        <v>Hayden Cross</v>
      </c>
    </row>
    <row r="304">
      <c r="A304" s="13">
        <v>303.0</v>
      </c>
      <c r="B304" s="13" t="s">
        <v>1464</v>
      </c>
      <c r="C304" s="13" t="s">
        <v>356</v>
      </c>
      <c r="D304" s="13" t="s">
        <v>18</v>
      </c>
      <c r="E304" s="13" t="s">
        <v>1465</v>
      </c>
      <c r="F304" s="13" t="s">
        <v>1466</v>
      </c>
      <c r="G304" s="13" t="s">
        <v>255</v>
      </c>
      <c r="H304" s="13" t="s">
        <v>16</v>
      </c>
      <c r="I304" s="13">
        <v>11421.0</v>
      </c>
      <c r="J304" s="5" t="str">
        <f t="shared" si="1"/>
        <v>Rolanda Larsen</v>
      </c>
    </row>
    <row r="305">
      <c r="A305" s="13">
        <v>304.0</v>
      </c>
      <c r="B305" s="13" t="s">
        <v>1467</v>
      </c>
      <c r="C305" s="13" t="s">
        <v>1468</v>
      </c>
      <c r="D305" s="13" t="s">
        <v>18</v>
      </c>
      <c r="E305" s="13" t="s">
        <v>1469</v>
      </c>
      <c r="F305" s="13" t="s">
        <v>1470</v>
      </c>
      <c r="G305" s="13" t="s">
        <v>233</v>
      </c>
      <c r="H305" s="13" t="s">
        <v>16</v>
      </c>
      <c r="I305" s="13">
        <v>11413.0</v>
      </c>
      <c r="J305" s="5" t="str">
        <f t="shared" si="1"/>
        <v>Jayme Zamora</v>
      </c>
    </row>
    <row r="306">
      <c r="A306" s="13">
        <v>305.0</v>
      </c>
      <c r="B306" s="13" t="s">
        <v>1471</v>
      </c>
      <c r="C306" s="13" t="s">
        <v>1472</v>
      </c>
      <c r="D306" s="13" t="s">
        <v>18</v>
      </c>
      <c r="E306" s="13" t="s">
        <v>1473</v>
      </c>
      <c r="F306" s="13" t="s">
        <v>1474</v>
      </c>
      <c r="G306" s="13" t="s">
        <v>199</v>
      </c>
      <c r="H306" s="13" t="s">
        <v>15</v>
      </c>
      <c r="I306" s="13">
        <v>90278.0</v>
      </c>
      <c r="J306" s="5" t="str">
        <f t="shared" si="1"/>
        <v>Hope Cotton</v>
      </c>
    </row>
    <row r="307">
      <c r="A307" s="13">
        <v>306.0</v>
      </c>
      <c r="B307" s="13" t="s">
        <v>1475</v>
      </c>
      <c r="C307" s="13" t="s">
        <v>1476</v>
      </c>
      <c r="D307" s="13" t="s">
        <v>18</v>
      </c>
      <c r="E307" s="13" t="s">
        <v>1477</v>
      </c>
      <c r="F307" s="13" t="s">
        <v>1478</v>
      </c>
      <c r="G307" s="13" t="s">
        <v>146</v>
      </c>
      <c r="H307" s="13" t="s">
        <v>16</v>
      </c>
      <c r="I307" s="13">
        <v>12401.0</v>
      </c>
      <c r="J307" s="5" t="str">
        <f t="shared" si="1"/>
        <v>Vikki Erickson</v>
      </c>
    </row>
    <row r="308">
      <c r="A308" s="13">
        <v>307.0</v>
      </c>
      <c r="B308" s="13" t="s">
        <v>1479</v>
      </c>
      <c r="C308" s="13" t="s">
        <v>1480</v>
      </c>
      <c r="D308" s="13" t="s">
        <v>18</v>
      </c>
      <c r="E308" s="13" t="s">
        <v>1481</v>
      </c>
      <c r="F308" s="13" t="s">
        <v>1482</v>
      </c>
      <c r="G308" s="13" t="s">
        <v>129</v>
      </c>
      <c r="H308" s="13" t="s">
        <v>15</v>
      </c>
      <c r="I308" s="13">
        <v>91740.0</v>
      </c>
      <c r="J308" s="5" t="str">
        <f t="shared" si="1"/>
        <v>Fransisca Nicholson</v>
      </c>
    </row>
    <row r="309">
      <c r="A309" s="13">
        <v>308.0</v>
      </c>
      <c r="B309" s="13" t="s">
        <v>1483</v>
      </c>
      <c r="C309" s="13" t="s">
        <v>1484</v>
      </c>
      <c r="D309" s="13" t="s">
        <v>18</v>
      </c>
      <c r="E309" s="13" t="s">
        <v>1485</v>
      </c>
      <c r="F309" s="13" t="s">
        <v>1486</v>
      </c>
      <c r="G309" s="13" t="s">
        <v>249</v>
      </c>
      <c r="H309" s="13" t="s">
        <v>16</v>
      </c>
      <c r="I309" s="13">
        <v>14580.0</v>
      </c>
      <c r="J309" s="5" t="str">
        <f t="shared" si="1"/>
        <v>Mazie Fernandez</v>
      </c>
    </row>
    <row r="310">
      <c r="A310" s="13">
        <v>309.0</v>
      </c>
      <c r="B310" s="13" t="s">
        <v>1487</v>
      </c>
      <c r="C310" s="13" t="s">
        <v>662</v>
      </c>
      <c r="D310" s="13" t="s">
        <v>18</v>
      </c>
      <c r="E310" s="13" t="s">
        <v>1488</v>
      </c>
      <c r="F310" s="13" t="s">
        <v>1489</v>
      </c>
      <c r="G310" s="13" t="s">
        <v>68</v>
      </c>
      <c r="H310" s="13" t="s">
        <v>16</v>
      </c>
      <c r="I310" s="13">
        <v>14424.0</v>
      </c>
      <c r="J310" s="5" t="str">
        <f t="shared" si="1"/>
        <v>Anderson Martin</v>
      </c>
    </row>
    <row r="311">
      <c r="A311" s="13">
        <v>310.0</v>
      </c>
      <c r="B311" s="13" t="s">
        <v>1490</v>
      </c>
      <c r="C311" s="13" t="s">
        <v>1491</v>
      </c>
      <c r="D311" s="13" t="s">
        <v>18</v>
      </c>
      <c r="E311" s="13" t="s">
        <v>1492</v>
      </c>
      <c r="F311" s="13" t="s">
        <v>1493</v>
      </c>
      <c r="G311" s="13" t="s">
        <v>164</v>
      </c>
      <c r="H311" s="13" t="s">
        <v>16</v>
      </c>
      <c r="I311" s="13">
        <v>11379.0</v>
      </c>
      <c r="J311" s="5" t="str">
        <f t="shared" si="1"/>
        <v>Gilberto Parsons</v>
      </c>
    </row>
    <row r="312">
      <c r="A312" s="13">
        <v>311.0</v>
      </c>
      <c r="B312" s="13" t="s">
        <v>1494</v>
      </c>
      <c r="C312" s="13" t="s">
        <v>1495</v>
      </c>
      <c r="D312" s="13" t="s">
        <v>1496</v>
      </c>
      <c r="E312" s="13" t="s">
        <v>1497</v>
      </c>
      <c r="F312" s="13" t="s">
        <v>1498</v>
      </c>
      <c r="G312" s="13" t="s">
        <v>124</v>
      </c>
      <c r="H312" s="13" t="s">
        <v>15</v>
      </c>
      <c r="I312" s="13">
        <v>93706.0</v>
      </c>
      <c r="J312" s="5" t="str">
        <f t="shared" si="1"/>
        <v>Charise Burt</v>
      </c>
    </row>
    <row r="313">
      <c r="A313" s="13">
        <v>312.0</v>
      </c>
      <c r="B313" s="13" t="s">
        <v>1499</v>
      </c>
      <c r="C313" s="13" t="s">
        <v>1500</v>
      </c>
      <c r="D313" s="13" t="s">
        <v>18</v>
      </c>
      <c r="E313" s="13" t="s">
        <v>1501</v>
      </c>
      <c r="F313" s="13" t="s">
        <v>1502</v>
      </c>
      <c r="G313" s="13" t="s">
        <v>155</v>
      </c>
      <c r="H313" s="13" t="s">
        <v>17</v>
      </c>
      <c r="I313" s="13">
        <v>75604.0</v>
      </c>
      <c r="J313" s="5" t="str">
        <f t="shared" si="1"/>
        <v>Cameron Carroll</v>
      </c>
    </row>
    <row r="314">
      <c r="A314" s="13">
        <v>313.0</v>
      </c>
      <c r="B314" s="13" t="s">
        <v>1503</v>
      </c>
      <c r="C314" s="13" t="s">
        <v>1312</v>
      </c>
      <c r="D314" s="13" t="s">
        <v>18</v>
      </c>
      <c r="E314" s="13" t="s">
        <v>1504</v>
      </c>
      <c r="F314" s="13" t="s">
        <v>1505</v>
      </c>
      <c r="G314" s="13" t="s">
        <v>159</v>
      </c>
      <c r="H314" s="13" t="s">
        <v>16</v>
      </c>
      <c r="I314" s="13">
        <v>11378.0</v>
      </c>
      <c r="J314" s="5" t="str">
        <f t="shared" si="1"/>
        <v>Melani Jarvis</v>
      </c>
    </row>
    <row r="315">
      <c r="A315" s="13">
        <v>314.0</v>
      </c>
      <c r="B315" s="13" t="s">
        <v>1506</v>
      </c>
      <c r="C315" s="13" t="s">
        <v>1507</v>
      </c>
      <c r="D315" s="13" t="s">
        <v>18</v>
      </c>
      <c r="E315" s="13" t="s">
        <v>1508</v>
      </c>
      <c r="F315" s="13" t="s">
        <v>1509</v>
      </c>
      <c r="G315" s="13" t="s">
        <v>210</v>
      </c>
      <c r="H315" s="13" t="s">
        <v>17</v>
      </c>
      <c r="I315" s="13">
        <v>75088.0</v>
      </c>
      <c r="J315" s="5" t="str">
        <f t="shared" si="1"/>
        <v>Javier Nichols</v>
      </c>
    </row>
    <row r="316">
      <c r="A316" s="13">
        <v>315.0</v>
      </c>
      <c r="B316" s="13" t="s">
        <v>1374</v>
      </c>
      <c r="C316" s="13" t="s">
        <v>1510</v>
      </c>
      <c r="D316" s="13" t="s">
        <v>18</v>
      </c>
      <c r="E316" s="13" t="s">
        <v>1511</v>
      </c>
      <c r="F316" s="13" t="s">
        <v>1512</v>
      </c>
      <c r="G316" s="13" t="s">
        <v>42</v>
      </c>
      <c r="H316" s="13" t="s">
        <v>16</v>
      </c>
      <c r="I316" s="13">
        <v>11510.0</v>
      </c>
      <c r="J316" s="5" t="str">
        <f t="shared" si="1"/>
        <v>Justina Jenkins</v>
      </c>
    </row>
    <row r="317">
      <c r="A317" s="13">
        <v>316.0</v>
      </c>
      <c r="B317" s="13" t="s">
        <v>1513</v>
      </c>
      <c r="C317" s="13" t="s">
        <v>1514</v>
      </c>
      <c r="D317" s="13" t="s">
        <v>18</v>
      </c>
      <c r="E317" s="13" t="s">
        <v>1515</v>
      </c>
      <c r="F317" s="13" t="s">
        <v>1516</v>
      </c>
      <c r="G317" s="13" t="s">
        <v>112</v>
      </c>
      <c r="H317" s="13" t="s">
        <v>17</v>
      </c>
      <c r="I317" s="13">
        <v>76039.0</v>
      </c>
      <c r="J317" s="5" t="str">
        <f t="shared" si="1"/>
        <v>Hortencia Graham</v>
      </c>
    </row>
    <row r="318">
      <c r="A318" s="13">
        <v>317.0</v>
      </c>
      <c r="B318" s="13" t="s">
        <v>1443</v>
      </c>
      <c r="C318" s="13" t="s">
        <v>806</v>
      </c>
      <c r="D318" s="13" t="s">
        <v>18</v>
      </c>
      <c r="E318" s="13" t="s">
        <v>1517</v>
      </c>
      <c r="F318" s="13" t="s">
        <v>1518</v>
      </c>
      <c r="G318" s="13" t="s">
        <v>256</v>
      </c>
      <c r="H318" s="13" t="s">
        <v>16</v>
      </c>
      <c r="I318" s="13">
        <v>11377.0</v>
      </c>
      <c r="J318" s="5" t="str">
        <f t="shared" si="1"/>
        <v>Christia Wilkins</v>
      </c>
    </row>
    <row r="319">
      <c r="A319" s="13">
        <v>318.0</v>
      </c>
      <c r="B319" s="13" t="s">
        <v>1519</v>
      </c>
      <c r="C319" s="13" t="s">
        <v>1182</v>
      </c>
      <c r="D319" s="13" t="s">
        <v>18</v>
      </c>
      <c r="E319" s="13" t="s">
        <v>1520</v>
      </c>
      <c r="F319" s="13" t="s">
        <v>1521</v>
      </c>
      <c r="G319" s="13" t="s">
        <v>125</v>
      </c>
      <c r="H319" s="13" t="s">
        <v>15</v>
      </c>
      <c r="I319" s="13">
        <v>92831.0</v>
      </c>
      <c r="J319" s="5" t="str">
        <f t="shared" si="1"/>
        <v>Eliz Whitney</v>
      </c>
    </row>
    <row r="320">
      <c r="A320" s="13">
        <v>319.0</v>
      </c>
      <c r="B320" s="13" t="s">
        <v>1522</v>
      </c>
      <c r="C320" s="13" t="s">
        <v>1523</v>
      </c>
      <c r="D320" s="13" t="s">
        <v>18</v>
      </c>
      <c r="E320" s="13" t="s">
        <v>1524</v>
      </c>
      <c r="F320" s="13" t="s">
        <v>1525</v>
      </c>
      <c r="G320" s="13" t="s">
        <v>33</v>
      </c>
      <c r="H320" s="13" t="s">
        <v>15</v>
      </c>
      <c r="I320" s="13">
        <v>92307.0</v>
      </c>
      <c r="J320" s="5" t="str">
        <f t="shared" si="1"/>
        <v>Justin Newton</v>
      </c>
    </row>
    <row r="321">
      <c r="A321" s="13">
        <v>320.0</v>
      </c>
      <c r="B321" s="13" t="s">
        <v>1526</v>
      </c>
      <c r="C321" s="13" t="s">
        <v>1527</v>
      </c>
      <c r="D321" s="13" t="s">
        <v>1528</v>
      </c>
      <c r="E321" s="13" t="s">
        <v>1529</v>
      </c>
      <c r="F321" s="13" t="s">
        <v>1530</v>
      </c>
      <c r="G321" s="13" t="s">
        <v>180</v>
      </c>
      <c r="H321" s="13" t="s">
        <v>16</v>
      </c>
      <c r="I321" s="13">
        <v>11572.0</v>
      </c>
      <c r="J321" s="5" t="str">
        <f t="shared" si="1"/>
        <v>Aron Wiggins</v>
      </c>
    </row>
    <row r="322">
      <c r="A322" s="13">
        <v>321.0</v>
      </c>
      <c r="B322" s="13" t="s">
        <v>1531</v>
      </c>
      <c r="C322" s="13" t="s">
        <v>340</v>
      </c>
      <c r="D322" s="13" t="s">
        <v>18</v>
      </c>
      <c r="E322" s="13" t="s">
        <v>1532</v>
      </c>
      <c r="F322" s="13" t="s">
        <v>1533</v>
      </c>
      <c r="G322" s="13" t="s">
        <v>62</v>
      </c>
      <c r="H322" s="13" t="s">
        <v>16</v>
      </c>
      <c r="I322" s="13">
        <v>11201.0</v>
      </c>
      <c r="J322" s="5" t="str">
        <f t="shared" si="1"/>
        <v>Chere Hardin</v>
      </c>
    </row>
    <row r="323">
      <c r="A323" s="13">
        <v>322.0</v>
      </c>
      <c r="B323" s="13" t="s">
        <v>1534</v>
      </c>
      <c r="C323" s="13" t="s">
        <v>891</v>
      </c>
      <c r="D323" s="13" t="s">
        <v>18</v>
      </c>
      <c r="E323" s="13" t="s">
        <v>1535</v>
      </c>
      <c r="F323" s="13" t="s">
        <v>1536</v>
      </c>
      <c r="G323" s="13" t="s">
        <v>197</v>
      </c>
      <c r="H323" s="13" t="s">
        <v>16</v>
      </c>
      <c r="I323" s="13">
        <v>12601.0</v>
      </c>
      <c r="J323" s="5" t="str">
        <f t="shared" si="1"/>
        <v>Merideth Preston</v>
      </c>
    </row>
    <row r="324">
      <c r="A324" s="13">
        <v>323.0</v>
      </c>
      <c r="B324" s="13" t="s">
        <v>1003</v>
      </c>
      <c r="C324" s="13" t="s">
        <v>1537</v>
      </c>
      <c r="D324" s="13" t="s">
        <v>18</v>
      </c>
      <c r="E324" s="13" t="s">
        <v>1538</v>
      </c>
      <c r="F324" s="13" t="s">
        <v>1539</v>
      </c>
      <c r="G324" s="13" t="s">
        <v>225</v>
      </c>
      <c r="H324" s="13" t="s">
        <v>16</v>
      </c>
      <c r="I324" s="13">
        <v>12302.0</v>
      </c>
      <c r="J324" s="5" t="str">
        <f t="shared" si="1"/>
        <v>Jeniffer Slater</v>
      </c>
    </row>
    <row r="325">
      <c r="A325" s="13">
        <v>324.0</v>
      </c>
      <c r="B325" s="13" t="s">
        <v>1540</v>
      </c>
      <c r="C325" s="13" t="s">
        <v>1019</v>
      </c>
      <c r="D325" s="13" t="s">
        <v>18</v>
      </c>
      <c r="E325" s="13" t="s">
        <v>1541</v>
      </c>
      <c r="F325" s="13" t="s">
        <v>1542</v>
      </c>
      <c r="G325" s="13" t="s">
        <v>54</v>
      </c>
      <c r="H325" s="13" t="s">
        <v>16</v>
      </c>
      <c r="I325" s="13">
        <v>11710.0</v>
      </c>
      <c r="J325" s="5" t="str">
        <f t="shared" si="1"/>
        <v>Laureen Paul</v>
      </c>
    </row>
    <row r="326">
      <c r="A326" s="13">
        <v>325.0</v>
      </c>
      <c r="B326" s="13" t="s">
        <v>1543</v>
      </c>
      <c r="C326" s="13" t="s">
        <v>1544</v>
      </c>
      <c r="D326" s="13" t="s">
        <v>18</v>
      </c>
      <c r="E326" s="13" t="s">
        <v>1545</v>
      </c>
      <c r="F326" s="13" t="s">
        <v>1546</v>
      </c>
      <c r="G326" s="13" t="s">
        <v>60</v>
      </c>
      <c r="H326" s="13" t="s">
        <v>16</v>
      </c>
      <c r="I326" s="13">
        <v>10451.0</v>
      </c>
      <c r="J326" s="5" t="str">
        <f t="shared" si="1"/>
        <v>Berna Moore</v>
      </c>
    </row>
    <row r="327">
      <c r="A327" s="13">
        <v>326.0</v>
      </c>
      <c r="B327" s="13" t="s">
        <v>1547</v>
      </c>
      <c r="C327" s="13" t="s">
        <v>1548</v>
      </c>
      <c r="D327" s="13" t="s">
        <v>18</v>
      </c>
      <c r="E327" s="13" t="s">
        <v>1549</v>
      </c>
      <c r="F327" s="13" t="s">
        <v>1550</v>
      </c>
      <c r="G327" s="13" t="s">
        <v>205</v>
      </c>
      <c r="H327" s="13" t="s">
        <v>15</v>
      </c>
      <c r="I327" s="13">
        <v>95677.0</v>
      </c>
      <c r="J327" s="5" t="str">
        <f t="shared" si="1"/>
        <v>Shiela Calderon</v>
      </c>
    </row>
    <row r="328">
      <c r="A328" s="13">
        <v>327.0</v>
      </c>
      <c r="B328" s="13" t="s">
        <v>1551</v>
      </c>
      <c r="C328" s="13" t="s">
        <v>1552</v>
      </c>
      <c r="D328" s="13" t="s">
        <v>1553</v>
      </c>
      <c r="E328" s="13" t="s">
        <v>1554</v>
      </c>
      <c r="F328" s="13" t="s">
        <v>1555</v>
      </c>
      <c r="G328" s="13" t="s">
        <v>174</v>
      </c>
      <c r="H328" s="13" t="s">
        <v>16</v>
      </c>
      <c r="I328" s="13">
        <v>10002.0</v>
      </c>
      <c r="J328" s="5" t="str">
        <f t="shared" si="1"/>
        <v>Sharie Alvarez</v>
      </c>
    </row>
    <row r="329">
      <c r="A329" s="13">
        <v>328.0</v>
      </c>
      <c r="B329" s="13" t="s">
        <v>1556</v>
      </c>
      <c r="C329" s="13" t="s">
        <v>1557</v>
      </c>
      <c r="D329" s="13" t="s">
        <v>18</v>
      </c>
      <c r="E329" s="13" t="s">
        <v>1558</v>
      </c>
      <c r="F329" s="13" t="s">
        <v>1559</v>
      </c>
      <c r="G329" s="13" t="s">
        <v>112</v>
      </c>
      <c r="H329" s="13" t="s">
        <v>17</v>
      </c>
      <c r="I329" s="13">
        <v>76039.0</v>
      </c>
      <c r="J329" s="5" t="str">
        <f t="shared" si="1"/>
        <v>Bettie Glover</v>
      </c>
    </row>
    <row r="330">
      <c r="A330" s="13">
        <v>329.0</v>
      </c>
      <c r="B330" s="13" t="s">
        <v>1560</v>
      </c>
      <c r="C330" s="13" t="s">
        <v>1561</v>
      </c>
      <c r="D330" s="13" t="s">
        <v>18</v>
      </c>
      <c r="E330" s="13" t="s">
        <v>1562</v>
      </c>
      <c r="F330" s="13" t="s">
        <v>1563</v>
      </c>
      <c r="G330" s="13" t="s">
        <v>194</v>
      </c>
      <c r="H330" s="13" t="s">
        <v>16</v>
      </c>
      <c r="I330" s="13">
        <v>10573.0</v>
      </c>
      <c r="J330" s="5" t="str">
        <f t="shared" si="1"/>
        <v>Marilyn Frank</v>
      </c>
    </row>
    <row r="331">
      <c r="A331" s="13">
        <v>330.0</v>
      </c>
      <c r="B331" s="13" t="s">
        <v>1564</v>
      </c>
      <c r="C331" s="13" t="s">
        <v>1565</v>
      </c>
      <c r="D331" s="13" t="s">
        <v>18</v>
      </c>
      <c r="E331" s="13" t="s">
        <v>1566</v>
      </c>
      <c r="F331" s="13" t="s">
        <v>1567</v>
      </c>
      <c r="G331" s="13" t="s">
        <v>256</v>
      </c>
      <c r="H331" s="13" t="s">
        <v>16</v>
      </c>
      <c r="I331" s="13">
        <v>11377.0</v>
      </c>
      <c r="J331" s="5" t="str">
        <f t="shared" si="1"/>
        <v>Sheba Knapp</v>
      </c>
    </row>
    <row r="332">
      <c r="A332" s="13">
        <v>331.0</v>
      </c>
      <c r="B332" s="13" t="s">
        <v>347</v>
      </c>
      <c r="C332" s="13" t="s">
        <v>1568</v>
      </c>
      <c r="D332" s="13" t="s">
        <v>18</v>
      </c>
      <c r="E332" s="13" t="s">
        <v>1569</v>
      </c>
      <c r="F332" s="13" t="s">
        <v>1570</v>
      </c>
      <c r="G332" s="13" t="s">
        <v>50</v>
      </c>
      <c r="H332" s="13" t="s">
        <v>16</v>
      </c>
      <c r="I332" s="13">
        <v>11706.0</v>
      </c>
      <c r="J332" s="5" t="str">
        <f t="shared" si="1"/>
        <v>Aleta Mack</v>
      </c>
    </row>
    <row r="333">
      <c r="A333" s="13">
        <v>332.0</v>
      </c>
      <c r="B333" s="13" t="s">
        <v>1571</v>
      </c>
      <c r="C333" s="13" t="s">
        <v>658</v>
      </c>
      <c r="D333" s="13" t="s">
        <v>18</v>
      </c>
      <c r="E333" s="13" t="s">
        <v>1572</v>
      </c>
      <c r="F333" s="13" t="s">
        <v>1573</v>
      </c>
      <c r="G333" s="13" t="s">
        <v>70</v>
      </c>
      <c r="H333" s="13" t="s">
        <v>15</v>
      </c>
      <c r="I333" s="13">
        <v>91387.0</v>
      </c>
      <c r="J333" s="5" t="str">
        <f t="shared" si="1"/>
        <v>Reena Higgins</v>
      </c>
    </row>
    <row r="334">
      <c r="A334" s="13">
        <v>333.0</v>
      </c>
      <c r="B334" s="13" t="s">
        <v>1574</v>
      </c>
      <c r="C334" s="13" t="s">
        <v>1575</v>
      </c>
      <c r="D334" s="13" t="s">
        <v>18</v>
      </c>
      <c r="E334" s="13" t="s">
        <v>1576</v>
      </c>
      <c r="F334" s="13" t="s">
        <v>1577</v>
      </c>
      <c r="G334" s="13" t="s">
        <v>236</v>
      </c>
      <c r="H334" s="13" t="s">
        <v>16</v>
      </c>
      <c r="I334" s="13">
        <v>11104.0</v>
      </c>
      <c r="J334" s="5" t="str">
        <f t="shared" si="1"/>
        <v>Ami Mcmahon</v>
      </c>
    </row>
    <row r="335">
      <c r="A335" s="13">
        <v>334.0</v>
      </c>
      <c r="B335" s="13" t="s">
        <v>1578</v>
      </c>
      <c r="C335" s="13" t="s">
        <v>1579</v>
      </c>
      <c r="D335" s="13" t="s">
        <v>18</v>
      </c>
      <c r="E335" s="13" t="s">
        <v>1580</v>
      </c>
      <c r="F335" s="13" t="s">
        <v>1581</v>
      </c>
      <c r="G335" s="13" t="s">
        <v>141</v>
      </c>
      <c r="H335" s="13" t="s">
        <v>16</v>
      </c>
      <c r="I335" s="13">
        <v>11746.0</v>
      </c>
      <c r="J335" s="5" t="str">
        <f t="shared" si="1"/>
        <v>Somer Jordan</v>
      </c>
    </row>
    <row r="336">
      <c r="A336" s="13">
        <v>335.0</v>
      </c>
      <c r="B336" s="13" t="s">
        <v>1162</v>
      </c>
      <c r="C336" s="13" t="s">
        <v>1582</v>
      </c>
      <c r="D336" s="13" t="s">
        <v>18</v>
      </c>
      <c r="E336" s="13" t="s">
        <v>1583</v>
      </c>
      <c r="F336" s="13" t="s">
        <v>1584</v>
      </c>
      <c r="G336" s="13" t="s">
        <v>60</v>
      </c>
      <c r="H336" s="13" t="s">
        <v>16</v>
      </c>
      <c r="I336" s="13">
        <v>10451.0</v>
      </c>
      <c r="J336" s="5" t="str">
        <f t="shared" si="1"/>
        <v>Scarlet Reed</v>
      </c>
    </row>
    <row r="337">
      <c r="A337" s="13">
        <v>336.0</v>
      </c>
      <c r="B337" s="13" t="s">
        <v>1585</v>
      </c>
      <c r="C337" s="13" t="s">
        <v>1586</v>
      </c>
      <c r="D337" s="13" t="s">
        <v>1587</v>
      </c>
      <c r="E337" s="13" t="s">
        <v>1588</v>
      </c>
      <c r="F337" s="13" t="s">
        <v>1589</v>
      </c>
      <c r="G337" s="13" t="s">
        <v>148</v>
      </c>
      <c r="H337" s="13" t="s">
        <v>16</v>
      </c>
      <c r="I337" s="13">
        <v>14086.0</v>
      </c>
      <c r="J337" s="5" t="str">
        <f t="shared" si="1"/>
        <v>Trisha Johnson</v>
      </c>
    </row>
    <row r="338">
      <c r="A338" s="13">
        <v>337.0</v>
      </c>
      <c r="B338" s="13" t="s">
        <v>1590</v>
      </c>
      <c r="C338" s="13" t="s">
        <v>1591</v>
      </c>
      <c r="D338" s="13" t="s">
        <v>18</v>
      </c>
      <c r="E338" s="13" t="s">
        <v>1592</v>
      </c>
      <c r="F338" s="13" t="s">
        <v>1593</v>
      </c>
      <c r="G338" s="13" t="s">
        <v>230</v>
      </c>
      <c r="H338" s="13" t="s">
        <v>16</v>
      </c>
      <c r="I338" s="13">
        <v>11420.0</v>
      </c>
      <c r="J338" s="5" t="str">
        <f t="shared" si="1"/>
        <v>Majorie Wyatt</v>
      </c>
    </row>
    <row r="339">
      <c r="A339" s="13">
        <v>338.0</v>
      </c>
      <c r="B339" s="13" t="s">
        <v>1594</v>
      </c>
      <c r="C339" s="13" t="s">
        <v>1126</v>
      </c>
      <c r="D339" s="13" t="s">
        <v>18</v>
      </c>
      <c r="E339" s="13" t="s">
        <v>1595</v>
      </c>
      <c r="F339" s="13" t="s">
        <v>1596</v>
      </c>
      <c r="G339" s="13" t="s">
        <v>118</v>
      </c>
      <c r="H339" s="13" t="s">
        <v>16</v>
      </c>
      <c r="I339" s="13">
        <v>11375.0</v>
      </c>
      <c r="J339" s="5" t="str">
        <f t="shared" si="1"/>
        <v>Abbey Pugh</v>
      </c>
    </row>
    <row r="340">
      <c r="A340" s="13">
        <v>339.0</v>
      </c>
      <c r="B340" s="13" t="s">
        <v>1597</v>
      </c>
      <c r="C340" s="13" t="s">
        <v>1598</v>
      </c>
      <c r="D340" s="13" t="s">
        <v>18</v>
      </c>
      <c r="E340" s="13" t="s">
        <v>1599</v>
      </c>
      <c r="F340" s="13" t="s">
        <v>1600</v>
      </c>
      <c r="G340" s="13" t="s">
        <v>76</v>
      </c>
      <c r="H340" s="13" t="s">
        <v>16</v>
      </c>
      <c r="I340" s="13">
        <v>11722.0</v>
      </c>
      <c r="J340" s="5" t="str">
        <f t="shared" si="1"/>
        <v>Tamela Harrell</v>
      </c>
    </row>
    <row r="341">
      <c r="A341" s="13">
        <v>340.0</v>
      </c>
      <c r="B341" s="13" t="s">
        <v>1601</v>
      </c>
      <c r="C341" s="13" t="s">
        <v>1602</v>
      </c>
      <c r="D341" s="13" t="s">
        <v>18</v>
      </c>
      <c r="E341" s="13" t="s">
        <v>1603</v>
      </c>
      <c r="F341" s="13" t="s">
        <v>1604</v>
      </c>
      <c r="G341" s="13" t="s">
        <v>228</v>
      </c>
      <c r="H341" s="13" t="s">
        <v>16</v>
      </c>
      <c r="I341" s="13">
        <v>11787.0</v>
      </c>
      <c r="J341" s="5" t="str">
        <f t="shared" si="1"/>
        <v>Yanira Bradshaw</v>
      </c>
    </row>
    <row r="342">
      <c r="A342" s="13">
        <v>341.0</v>
      </c>
      <c r="B342" s="13" t="s">
        <v>1605</v>
      </c>
      <c r="C342" s="13" t="s">
        <v>1606</v>
      </c>
      <c r="D342" s="13" t="s">
        <v>18</v>
      </c>
      <c r="E342" s="13" t="s">
        <v>1607</v>
      </c>
      <c r="F342" s="13" t="s">
        <v>1608</v>
      </c>
      <c r="G342" s="13" t="s">
        <v>167</v>
      </c>
      <c r="H342" s="13" t="s">
        <v>16</v>
      </c>
      <c r="I342" s="13">
        <v>10550.0</v>
      </c>
      <c r="J342" s="5" t="str">
        <f t="shared" si="1"/>
        <v>Delana Scott</v>
      </c>
    </row>
    <row r="343">
      <c r="A343" s="13">
        <v>342.0</v>
      </c>
      <c r="B343" s="13" t="s">
        <v>1609</v>
      </c>
      <c r="C343" s="13" t="s">
        <v>1610</v>
      </c>
      <c r="D343" s="13" t="s">
        <v>18</v>
      </c>
      <c r="E343" s="13" t="s">
        <v>1611</v>
      </c>
      <c r="F343" s="13" t="s">
        <v>1612</v>
      </c>
      <c r="G343" s="13" t="s">
        <v>163</v>
      </c>
      <c r="H343" s="13" t="s">
        <v>16</v>
      </c>
      <c r="I343" s="13">
        <v>11566.0</v>
      </c>
      <c r="J343" s="5" t="str">
        <f t="shared" si="1"/>
        <v>Cassondra Pruitt</v>
      </c>
    </row>
    <row r="344">
      <c r="A344" s="13">
        <v>343.0</v>
      </c>
      <c r="B344" s="13" t="s">
        <v>1613</v>
      </c>
      <c r="C344" s="13" t="s">
        <v>1614</v>
      </c>
      <c r="D344" s="13" t="s">
        <v>18</v>
      </c>
      <c r="E344" s="13" t="s">
        <v>1615</v>
      </c>
      <c r="F344" s="13" t="s">
        <v>1616</v>
      </c>
      <c r="G344" s="13" t="s">
        <v>82</v>
      </c>
      <c r="H344" s="13" t="s">
        <v>16</v>
      </c>
      <c r="I344" s="13">
        <v>11725.0</v>
      </c>
      <c r="J344" s="5" t="str">
        <f t="shared" si="1"/>
        <v>Jesica Fields</v>
      </c>
    </row>
    <row r="345">
      <c r="A345" s="13">
        <v>344.0</v>
      </c>
      <c r="B345" s="13" t="s">
        <v>1617</v>
      </c>
      <c r="C345" s="13" t="s">
        <v>1618</v>
      </c>
      <c r="D345" s="13" t="s">
        <v>18</v>
      </c>
      <c r="E345" s="13" t="s">
        <v>1619</v>
      </c>
      <c r="F345" s="13" t="s">
        <v>1620</v>
      </c>
      <c r="G345" s="13" t="s">
        <v>168</v>
      </c>
      <c r="H345" s="13" t="s">
        <v>15</v>
      </c>
      <c r="I345" s="13">
        <v>94043.0</v>
      </c>
      <c r="J345" s="5" t="str">
        <f t="shared" si="1"/>
        <v>Herta Rollins</v>
      </c>
    </row>
    <row r="346">
      <c r="A346" s="13">
        <v>345.0</v>
      </c>
      <c r="B346" s="13" t="s">
        <v>1621</v>
      </c>
      <c r="C346" s="13" t="s">
        <v>1622</v>
      </c>
      <c r="D346" s="13" t="s">
        <v>1623</v>
      </c>
      <c r="E346" s="13" t="s">
        <v>1624</v>
      </c>
      <c r="F346" s="13" t="s">
        <v>1625</v>
      </c>
      <c r="G346" s="13" t="s">
        <v>25</v>
      </c>
      <c r="H346" s="13" t="s">
        <v>16</v>
      </c>
      <c r="I346" s="13">
        <v>12203.0</v>
      </c>
      <c r="J346" s="5" t="str">
        <f t="shared" si="1"/>
        <v>Mi Gray</v>
      </c>
    </row>
    <row r="347">
      <c r="A347" s="13">
        <v>346.0</v>
      </c>
      <c r="B347" s="13" t="s">
        <v>1626</v>
      </c>
      <c r="C347" s="13" t="s">
        <v>1627</v>
      </c>
      <c r="D347" s="13" t="s">
        <v>18</v>
      </c>
      <c r="E347" s="13" t="s">
        <v>1628</v>
      </c>
      <c r="F347" s="13" t="s">
        <v>1629</v>
      </c>
      <c r="G347" s="13" t="s">
        <v>159</v>
      </c>
      <c r="H347" s="13" t="s">
        <v>16</v>
      </c>
      <c r="I347" s="13">
        <v>11378.0</v>
      </c>
      <c r="J347" s="5" t="str">
        <f t="shared" si="1"/>
        <v>Jacalyn Barnett</v>
      </c>
    </row>
    <row r="348">
      <c r="A348" s="13">
        <v>347.0</v>
      </c>
      <c r="B348" s="13" t="s">
        <v>529</v>
      </c>
      <c r="C348" s="13" t="s">
        <v>1630</v>
      </c>
      <c r="D348" s="13" t="s">
        <v>1631</v>
      </c>
      <c r="E348" s="13" t="s">
        <v>1632</v>
      </c>
      <c r="F348" s="13" t="s">
        <v>1633</v>
      </c>
      <c r="G348" s="13" t="s">
        <v>178</v>
      </c>
      <c r="H348" s="13" t="s">
        <v>15</v>
      </c>
      <c r="I348" s="13">
        <v>94603.0</v>
      </c>
      <c r="J348" s="5" t="str">
        <f t="shared" si="1"/>
        <v>Kanesha Hudson</v>
      </c>
    </row>
    <row r="349">
      <c r="A349" s="13">
        <v>348.0</v>
      </c>
      <c r="B349" s="13" t="s">
        <v>1634</v>
      </c>
      <c r="C349" s="13" t="s">
        <v>1635</v>
      </c>
      <c r="D349" s="13" t="s">
        <v>18</v>
      </c>
      <c r="E349" s="13" t="s">
        <v>1636</v>
      </c>
      <c r="F349" s="13" t="s">
        <v>1637</v>
      </c>
      <c r="G349" s="13" t="s">
        <v>80</v>
      </c>
      <c r="H349" s="13" t="s">
        <v>15</v>
      </c>
      <c r="I349" s="13">
        <v>92236.0</v>
      </c>
      <c r="J349" s="5" t="str">
        <f t="shared" si="1"/>
        <v>Darren Witt</v>
      </c>
    </row>
    <row r="350">
      <c r="A350" s="13">
        <v>349.0</v>
      </c>
      <c r="B350" s="13" t="s">
        <v>1638</v>
      </c>
      <c r="C350" s="13" t="s">
        <v>1031</v>
      </c>
      <c r="D350" s="13" t="s">
        <v>18</v>
      </c>
      <c r="E350" s="13" t="s">
        <v>1639</v>
      </c>
      <c r="F350" s="13" t="s">
        <v>1640</v>
      </c>
      <c r="G350" s="13" t="s">
        <v>80</v>
      </c>
      <c r="H350" s="13" t="s">
        <v>15</v>
      </c>
      <c r="I350" s="13">
        <v>92236.0</v>
      </c>
      <c r="J350" s="5" t="str">
        <f t="shared" si="1"/>
        <v>Mable Pratt</v>
      </c>
    </row>
    <row r="351">
      <c r="A351" s="13">
        <v>350.0</v>
      </c>
      <c r="B351" s="13" t="s">
        <v>1641</v>
      </c>
      <c r="C351" s="13" t="s">
        <v>510</v>
      </c>
      <c r="D351" s="13" t="s">
        <v>18</v>
      </c>
      <c r="E351" s="13" t="s">
        <v>1642</v>
      </c>
      <c r="F351" s="13" t="s">
        <v>1643</v>
      </c>
      <c r="G351" s="13" t="s">
        <v>50</v>
      </c>
      <c r="H351" s="13" t="s">
        <v>16</v>
      </c>
      <c r="I351" s="13">
        <v>11706.0</v>
      </c>
      <c r="J351" s="5" t="str">
        <f t="shared" si="1"/>
        <v>Christoper Mccall</v>
      </c>
    </row>
    <row r="352">
      <c r="A352" s="13">
        <v>351.0</v>
      </c>
      <c r="B352" s="13" t="s">
        <v>1644</v>
      </c>
      <c r="C352" s="13" t="s">
        <v>1645</v>
      </c>
      <c r="D352" s="13" t="s">
        <v>18</v>
      </c>
      <c r="E352" s="13" t="s">
        <v>1646</v>
      </c>
      <c r="F352" s="13" t="s">
        <v>1647</v>
      </c>
      <c r="G352" s="13" t="s">
        <v>166</v>
      </c>
      <c r="H352" s="13" t="s">
        <v>16</v>
      </c>
      <c r="I352" s="13">
        <v>10952.0</v>
      </c>
      <c r="J352" s="5" t="str">
        <f t="shared" si="1"/>
        <v>Margorie Wynn</v>
      </c>
    </row>
    <row r="353">
      <c r="A353" s="13">
        <v>352.0</v>
      </c>
      <c r="B353" s="13" t="s">
        <v>1648</v>
      </c>
      <c r="C353" s="13" t="s">
        <v>1649</v>
      </c>
      <c r="D353" s="13" t="s">
        <v>18</v>
      </c>
      <c r="E353" s="13" t="s">
        <v>1650</v>
      </c>
      <c r="F353" s="13" t="s">
        <v>1651</v>
      </c>
      <c r="G353" s="13" t="s">
        <v>144</v>
      </c>
      <c r="H353" s="13" t="s">
        <v>16</v>
      </c>
      <c r="I353" s="13">
        <v>11432.0</v>
      </c>
      <c r="J353" s="5" t="str">
        <f t="shared" si="1"/>
        <v>Josef Greer</v>
      </c>
    </row>
    <row r="354">
      <c r="A354" s="13">
        <v>353.0</v>
      </c>
      <c r="B354" s="13" t="s">
        <v>1652</v>
      </c>
      <c r="C354" s="13" t="s">
        <v>1182</v>
      </c>
      <c r="D354" s="13" t="s">
        <v>18</v>
      </c>
      <c r="E354" s="13" t="s">
        <v>1653</v>
      </c>
      <c r="F354" s="13" t="s">
        <v>1654</v>
      </c>
      <c r="G354" s="13" t="s">
        <v>166</v>
      </c>
      <c r="H354" s="13" t="s">
        <v>16</v>
      </c>
      <c r="I354" s="13">
        <v>10952.0</v>
      </c>
      <c r="J354" s="5" t="str">
        <f t="shared" si="1"/>
        <v>Tisa Whitney</v>
      </c>
    </row>
    <row r="355">
      <c r="A355" s="13">
        <v>354.0</v>
      </c>
      <c r="B355" s="13" t="s">
        <v>1655</v>
      </c>
      <c r="C355" s="13" t="s">
        <v>452</v>
      </c>
      <c r="D355" s="13" t="s">
        <v>18</v>
      </c>
      <c r="E355" s="13" t="s">
        <v>1656</v>
      </c>
      <c r="F355" s="13" t="s">
        <v>1657</v>
      </c>
      <c r="G355" s="13" t="s">
        <v>236</v>
      </c>
      <c r="H355" s="13" t="s">
        <v>16</v>
      </c>
      <c r="I355" s="13">
        <v>11104.0</v>
      </c>
      <c r="J355" s="5" t="str">
        <f t="shared" si="1"/>
        <v>Tonda Armstrong</v>
      </c>
    </row>
    <row r="356">
      <c r="A356" s="13">
        <v>355.0</v>
      </c>
      <c r="B356" s="13" t="s">
        <v>627</v>
      </c>
      <c r="C356" s="13" t="s">
        <v>1658</v>
      </c>
      <c r="D356" s="13" t="s">
        <v>18</v>
      </c>
      <c r="E356" s="13" t="s">
        <v>1659</v>
      </c>
      <c r="F356" s="13" t="s">
        <v>1660</v>
      </c>
      <c r="G356" s="13" t="s">
        <v>50</v>
      </c>
      <c r="H356" s="13" t="s">
        <v>16</v>
      </c>
      <c r="I356" s="13">
        <v>11706.0</v>
      </c>
      <c r="J356" s="5" t="str">
        <f t="shared" si="1"/>
        <v>Arvilla Weiss</v>
      </c>
    </row>
    <row r="357">
      <c r="A357" s="13">
        <v>356.0</v>
      </c>
      <c r="B357" s="13" t="s">
        <v>1661</v>
      </c>
      <c r="C357" s="13" t="s">
        <v>1662</v>
      </c>
      <c r="D357" s="13" t="s">
        <v>18</v>
      </c>
      <c r="E357" s="13" t="s">
        <v>1663</v>
      </c>
      <c r="F357" s="13" t="s">
        <v>1664</v>
      </c>
      <c r="G357" s="13" t="s">
        <v>60</v>
      </c>
      <c r="H357" s="13" t="s">
        <v>16</v>
      </c>
      <c r="I357" s="13">
        <v>10451.0</v>
      </c>
      <c r="J357" s="5" t="str">
        <f t="shared" si="1"/>
        <v>Vashti Rosario</v>
      </c>
    </row>
    <row r="358">
      <c r="A358" s="13">
        <v>357.0</v>
      </c>
      <c r="B358" s="13" t="s">
        <v>1665</v>
      </c>
      <c r="C358" s="13" t="s">
        <v>1666</v>
      </c>
      <c r="D358" s="13" t="s">
        <v>1667</v>
      </c>
      <c r="E358" s="13" t="s">
        <v>1668</v>
      </c>
      <c r="F358" s="13" t="s">
        <v>1669</v>
      </c>
      <c r="G358" s="13" t="s">
        <v>217</v>
      </c>
      <c r="H358" s="13" t="s">
        <v>15</v>
      </c>
      <c r="I358" s="13">
        <v>95127.0</v>
      </c>
      <c r="J358" s="5" t="str">
        <f t="shared" si="1"/>
        <v>Sheri Cole</v>
      </c>
    </row>
    <row r="359">
      <c r="A359" s="13">
        <v>358.0</v>
      </c>
      <c r="B359" s="13" t="s">
        <v>1670</v>
      </c>
      <c r="C359" s="13" t="s">
        <v>1671</v>
      </c>
      <c r="D359" s="13" t="s">
        <v>18</v>
      </c>
      <c r="E359" s="13" t="s">
        <v>1672</v>
      </c>
      <c r="F359" s="13" t="s">
        <v>1673</v>
      </c>
      <c r="G359" s="13" t="s">
        <v>247</v>
      </c>
      <c r="H359" s="13" t="s">
        <v>16</v>
      </c>
      <c r="I359" s="13">
        <v>11793.0</v>
      </c>
      <c r="J359" s="5" t="str">
        <f t="shared" si="1"/>
        <v>Kandace Giles</v>
      </c>
    </row>
    <row r="360">
      <c r="A360" s="13">
        <v>359.0</v>
      </c>
      <c r="B360" s="13" t="s">
        <v>1674</v>
      </c>
      <c r="C360" s="13" t="s">
        <v>1675</v>
      </c>
      <c r="D360" s="13" t="s">
        <v>18</v>
      </c>
      <c r="E360" s="13" t="s">
        <v>1676</v>
      </c>
      <c r="F360" s="13" t="s">
        <v>1677</v>
      </c>
      <c r="G360" s="13" t="s">
        <v>193</v>
      </c>
      <c r="H360" s="13" t="s">
        <v>15</v>
      </c>
      <c r="I360" s="13">
        <v>91768.0</v>
      </c>
      <c r="J360" s="5" t="str">
        <f t="shared" si="1"/>
        <v>Angie Powers</v>
      </c>
    </row>
    <row r="361">
      <c r="A361" s="13">
        <v>360.0</v>
      </c>
      <c r="B361" s="13" t="s">
        <v>1678</v>
      </c>
      <c r="C361" s="13" t="s">
        <v>1679</v>
      </c>
      <c r="D361" s="13" t="s">
        <v>1680</v>
      </c>
      <c r="E361" s="13" t="s">
        <v>1681</v>
      </c>
      <c r="F361" s="13" t="s">
        <v>1682</v>
      </c>
      <c r="G361" s="13" t="s">
        <v>138</v>
      </c>
      <c r="H361" s="13" t="s">
        <v>17</v>
      </c>
      <c r="I361" s="13">
        <v>77016.0</v>
      </c>
      <c r="J361" s="5" t="str">
        <f t="shared" si="1"/>
        <v>Van Peters</v>
      </c>
    </row>
    <row r="362">
      <c r="A362" s="13">
        <v>361.0</v>
      </c>
      <c r="B362" s="13" t="s">
        <v>1683</v>
      </c>
      <c r="C362" s="13" t="s">
        <v>456</v>
      </c>
      <c r="D362" s="13" t="s">
        <v>18</v>
      </c>
      <c r="E362" s="13" t="s">
        <v>1684</v>
      </c>
      <c r="F362" s="13" t="s">
        <v>1685</v>
      </c>
      <c r="G362" s="13" t="s">
        <v>244</v>
      </c>
      <c r="H362" s="13" t="s">
        <v>16</v>
      </c>
      <c r="I362" s="13">
        <v>11580.0</v>
      </c>
      <c r="J362" s="5" t="str">
        <f t="shared" si="1"/>
        <v>Virgina Berg</v>
      </c>
    </row>
    <row r="363">
      <c r="A363" s="13">
        <v>362.0</v>
      </c>
      <c r="B363" s="13" t="s">
        <v>996</v>
      </c>
      <c r="C363" s="13" t="s">
        <v>1686</v>
      </c>
      <c r="D363" s="13" t="s">
        <v>18</v>
      </c>
      <c r="E363" s="13" t="s">
        <v>1687</v>
      </c>
      <c r="F363" s="13" t="s">
        <v>1688</v>
      </c>
      <c r="G363" s="13" t="s">
        <v>146</v>
      </c>
      <c r="H363" s="13" t="s">
        <v>16</v>
      </c>
      <c r="I363" s="13">
        <v>12401.0</v>
      </c>
      <c r="J363" s="5" t="str">
        <f t="shared" si="1"/>
        <v>Olevia Noel</v>
      </c>
    </row>
    <row r="364">
      <c r="A364" s="13">
        <v>363.0</v>
      </c>
      <c r="B364" s="13" t="s">
        <v>1689</v>
      </c>
      <c r="C364" s="13" t="s">
        <v>1690</v>
      </c>
      <c r="D364" s="13" t="s">
        <v>18</v>
      </c>
      <c r="E364" s="13" t="s">
        <v>1691</v>
      </c>
      <c r="F364" s="13" t="s">
        <v>1692</v>
      </c>
      <c r="G364" s="13" t="s">
        <v>46</v>
      </c>
      <c r="H364" s="13" t="s">
        <v>16</v>
      </c>
      <c r="I364" s="13">
        <v>12020.0</v>
      </c>
      <c r="J364" s="5" t="str">
        <f t="shared" si="1"/>
        <v>Kaci Gallegos</v>
      </c>
    </row>
    <row r="365">
      <c r="A365" s="13">
        <v>364.0</v>
      </c>
      <c r="B365" s="13" t="s">
        <v>1693</v>
      </c>
      <c r="C365" s="13" t="s">
        <v>1694</v>
      </c>
      <c r="D365" s="13" t="s">
        <v>18</v>
      </c>
      <c r="E365" s="13" t="s">
        <v>1695</v>
      </c>
      <c r="F365" s="13" t="s">
        <v>1696</v>
      </c>
      <c r="G365" s="13" t="s">
        <v>142</v>
      </c>
      <c r="H365" s="13" t="s">
        <v>16</v>
      </c>
      <c r="I365" s="13">
        <v>14850.0</v>
      </c>
      <c r="J365" s="5" t="str">
        <f t="shared" si="1"/>
        <v>Bev Chang</v>
      </c>
    </row>
    <row r="366">
      <c r="A366" s="13">
        <v>365.0</v>
      </c>
      <c r="B366" s="13" t="s">
        <v>1697</v>
      </c>
      <c r="C366" s="13" t="s">
        <v>1698</v>
      </c>
      <c r="D366" s="13" t="s">
        <v>18</v>
      </c>
      <c r="E366" s="13" t="s">
        <v>1699</v>
      </c>
      <c r="F366" s="13" t="s">
        <v>1700</v>
      </c>
      <c r="G366" s="13" t="s">
        <v>52</v>
      </c>
      <c r="H366" s="13" t="s">
        <v>16</v>
      </c>
      <c r="I366" s="13">
        <v>11361.0</v>
      </c>
      <c r="J366" s="5" t="str">
        <f t="shared" si="1"/>
        <v>Rodger Rojas</v>
      </c>
    </row>
    <row r="367">
      <c r="A367" s="13">
        <v>366.0</v>
      </c>
      <c r="B367" s="13" t="s">
        <v>1701</v>
      </c>
      <c r="C367" s="13" t="s">
        <v>1487</v>
      </c>
      <c r="D367" s="13" t="s">
        <v>18</v>
      </c>
      <c r="E367" s="13" t="s">
        <v>1702</v>
      </c>
      <c r="F367" s="13" t="s">
        <v>1703</v>
      </c>
      <c r="G367" s="13" t="s">
        <v>116</v>
      </c>
      <c r="H367" s="13" t="s">
        <v>16</v>
      </c>
      <c r="I367" s="13">
        <v>11001.0</v>
      </c>
      <c r="J367" s="5" t="str">
        <f t="shared" si="1"/>
        <v>Lavonne Anderson</v>
      </c>
    </row>
    <row r="368">
      <c r="A368" s="13">
        <v>367.0</v>
      </c>
      <c r="B368" s="13" t="s">
        <v>1704</v>
      </c>
      <c r="C368" s="13" t="s">
        <v>1325</v>
      </c>
      <c r="D368" s="13" t="s">
        <v>18</v>
      </c>
      <c r="E368" s="13" t="s">
        <v>1705</v>
      </c>
      <c r="F368" s="13" t="s">
        <v>1706</v>
      </c>
      <c r="G368" s="13" t="s">
        <v>186</v>
      </c>
      <c r="H368" s="13" t="s">
        <v>16</v>
      </c>
      <c r="I368" s="13">
        <v>11417.0</v>
      </c>
      <c r="J368" s="5" t="str">
        <f t="shared" si="1"/>
        <v>Blanca Hooper</v>
      </c>
    </row>
    <row r="369">
      <c r="A369" s="13">
        <v>368.0</v>
      </c>
      <c r="B369" s="13" t="s">
        <v>1707</v>
      </c>
      <c r="C369" s="13" t="s">
        <v>1675</v>
      </c>
      <c r="D369" s="13" t="s">
        <v>18</v>
      </c>
      <c r="E369" s="13" t="s">
        <v>1708</v>
      </c>
      <c r="F369" s="13" t="s">
        <v>1709</v>
      </c>
      <c r="G369" s="13" t="s">
        <v>118</v>
      </c>
      <c r="H369" s="13" t="s">
        <v>16</v>
      </c>
      <c r="I369" s="13">
        <v>11375.0</v>
      </c>
      <c r="J369" s="5" t="str">
        <f t="shared" si="1"/>
        <v>Alysha Powers</v>
      </c>
    </row>
    <row r="370">
      <c r="A370" s="13">
        <v>369.0</v>
      </c>
      <c r="B370" s="13" t="s">
        <v>1710</v>
      </c>
      <c r="C370" s="13" t="s">
        <v>1711</v>
      </c>
      <c r="D370" s="13" t="s">
        <v>18</v>
      </c>
      <c r="E370" s="13" t="s">
        <v>1712</v>
      </c>
      <c r="F370" s="13" t="s">
        <v>1713</v>
      </c>
      <c r="G370" s="13" t="s">
        <v>256</v>
      </c>
      <c r="H370" s="13" t="s">
        <v>16</v>
      </c>
      <c r="I370" s="13">
        <v>11377.0</v>
      </c>
      <c r="J370" s="5" t="str">
        <f t="shared" si="1"/>
        <v>Mary Singleton</v>
      </c>
    </row>
    <row r="371">
      <c r="A371" s="13">
        <v>370.0</v>
      </c>
      <c r="B371" s="13" t="s">
        <v>1714</v>
      </c>
      <c r="C371" s="13" t="s">
        <v>1715</v>
      </c>
      <c r="D371" s="13" t="s">
        <v>18</v>
      </c>
      <c r="E371" s="13" t="s">
        <v>1716</v>
      </c>
      <c r="F371" s="13" t="s">
        <v>1717</v>
      </c>
      <c r="G371" s="13" t="s">
        <v>139</v>
      </c>
      <c r="H371" s="13" t="s">
        <v>16</v>
      </c>
      <c r="I371" s="13">
        <v>11414.0</v>
      </c>
      <c r="J371" s="5" t="str">
        <f t="shared" si="1"/>
        <v>Jina Cooper</v>
      </c>
    </row>
    <row r="372">
      <c r="A372" s="13">
        <v>371.0</v>
      </c>
      <c r="B372" s="13" t="s">
        <v>1718</v>
      </c>
      <c r="C372" s="13" t="s">
        <v>299</v>
      </c>
      <c r="D372" s="13" t="s">
        <v>18</v>
      </c>
      <c r="E372" s="13" t="s">
        <v>1719</v>
      </c>
      <c r="F372" s="13" t="s">
        <v>1720</v>
      </c>
      <c r="G372" s="13" t="s">
        <v>209</v>
      </c>
      <c r="H372" s="13" t="s">
        <v>16</v>
      </c>
      <c r="I372" s="13">
        <v>11422.0</v>
      </c>
      <c r="J372" s="5" t="str">
        <f t="shared" si="1"/>
        <v>Loni Duncan</v>
      </c>
    </row>
    <row r="373">
      <c r="A373" s="13">
        <v>372.0</v>
      </c>
      <c r="B373" s="13" t="s">
        <v>1721</v>
      </c>
      <c r="C373" s="13" t="s">
        <v>1722</v>
      </c>
      <c r="D373" s="13" t="s">
        <v>18</v>
      </c>
      <c r="E373" s="13" t="s">
        <v>1723</v>
      </c>
      <c r="F373" s="13" t="s">
        <v>1724</v>
      </c>
      <c r="G373" s="13" t="s">
        <v>248</v>
      </c>
      <c r="H373" s="13" t="s">
        <v>16</v>
      </c>
      <c r="I373" s="13">
        <v>12590.0</v>
      </c>
      <c r="J373" s="5" t="str">
        <f t="shared" si="1"/>
        <v>Collene Roman</v>
      </c>
    </row>
    <row r="374">
      <c r="A374" s="13">
        <v>373.0</v>
      </c>
      <c r="B374" s="13" t="s">
        <v>1725</v>
      </c>
      <c r="C374" s="13" t="s">
        <v>1726</v>
      </c>
      <c r="D374" s="13" t="s">
        <v>18</v>
      </c>
      <c r="E374" s="13" t="s">
        <v>1727</v>
      </c>
      <c r="F374" s="13" t="s">
        <v>1728</v>
      </c>
      <c r="G374" s="13" t="s">
        <v>243</v>
      </c>
      <c r="H374" s="13" t="s">
        <v>16</v>
      </c>
      <c r="I374" s="13">
        <v>13501.0</v>
      </c>
      <c r="J374" s="5" t="str">
        <f t="shared" si="1"/>
        <v>Mariette Trevino</v>
      </c>
    </row>
    <row r="375">
      <c r="A375" s="13">
        <v>374.0</v>
      </c>
      <c r="B375" s="13" t="s">
        <v>1729</v>
      </c>
      <c r="C375" s="13" t="s">
        <v>1730</v>
      </c>
      <c r="D375" s="13" t="s">
        <v>18</v>
      </c>
      <c r="E375" s="13" t="s">
        <v>1731</v>
      </c>
      <c r="F375" s="13" t="s">
        <v>1732</v>
      </c>
      <c r="G375" s="13" t="s">
        <v>163</v>
      </c>
      <c r="H375" s="13" t="s">
        <v>16</v>
      </c>
      <c r="I375" s="13">
        <v>11566.0</v>
      </c>
      <c r="J375" s="5" t="str">
        <f t="shared" si="1"/>
        <v>Candelaria Coffey</v>
      </c>
    </row>
    <row r="376">
      <c r="A376" s="13">
        <v>375.0</v>
      </c>
      <c r="B376" s="13" t="s">
        <v>619</v>
      </c>
      <c r="C376" s="13" t="s">
        <v>1726</v>
      </c>
      <c r="D376" s="13" t="s">
        <v>18</v>
      </c>
      <c r="E376" s="13" t="s">
        <v>1733</v>
      </c>
      <c r="F376" s="13" t="s">
        <v>1734</v>
      </c>
      <c r="G376" s="13" t="s">
        <v>241</v>
      </c>
      <c r="H376" s="13" t="s">
        <v>16</v>
      </c>
      <c r="I376" s="13">
        <v>11553.0</v>
      </c>
      <c r="J376" s="5" t="str">
        <f t="shared" si="1"/>
        <v>Yan Trevino</v>
      </c>
    </row>
    <row r="377">
      <c r="A377" s="13">
        <v>376.0</v>
      </c>
      <c r="B377" s="13" t="s">
        <v>1735</v>
      </c>
      <c r="C377" s="13" t="s">
        <v>1736</v>
      </c>
      <c r="D377" s="13" t="s">
        <v>18</v>
      </c>
      <c r="E377" s="13" t="s">
        <v>1737</v>
      </c>
      <c r="F377" s="13" t="s">
        <v>1738</v>
      </c>
      <c r="G377" s="13" t="s">
        <v>245</v>
      </c>
      <c r="H377" s="13" t="s">
        <v>17</v>
      </c>
      <c r="I377" s="13">
        <v>77904.0</v>
      </c>
      <c r="J377" s="5" t="str">
        <f t="shared" si="1"/>
        <v>Elanor Patrick</v>
      </c>
    </row>
    <row r="378">
      <c r="A378" s="13">
        <v>377.0</v>
      </c>
      <c r="B378" s="13" t="s">
        <v>1007</v>
      </c>
      <c r="C378" s="13" t="s">
        <v>494</v>
      </c>
      <c r="D378" s="13" t="s">
        <v>18</v>
      </c>
      <c r="E378" s="13" t="s">
        <v>1739</v>
      </c>
      <c r="F378" s="13" t="s">
        <v>1740</v>
      </c>
      <c r="G378" s="13" t="s">
        <v>194</v>
      </c>
      <c r="H378" s="13" t="s">
        <v>16</v>
      </c>
      <c r="I378" s="13">
        <v>10573.0</v>
      </c>
      <c r="J378" s="5" t="str">
        <f t="shared" si="1"/>
        <v>Klara Mosley</v>
      </c>
    </row>
    <row r="379">
      <c r="A379" s="13">
        <v>378.0</v>
      </c>
      <c r="B379" s="13" t="s">
        <v>1741</v>
      </c>
      <c r="C379" s="13" t="s">
        <v>1742</v>
      </c>
      <c r="D379" s="13" t="s">
        <v>18</v>
      </c>
      <c r="E379" s="13" t="s">
        <v>1743</v>
      </c>
      <c r="F379" s="13" t="s">
        <v>1744</v>
      </c>
      <c r="G379" s="13" t="s">
        <v>167</v>
      </c>
      <c r="H379" s="13" t="s">
        <v>16</v>
      </c>
      <c r="I379" s="13">
        <v>10550.0</v>
      </c>
      <c r="J379" s="5" t="str">
        <f t="shared" si="1"/>
        <v>Rosalba O'neal</v>
      </c>
    </row>
    <row r="380">
      <c r="A380" s="13">
        <v>379.0</v>
      </c>
      <c r="B380" s="13" t="s">
        <v>1745</v>
      </c>
      <c r="C380" s="13" t="s">
        <v>1746</v>
      </c>
      <c r="D380" s="13" t="s">
        <v>18</v>
      </c>
      <c r="E380" s="13" t="s">
        <v>1747</v>
      </c>
      <c r="F380" s="13" t="s">
        <v>1748</v>
      </c>
      <c r="G380" s="13" t="s">
        <v>241</v>
      </c>
      <c r="H380" s="13" t="s">
        <v>16</v>
      </c>
      <c r="I380" s="13">
        <v>11553.0</v>
      </c>
      <c r="J380" s="5" t="str">
        <f t="shared" si="1"/>
        <v>Mina Carrillo</v>
      </c>
    </row>
    <row r="381">
      <c r="A381" s="13">
        <v>380.0</v>
      </c>
      <c r="B381" s="13" t="s">
        <v>1749</v>
      </c>
      <c r="C381" s="13" t="s">
        <v>730</v>
      </c>
      <c r="D381" s="13" t="s">
        <v>18</v>
      </c>
      <c r="E381" s="13" t="s">
        <v>1750</v>
      </c>
      <c r="F381" s="13" t="s">
        <v>1751</v>
      </c>
      <c r="G381" s="13" t="s">
        <v>226</v>
      </c>
      <c r="H381" s="13" t="s">
        <v>16</v>
      </c>
      <c r="I381" s="13">
        <v>11784.0</v>
      </c>
      <c r="J381" s="5" t="str">
        <f t="shared" si="1"/>
        <v>Alesia Horne</v>
      </c>
    </row>
    <row r="382">
      <c r="A382" s="13">
        <v>381.0</v>
      </c>
      <c r="B382" s="13" t="s">
        <v>1752</v>
      </c>
      <c r="C382" s="13" t="s">
        <v>1552</v>
      </c>
      <c r="D382" s="13" t="s">
        <v>18</v>
      </c>
      <c r="E382" s="13" t="s">
        <v>1753</v>
      </c>
      <c r="F382" s="13" t="s">
        <v>1754</v>
      </c>
      <c r="G382" s="13" t="s">
        <v>60</v>
      </c>
      <c r="H382" s="13" t="s">
        <v>16</v>
      </c>
      <c r="I382" s="13">
        <v>10451.0</v>
      </c>
      <c r="J382" s="5" t="str">
        <f t="shared" si="1"/>
        <v>Kristen Alvarez</v>
      </c>
    </row>
    <row r="383">
      <c r="A383" s="13">
        <v>382.0</v>
      </c>
      <c r="B383" s="13" t="s">
        <v>1755</v>
      </c>
      <c r="C383" s="13" t="s">
        <v>249</v>
      </c>
      <c r="D383" s="13" t="s">
        <v>18</v>
      </c>
      <c r="E383" s="13" t="s">
        <v>1756</v>
      </c>
      <c r="F383" s="13" t="s">
        <v>1757</v>
      </c>
      <c r="G383" s="13" t="s">
        <v>139</v>
      </c>
      <c r="H383" s="13" t="s">
        <v>16</v>
      </c>
      <c r="I383" s="13">
        <v>11414.0</v>
      </c>
      <c r="J383" s="5" t="str">
        <f t="shared" si="1"/>
        <v>Collin Webster</v>
      </c>
    </row>
    <row r="384">
      <c r="A384" s="13">
        <v>383.0</v>
      </c>
      <c r="B384" s="13" t="s">
        <v>1758</v>
      </c>
      <c r="C384" s="13" t="s">
        <v>1759</v>
      </c>
      <c r="D384" s="13" t="s">
        <v>18</v>
      </c>
      <c r="E384" s="13" t="s">
        <v>1760</v>
      </c>
      <c r="F384" s="13" t="s">
        <v>1761</v>
      </c>
      <c r="G384" s="13" t="s">
        <v>254</v>
      </c>
      <c r="H384" s="13" t="s">
        <v>16</v>
      </c>
      <c r="I384" s="13">
        <v>11357.0</v>
      </c>
      <c r="J384" s="5" t="str">
        <f t="shared" si="1"/>
        <v>Ashlee Pena</v>
      </c>
    </row>
    <row r="385">
      <c r="A385" s="13">
        <v>384.0</v>
      </c>
      <c r="B385" s="13" t="s">
        <v>1762</v>
      </c>
      <c r="C385" s="13" t="s">
        <v>1763</v>
      </c>
      <c r="D385" s="13" t="s">
        <v>18</v>
      </c>
      <c r="E385" s="13" t="s">
        <v>1764</v>
      </c>
      <c r="F385" s="13" t="s">
        <v>1765</v>
      </c>
      <c r="G385" s="13" t="s">
        <v>117</v>
      </c>
      <c r="H385" s="13" t="s">
        <v>16</v>
      </c>
      <c r="I385" s="13">
        <v>11354.0</v>
      </c>
      <c r="J385" s="5" t="str">
        <f t="shared" si="1"/>
        <v>Aimee Merritt</v>
      </c>
    </row>
    <row r="386">
      <c r="A386" s="13">
        <v>385.0</v>
      </c>
      <c r="B386" s="13" t="s">
        <v>1766</v>
      </c>
      <c r="C386" s="13" t="s">
        <v>1767</v>
      </c>
      <c r="D386" s="13" t="s">
        <v>18</v>
      </c>
      <c r="E386" s="13" t="s">
        <v>1768</v>
      </c>
      <c r="F386" s="13" t="s">
        <v>1769</v>
      </c>
      <c r="G386" s="13" t="s">
        <v>129</v>
      </c>
      <c r="H386" s="13" t="s">
        <v>15</v>
      </c>
      <c r="I386" s="13">
        <v>91740.0</v>
      </c>
      <c r="J386" s="5" t="str">
        <f t="shared" si="1"/>
        <v>Rochelle Ward</v>
      </c>
    </row>
    <row r="387">
      <c r="A387" s="13">
        <v>386.0</v>
      </c>
      <c r="B387" s="13" t="s">
        <v>1770</v>
      </c>
      <c r="C387" s="13" t="s">
        <v>1771</v>
      </c>
      <c r="D387" s="13" t="s">
        <v>18</v>
      </c>
      <c r="E387" s="13" t="s">
        <v>1772</v>
      </c>
      <c r="F387" s="13" t="s">
        <v>1773</v>
      </c>
      <c r="G387" s="13" t="s">
        <v>242</v>
      </c>
      <c r="H387" s="13" t="s">
        <v>15</v>
      </c>
      <c r="I387" s="13">
        <v>91784.0</v>
      </c>
      <c r="J387" s="5" t="str">
        <f t="shared" si="1"/>
        <v>Nelle Beck</v>
      </c>
    </row>
    <row r="388">
      <c r="A388" s="13">
        <v>387.0</v>
      </c>
      <c r="B388" s="13" t="s">
        <v>1774</v>
      </c>
      <c r="C388" s="13" t="s">
        <v>1775</v>
      </c>
      <c r="D388" s="13" t="s">
        <v>18</v>
      </c>
      <c r="E388" s="13" t="s">
        <v>1776</v>
      </c>
      <c r="F388" s="13" t="s">
        <v>1777</v>
      </c>
      <c r="G388" s="13" t="s">
        <v>108</v>
      </c>
      <c r="H388" s="13" t="s">
        <v>16</v>
      </c>
      <c r="I388" s="13">
        <v>11373.0</v>
      </c>
      <c r="J388" s="5" t="str">
        <f t="shared" si="1"/>
        <v>Kaila Walters</v>
      </c>
    </row>
    <row r="389">
      <c r="A389" s="13">
        <v>388.0</v>
      </c>
      <c r="B389" s="13" t="s">
        <v>347</v>
      </c>
      <c r="C389" s="13" t="s">
        <v>774</v>
      </c>
      <c r="D389" s="13" t="s">
        <v>18</v>
      </c>
      <c r="E389" s="13" t="s">
        <v>1778</v>
      </c>
      <c r="F389" s="13" t="s">
        <v>1779</v>
      </c>
      <c r="G389" s="13" t="s">
        <v>254</v>
      </c>
      <c r="H389" s="13" t="s">
        <v>16</v>
      </c>
      <c r="I389" s="13">
        <v>11357.0</v>
      </c>
      <c r="J389" s="5" t="str">
        <f t="shared" si="1"/>
        <v>Aleta Stone</v>
      </c>
    </row>
    <row r="390">
      <c r="A390" s="13">
        <v>389.0</v>
      </c>
      <c r="B390" s="13" t="s">
        <v>1780</v>
      </c>
      <c r="C390" s="13" t="s">
        <v>1781</v>
      </c>
      <c r="D390" s="13" t="s">
        <v>18</v>
      </c>
      <c r="E390" s="13" t="s">
        <v>1782</v>
      </c>
      <c r="F390" s="13" t="s">
        <v>1783</v>
      </c>
      <c r="G390" s="13" t="s">
        <v>213</v>
      </c>
      <c r="H390" s="13" t="s">
        <v>17</v>
      </c>
      <c r="I390" s="13">
        <v>76901.0</v>
      </c>
      <c r="J390" s="5" t="str">
        <f t="shared" si="1"/>
        <v>Leif Short</v>
      </c>
    </row>
    <row r="391">
      <c r="A391" s="13">
        <v>390.0</v>
      </c>
      <c r="B391" s="13" t="s">
        <v>533</v>
      </c>
      <c r="C391" s="13" t="s">
        <v>1784</v>
      </c>
      <c r="D391" s="13" t="s">
        <v>18</v>
      </c>
      <c r="E391" s="13" t="s">
        <v>1785</v>
      </c>
      <c r="F391" s="13" t="s">
        <v>1786</v>
      </c>
      <c r="G391" s="13" t="s">
        <v>208</v>
      </c>
      <c r="H391" s="13" t="s">
        <v>16</v>
      </c>
      <c r="I391" s="13">
        <v>11779.0</v>
      </c>
      <c r="J391" s="5" t="str">
        <f t="shared" si="1"/>
        <v>Lorrie Pollard</v>
      </c>
    </row>
    <row r="392">
      <c r="A392" s="13">
        <v>391.0</v>
      </c>
      <c r="B392" s="13" t="s">
        <v>1787</v>
      </c>
      <c r="C392" s="13" t="s">
        <v>1788</v>
      </c>
      <c r="D392" s="13" t="s">
        <v>18</v>
      </c>
      <c r="E392" s="13" t="s">
        <v>1789</v>
      </c>
      <c r="F392" s="13" t="s">
        <v>1790</v>
      </c>
      <c r="G392" s="13" t="s">
        <v>157</v>
      </c>
      <c r="H392" s="13" t="s">
        <v>15</v>
      </c>
      <c r="I392" s="13">
        <v>93635.0</v>
      </c>
      <c r="J392" s="5" t="str">
        <f t="shared" si="1"/>
        <v>Vernita Ball</v>
      </c>
    </row>
    <row r="393">
      <c r="A393" s="13">
        <v>392.0</v>
      </c>
      <c r="B393" s="13" t="s">
        <v>1791</v>
      </c>
      <c r="C393" s="13" t="s">
        <v>1792</v>
      </c>
      <c r="D393" s="13" t="s">
        <v>18</v>
      </c>
      <c r="E393" s="13" t="s">
        <v>1793</v>
      </c>
      <c r="F393" s="13" t="s">
        <v>1794</v>
      </c>
      <c r="G393" s="13" t="s">
        <v>108</v>
      </c>
      <c r="H393" s="13" t="s">
        <v>16</v>
      </c>
      <c r="I393" s="13">
        <v>11373.0</v>
      </c>
      <c r="J393" s="5" t="str">
        <f t="shared" si="1"/>
        <v>Cyndi Bush</v>
      </c>
    </row>
    <row r="394">
      <c r="A394" s="13">
        <v>393.0</v>
      </c>
      <c r="B394" s="13" t="s">
        <v>1795</v>
      </c>
      <c r="C394" s="13" t="s">
        <v>1796</v>
      </c>
      <c r="D394" s="13" t="s">
        <v>18</v>
      </c>
      <c r="E394" s="13" t="s">
        <v>1797</v>
      </c>
      <c r="F394" s="13" t="s">
        <v>1798</v>
      </c>
      <c r="G394" s="13" t="s">
        <v>242</v>
      </c>
      <c r="H394" s="13" t="s">
        <v>15</v>
      </c>
      <c r="I394" s="13">
        <v>91784.0</v>
      </c>
      <c r="J394" s="5" t="str">
        <f t="shared" si="1"/>
        <v>Gertrude Terry</v>
      </c>
    </row>
    <row r="395">
      <c r="A395" s="13">
        <v>394.0</v>
      </c>
      <c r="B395" s="13" t="s">
        <v>1799</v>
      </c>
      <c r="C395" s="13" t="s">
        <v>1800</v>
      </c>
      <c r="D395" s="13" t="s">
        <v>18</v>
      </c>
      <c r="E395" s="13" t="s">
        <v>1801</v>
      </c>
      <c r="F395" s="13" t="s">
        <v>1802</v>
      </c>
      <c r="G395" s="13" t="s">
        <v>229</v>
      </c>
      <c r="H395" s="13" t="s">
        <v>15</v>
      </c>
      <c r="I395" s="13">
        <v>91733.0</v>
      </c>
      <c r="J395" s="5" t="str">
        <f t="shared" si="1"/>
        <v>Virgen Clemons</v>
      </c>
    </row>
    <row r="396">
      <c r="A396" s="13">
        <v>395.0</v>
      </c>
      <c r="B396" s="13" t="s">
        <v>1803</v>
      </c>
      <c r="C396" s="13" t="s">
        <v>1804</v>
      </c>
      <c r="D396" s="13" t="s">
        <v>18</v>
      </c>
      <c r="E396" s="13" t="s">
        <v>1805</v>
      </c>
      <c r="F396" s="13" t="s">
        <v>1806</v>
      </c>
      <c r="G396" s="13" t="s">
        <v>152</v>
      </c>
      <c r="H396" s="13" t="s">
        <v>16</v>
      </c>
      <c r="I396" s="13">
        <v>13090.0</v>
      </c>
      <c r="J396" s="5" t="str">
        <f t="shared" si="1"/>
        <v>Fairy Robinson</v>
      </c>
    </row>
    <row r="397">
      <c r="A397" s="13">
        <v>396.0</v>
      </c>
      <c r="B397" s="13" t="s">
        <v>1807</v>
      </c>
      <c r="C397" s="13" t="s">
        <v>1808</v>
      </c>
      <c r="D397" s="13" t="s">
        <v>18</v>
      </c>
      <c r="E397" s="13" t="s">
        <v>1809</v>
      </c>
      <c r="F397" s="13" t="s">
        <v>1810</v>
      </c>
      <c r="G397" s="13" t="s">
        <v>176</v>
      </c>
      <c r="H397" s="13" t="s">
        <v>16</v>
      </c>
      <c r="I397" s="13">
        <v>14304.0</v>
      </c>
      <c r="J397" s="5" t="str">
        <f t="shared" si="1"/>
        <v>Laverna Hernandez</v>
      </c>
    </row>
    <row r="398">
      <c r="A398" s="13">
        <v>397.0</v>
      </c>
      <c r="B398" s="13" t="s">
        <v>1811</v>
      </c>
      <c r="C398" s="13" t="s">
        <v>1812</v>
      </c>
      <c r="D398" s="13" t="s">
        <v>18</v>
      </c>
      <c r="E398" s="13" t="s">
        <v>1813</v>
      </c>
      <c r="F398" s="13" t="s">
        <v>1814</v>
      </c>
      <c r="G398" s="13" t="s">
        <v>121</v>
      </c>
      <c r="H398" s="13" t="s">
        <v>16</v>
      </c>
      <c r="I398" s="13">
        <v>11010.0</v>
      </c>
      <c r="J398" s="5" t="str">
        <f t="shared" si="1"/>
        <v>Jeannie Wilcox</v>
      </c>
    </row>
    <row r="399">
      <c r="A399" s="13">
        <v>398.0</v>
      </c>
      <c r="B399" s="13" t="s">
        <v>1815</v>
      </c>
      <c r="C399" s="13" t="s">
        <v>1816</v>
      </c>
      <c r="D399" s="13" t="s">
        <v>18</v>
      </c>
      <c r="E399" s="13" t="s">
        <v>1817</v>
      </c>
      <c r="F399" s="13" t="s">
        <v>1818</v>
      </c>
      <c r="G399" s="13" t="s">
        <v>236</v>
      </c>
      <c r="H399" s="13" t="s">
        <v>16</v>
      </c>
      <c r="I399" s="13">
        <v>11104.0</v>
      </c>
      <c r="J399" s="5" t="str">
        <f t="shared" si="1"/>
        <v>Suellen Mercado</v>
      </c>
    </row>
    <row r="400">
      <c r="A400" s="13">
        <v>399.0</v>
      </c>
      <c r="B400" s="13" t="s">
        <v>1819</v>
      </c>
      <c r="C400" s="13" t="s">
        <v>974</v>
      </c>
      <c r="D400" s="13" t="s">
        <v>18</v>
      </c>
      <c r="E400" s="13" t="s">
        <v>1820</v>
      </c>
      <c r="F400" s="13" t="s">
        <v>1821</v>
      </c>
      <c r="G400" s="13" t="s">
        <v>146</v>
      </c>
      <c r="H400" s="13" t="s">
        <v>16</v>
      </c>
      <c r="I400" s="13">
        <v>12401.0</v>
      </c>
      <c r="J400" s="5" t="str">
        <f t="shared" si="1"/>
        <v>Bart Hess</v>
      </c>
    </row>
    <row r="401">
      <c r="A401" s="13">
        <v>400.0</v>
      </c>
      <c r="B401" s="13" t="s">
        <v>1822</v>
      </c>
      <c r="C401" s="13" t="s">
        <v>1823</v>
      </c>
      <c r="D401" s="13" t="s">
        <v>18</v>
      </c>
      <c r="E401" s="13" t="s">
        <v>1824</v>
      </c>
      <c r="F401" s="13" t="s">
        <v>1825</v>
      </c>
      <c r="G401" s="13" t="s">
        <v>94</v>
      </c>
      <c r="H401" s="13" t="s">
        <v>16</v>
      </c>
      <c r="I401" s="13">
        <v>14043.0</v>
      </c>
      <c r="J401" s="5" t="str">
        <f t="shared" si="1"/>
        <v>Alfredo Dodson</v>
      </c>
    </row>
    <row r="402">
      <c r="A402" s="13">
        <v>401.0</v>
      </c>
      <c r="B402" s="13" t="s">
        <v>1826</v>
      </c>
      <c r="C402" s="13" t="s">
        <v>1627</v>
      </c>
      <c r="D402" s="13" t="s">
        <v>18</v>
      </c>
      <c r="E402" s="13" t="s">
        <v>1827</v>
      </c>
      <c r="F402" s="13" t="s">
        <v>1828</v>
      </c>
      <c r="G402" s="13" t="s">
        <v>155</v>
      </c>
      <c r="H402" s="13" t="s">
        <v>17</v>
      </c>
      <c r="I402" s="13">
        <v>75604.0</v>
      </c>
      <c r="J402" s="5" t="str">
        <f t="shared" si="1"/>
        <v>Shaunda Barnett</v>
      </c>
    </row>
    <row r="403">
      <c r="A403" s="13">
        <v>402.0</v>
      </c>
      <c r="B403" s="13" t="s">
        <v>1829</v>
      </c>
      <c r="C403" s="13" t="s">
        <v>1010</v>
      </c>
      <c r="D403" s="13" t="s">
        <v>18</v>
      </c>
      <c r="E403" s="13" t="s">
        <v>1830</v>
      </c>
      <c r="F403" s="13" t="s">
        <v>1831</v>
      </c>
      <c r="G403" s="13" t="s">
        <v>189</v>
      </c>
      <c r="H403" s="13" t="s">
        <v>16</v>
      </c>
      <c r="I403" s="13">
        <v>14534.0</v>
      </c>
      <c r="J403" s="5" t="str">
        <f t="shared" si="1"/>
        <v>Kerrie Morton</v>
      </c>
    </row>
    <row r="404">
      <c r="A404" s="13">
        <v>403.0</v>
      </c>
      <c r="B404" s="13" t="s">
        <v>1832</v>
      </c>
      <c r="C404" s="13" t="s">
        <v>1833</v>
      </c>
      <c r="D404" s="13" t="s">
        <v>18</v>
      </c>
      <c r="E404" s="13" t="s">
        <v>1834</v>
      </c>
      <c r="F404" s="13" t="s">
        <v>1835</v>
      </c>
      <c r="G404" s="13" t="s">
        <v>70</v>
      </c>
      <c r="H404" s="13" t="s">
        <v>15</v>
      </c>
      <c r="I404" s="13">
        <v>91387.0</v>
      </c>
      <c r="J404" s="5" t="str">
        <f t="shared" si="1"/>
        <v>Elouise Fry</v>
      </c>
    </row>
    <row r="405">
      <c r="A405" s="13">
        <v>404.0</v>
      </c>
      <c r="B405" s="13" t="s">
        <v>1836</v>
      </c>
      <c r="C405" s="13" t="s">
        <v>993</v>
      </c>
      <c r="D405" s="13" t="s">
        <v>18</v>
      </c>
      <c r="E405" s="13" t="s">
        <v>1837</v>
      </c>
      <c r="F405" s="13" t="s">
        <v>1838</v>
      </c>
      <c r="G405" s="13" t="s">
        <v>46</v>
      </c>
      <c r="H405" s="13" t="s">
        <v>16</v>
      </c>
      <c r="I405" s="13">
        <v>12020.0</v>
      </c>
      <c r="J405" s="5" t="str">
        <f t="shared" si="1"/>
        <v>Augustus Steele</v>
      </c>
    </row>
    <row r="406">
      <c r="A406" s="13">
        <v>405.0</v>
      </c>
      <c r="B406" s="13" t="s">
        <v>1839</v>
      </c>
      <c r="C406" s="13" t="s">
        <v>895</v>
      </c>
      <c r="D406" s="13" t="s">
        <v>18</v>
      </c>
      <c r="E406" s="13" t="s">
        <v>1840</v>
      </c>
      <c r="F406" s="13" t="s">
        <v>1841</v>
      </c>
      <c r="G406" s="13" t="s">
        <v>82</v>
      </c>
      <c r="H406" s="13" t="s">
        <v>16</v>
      </c>
      <c r="I406" s="13">
        <v>11725.0</v>
      </c>
      <c r="J406" s="5" t="str">
        <f t="shared" si="1"/>
        <v>Greta Page</v>
      </c>
    </row>
    <row r="407">
      <c r="A407" s="13">
        <v>406.0</v>
      </c>
      <c r="B407" s="13" t="s">
        <v>1829</v>
      </c>
      <c r="C407" s="13" t="s">
        <v>1059</v>
      </c>
      <c r="D407" s="13" t="s">
        <v>18</v>
      </c>
      <c r="E407" s="13" t="s">
        <v>1842</v>
      </c>
      <c r="F407" s="13" t="s">
        <v>1843</v>
      </c>
      <c r="G407" s="13" t="s">
        <v>227</v>
      </c>
      <c r="H407" s="13" t="s">
        <v>16</v>
      </c>
      <c r="I407" s="13">
        <v>11967.0</v>
      </c>
      <c r="J407" s="5" t="str">
        <f t="shared" si="1"/>
        <v>Kerrie O'neill</v>
      </c>
    </row>
    <row r="408">
      <c r="A408" s="13">
        <v>407.0</v>
      </c>
      <c r="B408" s="13" t="s">
        <v>1844</v>
      </c>
      <c r="C408" s="13" t="s">
        <v>1845</v>
      </c>
      <c r="D408" s="13" t="s">
        <v>18</v>
      </c>
      <c r="E408" s="13" t="s">
        <v>1846</v>
      </c>
      <c r="F408" s="13" t="s">
        <v>1847</v>
      </c>
      <c r="G408" s="13" t="s">
        <v>219</v>
      </c>
      <c r="H408" s="13" t="s">
        <v>15</v>
      </c>
      <c r="I408" s="13">
        <v>94806.0</v>
      </c>
      <c r="J408" s="5" t="str">
        <f t="shared" si="1"/>
        <v>Dannette Guerrero</v>
      </c>
    </row>
    <row r="409">
      <c r="A409" s="13">
        <v>408.0</v>
      </c>
      <c r="B409" s="13" t="s">
        <v>1848</v>
      </c>
      <c r="C409" s="13" t="s">
        <v>1849</v>
      </c>
      <c r="D409" s="13" t="s">
        <v>18</v>
      </c>
      <c r="E409" s="13" t="s">
        <v>1850</v>
      </c>
      <c r="F409" s="13" t="s">
        <v>1851</v>
      </c>
      <c r="G409" s="13" t="s">
        <v>76</v>
      </c>
      <c r="H409" s="13" t="s">
        <v>16</v>
      </c>
      <c r="I409" s="13">
        <v>11722.0</v>
      </c>
      <c r="J409" s="5" t="str">
        <f t="shared" si="1"/>
        <v>Edra Fitzgerald</v>
      </c>
    </row>
    <row r="410">
      <c r="A410" s="13">
        <v>409.0</v>
      </c>
      <c r="B410" s="13" t="s">
        <v>1852</v>
      </c>
      <c r="C410" s="13" t="s">
        <v>1078</v>
      </c>
      <c r="D410" s="13" t="s">
        <v>18</v>
      </c>
      <c r="E410" s="13" t="s">
        <v>1853</v>
      </c>
      <c r="F410" s="13" t="s">
        <v>1854</v>
      </c>
      <c r="G410" s="13" t="s">
        <v>72</v>
      </c>
      <c r="H410" s="13" t="s">
        <v>16</v>
      </c>
      <c r="I410" s="13">
        <v>10512.0</v>
      </c>
      <c r="J410" s="5" t="str">
        <f t="shared" si="1"/>
        <v>Jerome Bolton</v>
      </c>
    </row>
    <row r="411">
      <c r="A411" s="13">
        <v>410.0</v>
      </c>
      <c r="B411" s="13" t="s">
        <v>1855</v>
      </c>
      <c r="C411" s="13" t="s">
        <v>1537</v>
      </c>
      <c r="D411" s="13" t="s">
        <v>18</v>
      </c>
      <c r="E411" s="13" t="s">
        <v>1856</v>
      </c>
      <c r="F411" s="13" t="s">
        <v>1857</v>
      </c>
      <c r="G411" s="13" t="s">
        <v>54</v>
      </c>
      <c r="H411" s="13" t="s">
        <v>16</v>
      </c>
      <c r="I411" s="13">
        <v>11710.0</v>
      </c>
      <c r="J411" s="5" t="str">
        <f t="shared" si="1"/>
        <v>Conception Slater</v>
      </c>
    </row>
    <row r="412">
      <c r="A412" s="13">
        <v>411.0</v>
      </c>
      <c r="B412" s="13" t="s">
        <v>1858</v>
      </c>
      <c r="C412" s="13" t="s">
        <v>1859</v>
      </c>
      <c r="D412" s="13" t="s">
        <v>1860</v>
      </c>
      <c r="E412" s="13" t="s">
        <v>1861</v>
      </c>
      <c r="F412" s="13" t="s">
        <v>1862</v>
      </c>
      <c r="G412" s="13" t="s">
        <v>174</v>
      </c>
      <c r="H412" s="13" t="s">
        <v>16</v>
      </c>
      <c r="I412" s="13">
        <v>10002.0</v>
      </c>
      <c r="J412" s="5" t="str">
        <f t="shared" si="1"/>
        <v>Octavia Case</v>
      </c>
    </row>
    <row r="413">
      <c r="A413" s="13">
        <v>412.0</v>
      </c>
      <c r="B413" s="13" t="s">
        <v>1863</v>
      </c>
      <c r="C413" s="13" t="s">
        <v>1864</v>
      </c>
      <c r="D413" s="13" t="s">
        <v>18</v>
      </c>
      <c r="E413" s="13" t="s">
        <v>1865</v>
      </c>
      <c r="F413" s="13" t="s">
        <v>1866</v>
      </c>
      <c r="G413" s="13" t="s">
        <v>236</v>
      </c>
      <c r="H413" s="13" t="s">
        <v>16</v>
      </c>
      <c r="I413" s="13">
        <v>11104.0</v>
      </c>
      <c r="J413" s="5" t="str">
        <f t="shared" si="1"/>
        <v>Dexter Roberts</v>
      </c>
    </row>
    <row r="414">
      <c r="A414" s="13">
        <v>413.0</v>
      </c>
      <c r="B414" s="13" t="s">
        <v>1867</v>
      </c>
      <c r="C414" s="13" t="s">
        <v>1868</v>
      </c>
      <c r="D414" s="13" t="s">
        <v>18</v>
      </c>
      <c r="E414" s="13" t="s">
        <v>1869</v>
      </c>
      <c r="F414" s="13" t="s">
        <v>1870</v>
      </c>
      <c r="G414" s="13" t="s">
        <v>42</v>
      </c>
      <c r="H414" s="13" t="s">
        <v>16</v>
      </c>
      <c r="I414" s="13">
        <v>11510.0</v>
      </c>
      <c r="J414" s="5" t="str">
        <f t="shared" si="1"/>
        <v>Ginette Edwards</v>
      </c>
    </row>
    <row r="415">
      <c r="A415" s="13">
        <v>414.0</v>
      </c>
      <c r="B415" s="13" t="s">
        <v>1871</v>
      </c>
      <c r="C415" s="13" t="s">
        <v>1872</v>
      </c>
      <c r="D415" s="13" t="s">
        <v>18</v>
      </c>
      <c r="E415" s="13" t="s">
        <v>1873</v>
      </c>
      <c r="F415" s="13" t="s">
        <v>1874</v>
      </c>
      <c r="G415" s="13" t="s">
        <v>142</v>
      </c>
      <c r="H415" s="13" t="s">
        <v>16</v>
      </c>
      <c r="I415" s="13">
        <v>14850.0</v>
      </c>
      <c r="J415" s="5" t="str">
        <f t="shared" si="1"/>
        <v>Romaine Haley</v>
      </c>
    </row>
    <row r="416">
      <c r="A416" s="13">
        <v>415.0</v>
      </c>
      <c r="B416" s="13" t="s">
        <v>1875</v>
      </c>
      <c r="C416" s="13" t="s">
        <v>1876</v>
      </c>
      <c r="D416" s="13" t="s">
        <v>18</v>
      </c>
      <c r="E416" s="13" t="s">
        <v>1877</v>
      </c>
      <c r="F416" s="13" t="s">
        <v>1878</v>
      </c>
      <c r="G416" s="13" t="s">
        <v>131</v>
      </c>
      <c r="H416" s="13" t="s">
        <v>17</v>
      </c>
      <c r="I416" s="13">
        <v>78552.0</v>
      </c>
      <c r="J416" s="5" t="str">
        <f t="shared" si="1"/>
        <v>Gwendolyn Miller</v>
      </c>
    </row>
    <row r="417">
      <c r="A417" s="13">
        <v>416.0</v>
      </c>
      <c r="B417" s="13" t="s">
        <v>1879</v>
      </c>
      <c r="C417" s="13" t="s">
        <v>1880</v>
      </c>
      <c r="D417" s="13" t="s">
        <v>1881</v>
      </c>
      <c r="E417" s="13" t="s">
        <v>1882</v>
      </c>
      <c r="F417" s="13" t="s">
        <v>1883</v>
      </c>
      <c r="G417" s="13" t="s">
        <v>133</v>
      </c>
      <c r="H417" s="13" t="s">
        <v>16</v>
      </c>
      <c r="I417" s="13">
        <v>11550.0</v>
      </c>
      <c r="J417" s="5" t="str">
        <f t="shared" si="1"/>
        <v>Luke Fuller</v>
      </c>
    </row>
    <row r="418">
      <c r="A418" s="13">
        <v>417.0</v>
      </c>
      <c r="B418" s="13" t="s">
        <v>1884</v>
      </c>
      <c r="C418" s="13" t="s">
        <v>1885</v>
      </c>
      <c r="D418" s="13" t="s">
        <v>18</v>
      </c>
      <c r="E418" s="13" t="s">
        <v>1886</v>
      </c>
      <c r="F418" s="13" t="s">
        <v>1887</v>
      </c>
      <c r="G418" s="13" t="s">
        <v>141</v>
      </c>
      <c r="H418" s="13" t="s">
        <v>16</v>
      </c>
      <c r="I418" s="13">
        <v>11746.0</v>
      </c>
      <c r="J418" s="5" t="str">
        <f t="shared" si="1"/>
        <v>Zoraida Patton</v>
      </c>
    </row>
    <row r="419">
      <c r="A419" s="13">
        <v>418.0</v>
      </c>
      <c r="B419" s="13" t="s">
        <v>1888</v>
      </c>
      <c r="C419" s="13" t="s">
        <v>249</v>
      </c>
      <c r="D419" s="13" t="s">
        <v>1889</v>
      </c>
      <c r="E419" s="13" t="s">
        <v>1890</v>
      </c>
      <c r="F419" s="13" t="s">
        <v>1891</v>
      </c>
      <c r="G419" s="13" t="s">
        <v>185</v>
      </c>
      <c r="H419" s="13" t="s">
        <v>15</v>
      </c>
      <c r="I419" s="13">
        <v>93035.0</v>
      </c>
      <c r="J419" s="5" t="str">
        <f t="shared" si="1"/>
        <v>Georgeanna Webster</v>
      </c>
    </row>
    <row r="420">
      <c r="A420" s="13">
        <v>419.0</v>
      </c>
      <c r="B420" s="13" t="s">
        <v>1892</v>
      </c>
      <c r="C420" s="13" t="s">
        <v>1893</v>
      </c>
      <c r="D420" s="13" t="s">
        <v>18</v>
      </c>
      <c r="E420" s="13" t="s">
        <v>1894</v>
      </c>
      <c r="F420" s="13" t="s">
        <v>1895</v>
      </c>
      <c r="G420" s="13" t="s">
        <v>197</v>
      </c>
      <c r="H420" s="13" t="s">
        <v>16</v>
      </c>
      <c r="I420" s="13">
        <v>12601.0</v>
      </c>
      <c r="J420" s="5" t="str">
        <f t="shared" si="1"/>
        <v>Krystin Marshall</v>
      </c>
    </row>
    <row r="421">
      <c r="A421" s="13">
        <v>420.0</v>
      </c>
      <c r="B421" s="13" t="s">
        <v>1896</v>
      </c>
      <c r="C421" s="13" t="s">
        <v>1897</v>
      </c>
      <c r="D421" s="13" t="s">
        <v>18</v>
      </c>
      <c r="E421" s="13" t="s">
        <v>1898</v>
      </c>
      <c r="F421" s="13" t="s">
        <v>1899</v>
      </c>
      <c r="G421" s="13" t="s">
        <v>163</v>
      </c>
      <c r="H421" s="13" t="s">
        <v>16</v>
      </c>
      <c r="I421" s="13">
        <v>11566.0</v>
      </c>
      <c r="J421" s="5" t="str">
        <f t="shared" si="1"/>
        <v>Vince Schneider</v>
      </c>
    </row>
    <row r="422">
      <c r="A422" s="13">
        <v>421.0</v>
      </c>
      <c r="B422" s="13" t="s">
        <v>1900</v>
      </c>
      <c r="C422" s="13" t="s">
        <v>1195</v>
      </c>
      <c r="D422" s="13" t="s">
        <v>18</v>
      </c>
      <c r="E422" s="13" t="s">
        <v>1901</v>
      </c>
      <c r="F422" s="13" t="s">
        <v>1902</v>
      </c>
      <c r="G422" s="13" t="s">
        <v>165</v>
      </c>
      <c r="H422" s="13" t="s">
        <v>16</v>
      </c>
      <c r="I422" s="13">
        <v>10950.0</v>
      </c>
      <c r="J422" s="5" t="str">
        <f t="shared" si="1"/>
        <v>Iola Rasmussen</v>
      </c>
    </row>
    <row r="423">
      <c r="A423" s="13">
        <v>422.0</v>
      </c>
      <c r="B423" s="13" t="s">
        <v>1903</v>
      </c>
      <c r="C423" s="13" t="s">
        <v>1904</v>
      </c>
      <c r="D423" s="13" t="s">
        <v>18</v>
      </c>
      <c r="E423" s="13" t="s">
        <v>1905</v>
      </c>
      <c r="F423" s="13" t="s">
        <v>1906</v>
      </c>
      <c r="G423" s="13" t="s">
        <v>245</v>
      </c>
      <c r="H423" s="13" t="s">
        <v>17</v>
      </c>
      <c r="I423" s="13">
        <v>77904.0</v>
      </c>
      <c r="J423" s="5" t="str">
        <f t="shared" si="1"/>
        <v>Valery Saunders</v>
      </c>
    </row>
    <row r="424">
      <c r="A424" s="13">
        <v>423.0</v>
      </c>
      <c r="B424" s="13" t="s">
        <v>1907</v>
      </c>
      <c r="C424" s="13" t="s">
        <v>1675</v>
      </c>
      <c r="D424" s="13" t="s">
        <v>18</v>
      </c>
      <c r="E424" s="13" t="s">
        <v>1908</v>
      </c>
      <c r="F424" s="13" t="s">
        <v>1909</v>
      </c>
      <c r="G424" s="13" t="s">
        <v>92</v>
      </c>
      <c r="H424" s="13" t="s">
        <v>16</v>
      </c>
      <c r="I424" s="13">
        <v>11729.0</v>
      </c>
      <c r="J424" s="5" t="str">
        <f t="shared" si="1"/>
        <v>Johna Powers</v>
      </c>
    </row>
    <row r="425">
      <c r="A425" s="13">
        <v>424.0</v>
      </c>
      <c r="B425" s="13" t="s">
        <v>1910</v>
      </c>
      <c r="C425" s="13" t="s">
        <v>1911</v>
      </c>
      <c r="D425" s="13" t="s">
        <v>18</v>
      </c>
      <c r="E425" s="13" t="s">
        <v>1912</v>
      </c>
      <c r="F425" s="13" t="s">
        <v>1913</v>
      </c>
      <c r="G425" s="13" t="s">
        <v>243</v>
      </c>
      <c r="H425" s="13" t="s">
        <v>16</v>
      </c>
      <c r="I425" s="13">
        <v>13501.0</v>
      </c>
      <c r="J425" s="5" t="str">
        <f t="shared" si="1"/>
        <v>Charleen Hurst</v>
      </c>
    </row>
    <row r="426">
      <c r="A426" s="13">
        <v>425.0</v>
      </c>
      <c r="B426" s="13" t="s">
        <v>1914</v>
      </c>
      <c r="C426" s="13" t="s">
        <v>600</v>
      </c>
      <c r="D426" s="13" t="s">
        <v>18</v>
      </c>
      <c r="E426" s="13" t="s">
        <v>1915</v>
      </c>
      <c r="F426" s="13" t="s">
        <v>1916</v>
      </c>
      <c r="G426" s="13" t="s">
        <v>167</v>
      </c>
      <c r="H426" s="13" t="s">
        <v>16</v>
      </c>
      <c r="I426" s="13">
        <v>10550.0</v>
      </c>
      <c r="J426" s="5" t="str">
        <f t="shared" si="1"/>
        <v>Augustina Joyner</v>
      </c>
    </row>
    <row r="427">
      <c r="A427" s="13">
        <v>426.0</v>
      </c>
      <c r="B427" s="13" t="s">
        <v>1917</v>
      </c>
      <c r="C427" s="13" t="s">
        <v>1767</v>
      </c>
      <c r="D427" s="13" t="s">
        <v>18</v>
      </c>
      <c r="E427" s="13" t="s">
        <v>1918</v>
      </c>
      <c r="F427" s="13" t="s">
        <v>1919</v>
      </c>
      <c r="G427" s="13" t="s">
        <v>193</v>
      </c>
      <c r="H427" s="13" t="s">
        <v>15</v>
      </c>
      <c r="I427" s="13">
        <v>91768.0</v>
      </c>
      <c r="J427" s="5" t="str">
        <f t="shared" si="1"/>
        <v>Daisy Ward</v>
      </c>
    </row>
    <row r="428">
      <c r="A428" s="13">
        <v>427.0</v>
      </c>
      <c r="B428" s="13" t="s">
        <v>1920</v>
      </c>
      <c r="C428" s="13" t="s">
        <v>1921</v>
      </c>
      <c r="D428" s="13" t="s">
        <v>18</v>
      </c>
      <c r="E428" s="13" t="s">
        <v>1922</v>
      </c>
      <c r="F428" s="13" t="s">
        <v>1923</v>
      </c>
      <c r="G428" s="13" t="s">
        <v>127</v>
      </c>
      <c r="H428" s="13" t="s">
        <v>17</v>
      </c>
      <c r="I428" s="13">
        <v>75043.0</v>
      </c>
      <c r="J428" s="5" t="str">
        <f t="shared" si="1"/>
        <v>Latonya Dixon</v>
      </c>
    </row>
    <row r="429">
      <c r="A429" s="13">
        <v>428.0</v>
      </c>
      <c r="B429" s="13" t="s">
        <v>1924</v>
      </c>
      <c r="C429" s="13" t="s">
        <v>1925</v>
      </c>
      <c r="D429" s="13" t="s">
        <v>18</v>
      </c>
      <c r="E429" s="13" t="s">
        <v>1926</v>
      </c>
      <c r="F429" s="13" t="s">
        <v>1927</v>
      </c>
      <c r="G429" s="13" t="s">
        <v>172</v>
      </c>
      <c r="H429" s="13" t="s">
        <v>16</v>
      </c>
      <c r="I429" s="13">
        <v>10801.0</v>
      </c>
      <c r="J429" s="5" t="str">
        <f t="shared" si="1"/>
        <v>Hipolito Padilla</v>
      </c>
    </row>
    <row r="430">
      <c r="A430" s="13">
        <v>429.0</v>
      </c>
      <c r="B430" s="13" t="s">
        <v>1928</v>
      </c>
      <c r="C430" s="13" t="s">
        <v>555</v>
      </c>
      <c r="D430" s="13" t="s">
        <v>18</v>
      </c>
      <c r="E430" s="13" t="s">
        <v>1929</v>
      </c>
      <c r="F430" s="13" t="s">
        <v>1930</v>
      </c>
      <c r="G430" s="13" t="s">
        <v>244</v>
      </c>
      <c r="H430" s="13" t="s">
        <v>16</v>
      </c>
      <c r="I430" s="13">
        <v>11580.0</v>
      </c>
      <c r="J430" s="5" t="str">
        <f t="shared" si="1"/>
        <v>Emmett Casey</v>
      </c>
    </row>
    <row r="431">
      <c r="A431" s="13">
        <v>430.0</v>
      </c>
      <c r="B431" s="13" t="s">
        <v>1931</v>
      </c>
      <c r="C431" s="13" t="s">
        <v>1932</v>
      </c>
      <c r="D431" s="13" t="s">
        <v>18</v>
      </c>
      <c r="E431" s="13" t="s">
        <v>1933</v>
      </c>
      <c r="F431" s="13" t="s">
        <v>1934</v>
      </c>
      <c r="G431" s="13" t="s">
        <v>161</v>
      </c>
      <c r="H431" s="13" t="s">
        <v>16</v>
      </c>
      <c r="I431" s="13">
        <v>11762.0</v>
      </c>
      <c r="J431" s="5" t="str">
        <f t="shared" si="1"/>
        <v>Kandi Mcneil</v>
      </c>
    </row>
    <row r="432">
      <c r="A432" s="13">
        <v>431.0</v>
      </c>
      <c r="B432" s="13" t="s">
        <v>1935</v>
      </c>
      <c r="C432" s="13" t="s">
        <v>1936</v>
      </c>
      <c r="D432" s="13" t="s">
        <v>18</v>
      </c>
      <c r="E432" s="13" t="s">
        <v>1937</v>
      </c>
      <c r="F432" s="13" t="s">
        <v>1938</v>
      </c>
      <c r="G432" s="13" t="s">
        <v>54</v>
      </c>
      <c r="H432" s="13" t="s">
        <v>16</v>
      </c>
      <c r="I432" s="13">
        <v>11710.0</v>
      </c>
      <c r="J432" s="5" t="str">
        <f t="shared" si="1"/>
        <v>Luciano Marsh</v>
      </c>
    </row>
    <row r="433">
      <c r="A433" s="13">
        <v>432.0</v>
      </c>
      <c r="B433" s="13" t="s">
        <v>1939</v>
      </c>
      <c r="C433" s="13" t="s">
        <v>1940</v>
      </c>
      <c r="D433" s="13" t="s">
        <v>18</v>
      </c>
      <c r="E433" s="13" t="s">
        <v>1941</v>
      </c>
      <c r="F433" s="13" t="s">
        <v>1942</v>
      </c>
      <c r="G433" s="13" t="s">
        <v>102</v>
      </c>
      <c r="H433" s="13" t="s">
        <v>16</v>
      </c>
      <c r="I433" s="13">
        <v>11554.0</v>
      </c>
      <c r="J433" s="5" t="str">
        <f t="shared" si="1"/>
        <v>Julius Holt</v>
      </c>
    </row>
    <row r="434">
      <c r="A434" s="13">
        <v>433.0</v>
      </c>
      <c r="B434" s="13" t="s">
        <v>1943</v>
      </c>
      <c r="C434" s="13" t="s">
        <v>1944</v>
      </c>
      <c r="D434" s="13" t="s">
        <v>18</v>
      </c>
      <c r="E434" s="13" t="s">
        <v>1945</v>
      </c>
      <c r="F434" s="13" t="s">
        <v>1946</v>
      </c>
      <c r="G434" s="13" t="s">
        <v>155</v>
      </c>
      <c r="H434" s="13" t="s">
        <v>17</v>
      </c>
      <c r="I434" s="13">
        <v>75604.0</v>
      </c>
      <c r="J434" s="5" t="str">
        <f t="shared" si="1"/>
        <v>Holly Nieves</v>
      </c>
    </row>
    <row r="435">
      <c r="A435" s="13">
        <v>434.0</v>
      </c>
      <c r="B435" s="13" t="s">
        <v>1947</v>
      </c>
      <c r="C435" s="13" t="s">
        <v>352</v>
      </c>
      <c r="D435" s="13" t="s">
        <v>18</v>
      </c>
      <c r="E435" s="13" t="s">
        <v>1948</v>
      </c>
      <c r="F435" s="13" t="s">
        <v>1949</v>
      </c>
      <c r="G435" s="13" t="s">
        <v>98</v>
      </c>
      <c r="H435" s="13" t="s">
        <v>15</v>
      </c>
      <c r="I435" s="13">
        <v>91010.0</v>
      </c>
      <c r="J435" s="5" t="str">
        <f t="shared" si="1"/>
        <v>Douglass Little</v>
      </c>
    </row>
    <row r="436">
      <c r="A436" s="13">
        <v>435.0</v>
      </c>
      <c r="B436" s="13" t="s">
        <v>1950</v>
      </c>
      <c r="C436" s="13" t="s">
        <v>1951</v>
      </c>
      <c r="D436" s="13" t="s">
        <v>18</v>
      </c>
      <c r="E436" s="13" t="s">
        <v>1952</v>
      </c>
      <c r="F436" s="13" t="s">
        <v>1953</v>
      </c>
      <c r="G436" s="13" t="s">
        <v>255</v>
      </c>
      <c r="H436" s="13" t="s">
        <v>16</v>
      </c>
      <c r="I436" s="13">
        <v>11421.0</v>
      </c>
      <c r="J436" s="5" t="str">
        <f t="shared" si="1"/>
        <v>Izola Hobbs</v>
      </c>
    </row>
    <row r="437">
      <c r="A437" s="13">
        <v>436.0</v>
      </c>
      <c r="B437" s="13" t="s">
        <v>1954</v>
      </c>
      <c r="C437" s="13" t="s">
        <v>1955</v>
      </c>
      <c r="D437" s="13" t="s">
        <v>18</v>
      </c>
      <c r="E437" s="13" t="s">
        <v>1956</v>
      </c>
      <c r="F437" s="13" t="s">
        <v>1957</v>
      </c>
      <c r="G437" s="13" t="s">
        <v>52</v>
      </c>
      <c r="H437" s="13" t="s">
        <v>16</v>
      </c>
      <c r="I437" s="13">
        <v>11361.0</v>
      </c>
      <c r="J437" s="5" t="str">
        <f t="shared" si="1"/>
        <v>Honey Camacho</v>
      </c>
    </row>
    <row r="438">
      <c r="A438" s="13">
        <v>437.0</v>
      </c>
      <c r="B438" s="13" t="s">
        <v>1540</v>
      </c>
      <c r="C438" s="13" t="s">
        <v>1416</v>
      </c>
      <c r="D438" s="13" t="s">
        <v>18</v>
      </c>
      <c r="E438" s="13" t="s">
        <v>1958</v>
      </c>
      <c r="F438" s="13" t="s">
        <v>1959</v>
      </c>
      <c r="G438" s="13" t="s">
        <v>182</v>
      </c>
      <c r="H438" s="13" t="s">
        <v>16</v>
      </c>
      <c r="I438" s="13">
        <v>14127.0</v>
      </c>
      <c r="J438" s="5" t="str">
        <f t="shared" si="1"/>
        <v>Laureen Barry</v>
      </c>
    </row>
    <row r="439">
      <c r="A439" s="13">
        <v>438.0</v>
      </c>
      <c r="B439" s="13" t="s">
        <v>1960</v>
      </c>
      <c r="C439" s="13" t="s">
        <v>1961</v>
      </c>
      <c r="D439" s="13" t="s">
        <v>18</v>
      </c>
      <c r="E439" s="13" t="s">
        <v>1962</v>
      </c>
      <c r="F439" s="13" t="s">
        <v>1963</v>
      </c>
      <c r="G439" s="13" t="s">
        <v>198</v>
      </c>
      <c r="H439" s="13" t="s">
        <v>16</v>
      </c>
      <c r="I439" s="13">
        <v>12804.0</v>
      </c>
      <c r="J439" s="5" t="str">
        <f t="shared" si="1"/>
        <v>Katharine Herrera</v>
      </c>
    </row>
    <row r="440">
      <c r="A440" s="13">
        <v>439.0</v>
      </c>
      <c r="B440" s="13" t="s">
        <v>1964</v>
      </c>
      <c r="C440" s="13" t="s">
        <v>1662</v>
      </c>
      <c r="D440" s="13" t="s">
        <v>18</v>
      </c>
      <c r="E440" s="13" t="s">
        <v>1965</v>
      </c>
      <c r="F440" s="13" t="s">
        <v>1966</v>
      </c>
      <c r="G440" s="13" t="s">
        <v>144</v>
      </c>
      <c r="H440" s="13" t="s">
        <v>16</v>
      </c>
      <c r="I440" s="13">
        <v>11432.0</v>
      </c>
      <c r="J440" s="5" t="str">
        <f t="shared" si="1"/>
        <v>Sunshine Rosario</v>
      </c>
    </row>
    <row r="441">
      <c r="A441" s="13">
        <v>440.0</v>
      </c>
      <c r="B441" s="13" t="s">
        <v>1967</v>
      </c>
      <c r="C441" s="13" t="s">
        <v>273</v>
      </c>
      <c r="D441" s="13" t="s">
        <v>18</v>
      </c>
      <c r="E441" s="13" t="s">
        <v>1968</v>
      </c>
      <c r="F441" s="13" t="s">
        <v>1969</v>
      </c>
      <c r="G441" s="13" t="s">
        <v>46</v>
      </c>
      <c r="H441" s="13" t="s">
        <v>16</v>
      </c>
      <c r="I441" s="13">
        <v>12020.0</v>
      </c>
      <c r="J441" s="5" t="str">
        <f t="shared" si="1"/>
        <v>Yevette Todd</v>
      </c>
    </row>
    <row r="442">
      <c r="A442" s="13">
        <v>441.0</v>
      </c>
      <c r="B442" s="13" t="s">
        <v>1970</v>
      </c>
      <c r="C442" s="13" t="s">
        <v>1971</v>
      </c>
      <c r="D442" s="13" t="s">
        <v>18</v>
      </c>
      <c r="E442" s="13" t="s">
        <v>1972</v>
      </c>
      <c r="F442" s="13" t="s">
        <v>1973</v>
      </c>
      <c r="G442" s="13" t="s">
        <v>196</v>
      </c>
      <c r="H442" s="13" t="s">
        <v>16</v>
      </c>
      <c r="I442" s="13">
        <v>11050.0</v>
      </c>
      <c r="J442" s="5" t="str">
        <f t="shared" si="1"/>
        <v>Dorthea Walker</v>
      </c>
    </row>
    <row r="443">
      <c r="A443" s="13">
        <v>442.0</v>
      </c>
      <c r="B443" s="13" t="s">
        <v>906</v>
      </c>
      <c r="C443" s="13" t="s">
        <v>1974</v>
      </c>
      <c r="D443" s="13" t="s">
        <v>1975</v>
      </c>
      <c r="E443" s="13" t="s">
        <v>1976</v>
      </c>
      <c r="F443" s="13" t="s">
        <v>1977</v>
      </c>
      <c r="G443" s="13" t="s">
        <v>257</v>
      </c>
      <c r="H443" s="13" t="s">
        <v>16</v>
      </c>
      <c r="I443" s="13">
        <v>10701.0</v>
      </c>
      <c r="J443" s="5" t="str">
        <f t="shared" si="1"/>
        <v>Alane Munoz</v>
      </c>
    </row>
    <row r="444">
      <c r="A444" s="13">
        <v>443.0</v>
      </c>
      <c r="B444" s="13" t="s">
        <v>1978</v>
      </c>
      <c r="C444" s="13" t="s">
        <v>1979</v>
      </c>
      <c r="D444" s="13" t="s">
        <v>1980</v>
      </c>
      <c r="E444" s="13" t="s">
        <v>1981</v>
      </c>
      <c r="F444" s="13" t="s">
        <v>1982</v>
      </c>
      <c r="G444" s="13" t="s">
        <v>185</v>
      </c>
      <c r="H444" s="13" t="s">
        <v>15</v>
      </c>
      <c r="I444" s="13">
        <v>93035.0</v>
      </c>
      <c r="J444" s="5" t="str">
        <f t="shared" si="1"/>
        <v>Ayana Keith</v>
      </c>
    </row>
    <row r="445">
      <c r="A445" s="13">
        <v>444.0</v>
      </c>
      <c r="B445" s="13" t="s">
        <v>1983</v>
      </c>
      <c r="C445" s="13" t="s">
        <v>1984</v>
      </c>
      <c r="D445" s="13" t="s">
        <v>18</v>
      </c>
      <c r="E445" s="13" t="s">
        <v>1985</v>
      </c>
      <c r="F445" s="13" t="s">
        <v>1986</v>
      </c>
      <c r="G445" s="13" t="s">
        <v>218</v>
      </c>
      <c r="H445" s="13" t="s">
        <v>15</v>
      </c>
      <c r="I445" s="13">
        <v>94580.0</v>
      </c>
      <c r="J445" s="5" t="str">
        <f t="shared" si="1"/>
        <v>Caridad Compton</v>
      </c>
    </row>
    <row r="446">
      <c r="A446" s="13">
        <v>445.0</v>
      </c>
      <c r="B446" s="13" t="s">
        <v>1987</v>
      </c>
      <c r="C446" s="13" t="s">
        <v>1988</v>
      </c>
      <c r="D446" s="13" t="s">
        <v>18</v>
      </c>
      <c r="E446" s="13" t="s">
        <v>1989</v>
      </c>
      <c r="F446" s="13" t="s">
        <v>1990</v>
      </c>
      <c r="G446" s="13" t="s">
        <v>167</v>
      </c>
      <c r="H446" s="13" t="s">
        <v>16</v>
      </c>
      <c r="I446" s="13">
        <v>10550.0</v>
      </c>
      <c r="J446" s="5" t="str">
        <f t="shared" si="1"/>
        <v>Earline Ballard</v>
      </c>
    </row>
    <row r="447">
      <c r="A447" s="13">
        <v>446.0</v>
      </c>
      <c r="B447" s="13" t="s">
        <v>1991</v>
      </c>
      <c r="C447" s="13" t="s">
        <v>1992</v>
      </c>
      <c r="D447" s="13" t="s">
        <v>18</v>
      </c>
      <c r="E447" s="13" t="s">
        <v>1993</v>
      </c>
      <c r="F447" s="13" t="s">
        <v>1994</v>
      </c>
      <c r="G447" s="13" t="s">
        <v>31</v>
      </c>
      <c r="H447" s="13" t="s">
        <v>16</v>
      </c>
      <c r="I447" s="13">
        <v>12010.0</v>
      </c>
      <c r="J447" s="5" t="str">
        <f t="shared" si="1"/>
        <v>Nathanael Bradley</v>
      </c>
    </row>
    <row r="448">
      <c r="A448" s="13">
        <v>447.0</v>
      </c>
      <c r="B448" s="13" t="s">
        <v>1995</v>
      </c>
      <c r="C448" s="13" t="s">
        <v>1996</v>
      </c>
      <c r="D448" s="13" t="s">
        <v>18</v>
      </c>
      <c r="E448" s="13" t="s">
        <v>1997</v>
      </c>
      <c r="F448" s="13" t="s">
        <v>1998</v>
      </c>
      <c r="G448" s="13" t="s">
        <v>246</v>
      </c>
      <c r="H448" s="13" t="s">
        <v>15</v>
      </c>
      <c r="I448" s="13">
        <v>92083.0</v>
      </c>
      <c r="J448" s="5" t="str">
        <f t="shared" si="1"/>
        <v>Chasidy Tran</v>
      </c>
    </row>
    <row r="449">
      <c r="A449" s="13">
        <v>448.0</v>
      </c>
      <c r="B449" s="13" t="s">
        <v>1999</v>
      </c>
      <c r="C449" s="13" t="s">
        <v>2000</v>
      </c>
      <c r="D449" s="13" t="s">
        <v>2001</v>
      </c>
      <c r="E449" s="13" t="s">
        <v>2002</v>
      </c>
      <c r="F449" s="13" t="s">
        <v>2003</v>
      </c>
      <c r="G449" s="13" t="s">
        <v>204</v>
      </c>
      <c r="H449" s="13" t="s">
        <v>16</v>
      </c>
      <c r="I449" s="13">
        <v>14606.0</v>
      </c>
      <c r="J449" s="5" t="str">
        <f t="shared" si="1"/>
        <v>Janella Bright</v>
      </c>
    </row>
    <row r="450">
      <c r="A450" s="13">
        <v>449.0</v>
      </c>
      <c r="B450" s="13" t="s">
        <v>2004</v>
      </c>
      <c r="C450" s="13" t="s">
        <v>2005</v>
      </c>
      <c r="D450" s="13" t="s">
        <v>18</v>
      </c>
      <c r="E450" s="13" t="s">
        <v>2006</v>
      </c>
      <c r="F450" s="13" t="s">
        <v>2007</v>
      </c>
      <c r="G450" s="13" t="s">
        <v>70</v>
      </c>
      <c r="H450" s="13" t="s">
        <v>15</v>
      </c>
      <c r="I450" s="13">
        <v>91387.0</v>
      </c>
      <c r="J450" s="5" t="str">
        <f t="shared" si="1"/>
        <v>Josie Schultz</v>
      </c>
    </row>
    <row r="451">
      <c r="A451" s="13">
        <v>450.0</v>
      </c>
      <c r="B451" s="13" t="s">
        <v>2008</v>
      </c>
      <c r="C451" s="13" t="s">
        <v>875</v>
      </c>
      <c r="D451" s="13" t="s">
        <v>18</v>
      </c>
      <c r="E451" s="13" t="s">
        <v>2009</v>
      </c>
      <c r="F451" s="13" t="s">
        <v>2010</v>
      </c>
      <c r="G451" s="13" t="s">
        <v>72</v>
      </c>
      <c r="H451" s="13" t="s">
        <v>16</v>
      </c>
      <c r="I451" s="13">
        <v>10512.0</v>
      </c>
      <c r="J451" s="5" t="str">
        <f t="shared" si="1"/>
        <v>Ellsworth Michael</v>
      </c>
    </row>
    <row r="452">
      <c r="A452" s="13">
        <v>451.0</v>
      </c>
      <c r="B452" s="13" t="s">
        <v>2011</v>
      </c>
      <c r="C452" s="13" t="s">
        <v>2012</v>
      </c>
      <c r="D452" s="13" t="s">
        <v>18</v>
      </c>
      <c r="E452" s="13" t="s">
        <v>2013</v>
      </c>
      <c r="F452" s="13" t="s">
        <v>2014</v>
      </c>
      <c r="G452" s="13" t="s">
        <v>210</v>
      </c>
      <c r="H452" s="13" t="s">
        <v>17</v>
      </c>
      <c r="I452" s="13">
        <v>75088.0</v>
      </c>
      <c r="J452" s="5" t="str">
        <f t="shared" si="1"/>
        <v>Jennette Wooten</v>
      </c>
    </row>
    <row r="453">
      <c r="A453" s="13">
        <v>452.0</v>
      </c>
      <c r="B453" s="13" t="s">
        <v>2015</v>
      </c>
      <c r="C453" s="13" t="s">
        <v>1507</v>
      </c>
      <c r="D453" s="13" t="s">
        <v>18</v>
      </c>
      <c r="E453" s="13" t="s">
        <v>2016</v>
      </c>
      <c r="F453" s="13" t="s">
        <v>2017</v>
      </c>
      <c r="G453" s="13" t="s">
        <v>134</v>
      </c>
      <c r="H453" s="13" t="s">
        <v>16</v>
      </c>
      <c r="I453" s="13">
        <v>11801.0</v>
      </c>
      <c r="J453" s="5" t="str">
        <f t="shared" si="1"/>
        <v>Cassandra Nichols</v>
      </c>
    </row>
    <row r="454">
      <c r="A454" s="13">
        <v>453.0</v>
      </c>
      <c r="B454" s="13" t="s">
        <v>2018</v>
      </c>
      <c r="C454" s="13" t="s">
        <v>1591</v>
      </c>
      <c r="D454" s="13" t="s">
        <v>18</v>
      </c>
      <c r="E454" s="13" t="s">
        <v>2019</v>
      </c>
      <c r="F454" s="13" t="s">
        <v>2020</v>
      </c>
      <c r="G454" s="13" t="s">
        <v>126</v>
      </c>
      <c r="H454" s="13" t="s">
        <v>16</v>
      </c>
      <c r="I454" s="13">
        <v>11530.0</v>
      </c>
      <c r="J454" s="5" t="str">
        <f t="shared" si="1"/>
        <v>Courtney Wyatt</v>
      </c>
    </row>
    <row r="455">
      <c r="A455" s="13">
        <v>454.0</v>
      </c>
      <c r="B455" s="13" t="s">
        <v>2021</v>
      </c>
      <c r="C455" s="13" t="s">
        <v>2022</v>
      </c>
      <c r="D455" s="13" t="s">
        <v>18</v>
      </c>
      <c r="E455" s="13" t="s">
        <v>2023</v>
      </c>
      <c r="F455" s="13" t="s">
        <v>2024</v>
      </c>
      <c r="G455" s="13" t="s">
        <v>50</v>
      </c>
      <c r="H455" s="13" t="s">
        <v>16</v>
      </c>
      <c r="I455" s="13">
        <v>11706.0</v>
      </c>
      <c r="J455" s="5" t="str">
        <f t="shared" si="1"/>
        <v>Terese Palmer</v>
      </c>
    </row>
    <row r="456">
      <c r="A456" s="13">
        <v>455.0</v>
      </c>
      <c r="B456" s="13" t="s">
        <v>2025</v>
      </c>
      <c r="C456" s="13" t="s">
        <v>2026</v>
      </c>
      <c r="D456" s="13" t="s">
        <v>18</v>
      </c>
      <c r="E456" s="13" t="s">
        <v>2027</v>
      </c>
      <c r="F456" s="13" t="s">
        <v>2028</v>
      </c>
      <c r="G456" s="13" t="s">
        <v>152</v>
      </c>
      <c r="H456" s="13" t="s">
        <v>16</v>
      </c>
      <c r="I456" s="13">
        <v>13090.0</v>
      </c>
      <c r="J456" s="5" t="str">
        <f t="shared" si="1"/>
        <v>Sherita Cherry</v>
      </c>
    </row>
    <row r="457">
      <c r="A457" s="13">
        <v>456.0</v>
      </c>
      <c r="B457" s="13" t="s">
        <v>2029</v>
      </c>
      <c r="C457" s="13" t="s">
        <v>1122</v>
      </c>
      <c r="D457" s="13" t="s">
        <v>18</v>
      </c>
      <c r="E457" s="13" t="s">
        <v>2030</v>
      </c>
      <c r="F457" s="13" t="s">
        <v>2031</v>
      </c>
      <c r="G457" s="13" t="s">
        <v>144</v>
      </c>
      <c r="H457" s="13" t="s">
        <v>16</v>
      </c>
      <c r="I457" s="13">
        <v>11432.0</v>
      </c>
      <c r="J457" s="5" t="str">
        <f t="shared" si="1"/>
        <v>Serina Hensley</v>
      </c>
    </row>
    <row r="458">
      <c r="A458" s="13">
        <v>457.0</v>
      </c>
      <c r="B458" s="13" t="s">
        <v>769</v>
      </c>
      <c r="C458" s="13" t="s">
        <v>1321</v>
      </c>
      <c r="D458" s="13" t="s">
        <v>18</v>
      </c>
      <c r="E458" s="13" t="s">
        <v>2032</v>
      </c>
      <c r="F458" s="13" t="s">
        <v>2033</v>
      </c>
      <c r="G458" s="13" t="s">
        <v>202</v>
      </c>
      <c r="H458" s="13" t="s">
        <v>16</v>
      </c>
      <c r="I458" s="13">
        <v>11418.0</v>
      </c>
      <c r="J458" s="5" t="str">
        <f t="shared" si="1"/>
        <v>Jeni Farley</v>
      </c>
    </row>
    <row r="459">
      <c r="A459" s="13">
        <v>458.0</v>
      </c>
      <c r="B459" s="13" t="s">
        <v>1107</v>
      </c>
      <c r="C459" s="13" t="s">
        <v>530</v>
      </c>
      <c r="D459" s="13" t="s">
        <v>18</v>
      </c>
      <c r="E459" s="13" t="s">
        <v>2034</v>
      </c>
      <c r="F459" s="13" t="s">
        <v>2035</v>
      </c>
      <c r="G459" s="13" t="s">
        <v>135</v>
      </c>
      <c r="H459" s="13" t="s">
        <v>16</v>
      </c>
      <c r="I459" s="13">
        <v>11741.0</v>
      </c>
      <c r="J459" s="5" t="str">
        <f t="shared" si="1"/>
        <v>Everett Vega</v>
      </c>
    </row>
    <row r="460">
      <c r="A460" s="13">
        <v>459.0</v>
      </c>
      <c r="B460" s="13" t="s">
        <v>2036</v>
      </c>
      <c r="C460" s="13" t="s">
        <v>2037</v>
      </c>
      <c r="D460" s="13" t="s">
        <v>2038</v>
      </c>
      <c r="E460" s="13" t="s">
        <v>2039</v>
      </c>
      <c r="F460" s="13" t="s">
        <v>2040</v>
      </c>
      <c r="G460" s="13" t="s">
        <v>40</v>
      </c>
      <c r="H460" s="13" t="s">
        <v>15</v>
      </c>
      <c r="I460" s="13">
        <v>93306.0</v>
      </c>
      <c r="J460" s="5" t="str">
        <f t="shared" si="1"/>
        <v>Latosha Dalton</v>
      </c>
    </row>
    <row r="461">
      <c r="A461" s="13">
        <v>460.0</v>
      </c>
      <c r="B461" s="13" t="s">
        <v>2041</v>
      </c>
      <c r="C461" s="13" t="s">
        <v>2042</v>
      </c>
      <c r="D461" s="13" t="s">
        <v>18</v>
      </c>
      <c r="E461" s="13" t="s">
        <v>2043</v>
      </c>
      <c r="F461" s="13" t="s">
        <v>2044</v>
      </c>
      <c r="G461" s="13" t="s">
        <v>126</v>
      </c>
      <c r="H461" s="13" t="s">
        <v>16</v>
      </c>
      <c r="I461" s="13">
        <v>11530.0</v>
      </c>
      <c r="J461" s="5" t="str">
        <f t="shared" si="1"/>
        <v>Romelia Myers</v>
      </c>
    </row>
    <row r="462">
      <c r="A462" s="13">
        <v>461.0</v>
      </c>
      <c r="B462" s="13" t="s">
        <v>2045</v>
      </c>
      <c r="C462" s="13" t="s">
        <v>1510</v>
      </c>
      <c r="D462" s="13" t="s">
        <v>2046</v>
      </c>
      <c r="E462" s="13" t="s">
        <v>2047</v>
      </c>
      <c r="F462" s="13" t="s">
        <v>2048</v>
      </c>
      <c r="G462" s="13" t="s">
        <v>58</v>
      </c>
      <c r="H462" s="13" t="s">
        <v>16</v>
      </c>
      <c r="I462" s="13">
        <v>11717.0</v>
      </c>
      <c r="J462" s="5" t="str">
        <f t="shared" si="1"/>
        <v>Effie Jenkins</v>
      </c>
    </row>
    <row r="463">
      <c r="A463" s="13">
        <v>462.0</v>
      </c>
      <c r="B463" s="13" t="s">
        <v>2049</v>
      </c>
      <c r="C463" s="13" t="s">
        <v>2050</v>
      </c>
      <c r="D463" s="13" t="s">
        <v>18</v>
      </c>
      <c r="E463" s="13" t="s">
        <v>2051</v>
      </c>
      <c r="F463" s="13" t="s">
        <v>2052</v>
      </c>
      <c r="G463" s="13" t="s">
        <v>169</v>
      </c>
      <c r="H463" s="13" t="s">
        <v>16</v>
      </c>
      <c r="I463" s="13">
        <v>10954.0</v>
      </c>
      <c r="J463" s="5" t="str">
        <f t="shared" si="1"/>
        <v>Efren Oliver</v>
      </c>
    </row>
    <row r="464">
      <c r="A464" s="13">
        <v>463.0</v>
      </c>
      <c r="B464" s="13" t="s">
        <v>2053</v>
      </c>
      <c r="C464" s="13" t="s">
        <v>2054</v>
      </c>
      <c r="D464" s="13" t="s">
        <v>18</v>
      </c>
      <c r="E464" s="13" t="s">
        <v>2055</v>
      </c>
      <c r="F464" s="13" t="s">
        <v>2056</v>
      </c>
      <c r="G464" s="13" t="s">
        <v>190</v>
      </c>
      <c r="H464" s="13" t="s">
        <v>16</v>
      </c>
      <c r="I464" s="13">
        <v>11803.0</v>
      </c>
      <c r="J464" s="5" t="str">
        <f t="shared" si="1"/>
        <v>Jerlene Rios</v>
      </c>
    </row>
    <row r="465">
      <c r="A465" s="13">
        <v>464.0</v>
      </c>
      <c r="B465" s="13" t="s">
        <v>2057</v>
      </c>
      <c r="C465" s="13" t="s">
        <v>2058</v>
      </c>
      <c r="D465" s="13" t="s">
        <v>18</v>
      </c>
      <c r="E465" s="13" t="s">
        <v>2059</v>
      </c>
      <c r="F465" s="13" t="s">
        <v>2060</v>
      </c>
      <c r="G465" s="13" t="s">
        <v>126</v>
      </c>
      <c r="H465" s="13" t="s">
        <v>16</v>
      </c>
      <c r="I465" s="13">
        <v>11530.0</v>
      </c>
      <c r="J465" s="5" t="str">
        <f t="shared" si="1"/>
        <v>Bess Mcbride</v>
      </c>
    </row>
    <row r="466">
      <c r="A466" s="13">
        <v>465.0</v>
      </c>
      <c r="B466" s="13" t="s">
        <v>2061</v>
      </c>
      <c r="C466" s="13" t="s">
        <v>2062</v>
      </c>
      <c r="D466" s="13" t="s">
        <v>2063</v>
      </c>
      <c r="E466" s="13" t="s">
        <v>2064</v>
      </c>
      <c r="F466" s="13" t="s">
        <v>2065</v>
      </c>
      <c r="G466" s="13" t="s">
        <v>240</v>
      </c>
      <c r="H466" s="13" t="s">
        <v>16</v>
      </c>
      <c r="I466" s="13">
        <v>12180.0</v>
      </c>
      <c r="J466" s="5" t="str">
        <f t="shared" si="1"/>
        <v>Birdie Kramer</v>
      </c>
    </row>
    <row r="467">
      <c r="A467" s="13">
        <v>466.0</v>
      </c>
      <c r="B467" s="13" t="s">
        <v>2066</v>
      </c>
      <c r="C467" s="13" t="s">
        <v>563</v>
      </c>
      <c r="D467" s="13" t="s">
        <v>18</v>
      </c>
      <c r="E467" s="13" t="s">
        <v>2067</v>
      </c>
      <c r="F467" s="13" t="s">
        <v>2068</v>
      </c>
      <c r="G467" s="13" t="s">
        <v>228</v>
      </c>
      <c r="H467" s="13" t="s">
        <v>16</v>
      </c>
      <c r="I467" s="13">
        <v>11787.0</v>
      </c>
      <c r="J467" s="5" t="str">
        <f t="shared" si="1"/>
        <v>Collen Hayes</v>
      </c>
    </row>
    <row r="468">
      <c r="A468" s="13">
        <v>467.0</v>
      </c>
      <c r="B468" s="13" t="s">
        <v>2069</v>
      </c>
      <c r="C468" s="13" t="s">
        <v>855</v>
      </c>
      <c r="D468" s="13" t="s">
        <v>18</v>
      </c>
      <c r="E468" s="13" t="s">
        <v>2070</v>
      </c>
      <c r="F468" s="13" t="s">
        <v>2071</v>
      </c>
      <c r="G468" s="13" t="s">
        <v>158</v>
      </c>
      <c r="H468" s="13" t="s">
        <v>16</v>
      </c>
      <c r="I468" s="13">
        <v>10541.0</v>
      </c>
      <c r="J468" s="5" t="str">
        <f t="shared" si="1"/>
        <v>Clare Neal</v>
      </c>
    </row>
    <row r="469">
      <c r="A469" s="13">
        <v>468.0</v>
      </c>
      <c r="B469" s="13" t="s">
        <v>2072</v>
      </c>
      <c r="C469" s="13" t="s">
        <v>2073</v>
      </c>
      <c r="D469" s="13" t="s">
        <v>18</v>
      </c>
      <c r="E469" s="13" t="s">
        <v>2074</v>
      </c>
      <c r="F469" s="13" t="s">
        <v>2075</v>
      </c>
      <c r="G469" s="13" t="s">
        <v>151</v>
      </c>
      <c r="H469" s="13" t="s">
        <v>16</v>
      </c>
      <c r="I469" s="13">
        <v>11757.0</v>
      </c>
      <c r="J469" s="5" t="str">
        <f t="shared" si="1"/>
        <v>Jeanett Herman</v>
      </c>
    </row>
    <row r="470">
      <c r="A470" s="13">
        <v>469.0</v>
      </c>
      <c r="B470" s="13" t="s">
        <v>2076</v>
      </c>
      <c r="C470" s="13" t="s">
        <v>2077</v>
      </c>
      <c r="D470" s="13" t="s">
        <v>18</v>
      </c>
      <c r="E470" s="13" t="s">
        <v>2078</v>
      </c>
      <c r="F470" s="13" t="s">
        <v>2079</v>
      </c>
      <c r="G470" s="13" t="s">
        <v>202</v>
      </c>
      <c r="H470" s="13" t="s">
        <v>16</v>
      </c>
      <c r="I470" s="13">
        <v>11418.0</v>
      </c>
      <c r="J470" s="5" t="str">
        <f t="shared" si="1"/>
        <v>Micki Rutledge</v>
      </c>
    </row>
    <row r="471">
      <c r="A471" s="13">
        <v>470.0</v>
      </c>
      <c r="B471" s="13" t="s">
        <v>2080</v>
      </c>
      <c r="C471" s="13" t="s">
        <v>1971</v>
      </c>
      <c r="D471" s="13" t="s">
        <v>18</v>
      </c>
      <c r="E471" s="13" t="s">
        <v>2081</v>
      </c>
      <c r="F471" s="13" t="s">
        <v>2082</v>
      </c>
      <c r="G471" s="13" t="s">
        <v>227</v>
      </c>
      <c r="H471" s="13" t="s">
        <v>16</v>
      </c>
      <c r="I471" s="13">
        <v>11967.0</v>
      </c>
      <c r="J471" s="5" t="str">
        <f t="shared" si="1"/>
        <v>Loise Walker</v>
      </c>
    </row>
    <row r="472">
      <c r="A472" s="13">
        <v>471.0</v>
      </c>
      <c r="B472" s="13" t="s">
        <v>2083</v>
      </c>
      <c r="C472" s="13" t="s">
        <v>2084</v>
      </c>
      <c r="D472" s="13" t="s">
        <v>18</v>
      </c>
      <c r="E472" s="13" t="s">
        <v>2085</v>
      </c>
      <c r="F472" s="13" t="s">
        <v>2086</v>
      </c>
      <c r="G472" s="13" t="s">
        <v>122</v>
      </c>
      <c r="H472" s="13" t="s">
        <v>16</v>
      </c>
      <c r="I472" s="13">
        <v>11520.0</v>
      </c>
      <c r="J472" s="5" t="str">
        <f t="shared" si="1"/>
        <v>Burma Summers</v>
      </c>
    </row>
    <row r="473">
      <c r="A473" s="13">
        <v>472.0</v>
      </c>
      <c r="B473" s="13" t="s">
        <v>2087</v>
      </c>
      <c r="C473" s="13" t="s">
        <v>2088</v>
      </c>
      <c r="D473" s="13" t="s">
        <v>18</v>
      </c>
      <c r="E473" s="13" t="s">
        <v>2089</v>
      </c>
      <c r="F473" s="13" t="s">
        <v>2090</v>
      </c>
      <c r="G473" s="13" t="s">
        <v>29</v>
      </c>
      <c r="H473" s="13" t="s">
        <v>16</v>
      </c>
      <c r="I473" s="13">
        <v>11701.0</v>
      </c>
      <c r="J473" s="5" t="str">
        <f t="shared" si="1"/>
        <v>Myron Ruiz</v>
      </c>
    </row>
    <row r="474">
      <c r="A474" s="13">
        <v>473.0</v>
      </c>
      <c r="B474" s="13" t="s">
        <v>2091</v>
      </c>
      <c r="C474" s="13" t="s">
        <v>201</v>
      </c>
      <c r="D474" s="13" t="s">
        <v>18</v>
      </c>
      <c r="E474" s="13" t="s">
        <v>2092</v>
      </c>
      <c r="F474" s="13" t="s">
        <v>2093</v>
      </c>
      <c r="G474" s="13" t="s">
        <v>42</v>
      </c>
      <c r="H474" s="13" t="s">
        <v>16</v>
      </c>
      <c r="I474" s="13">
        <v>11510.0</v>
      </c>
      <c r="J474" s="5" t="str">
        <f t="shared" si="1"/>
        <v>Lashawna Richardson</v>
      </c>
    </row>
    <row r="475">
      <c r="A475" s="13">
        <v>474.0</v>
      </c>
      <c r="B475" s="13" t="s">
        <v>2094</v>
      </c>
      <c r="C475" s="13" t="s">
        <v>2095</v>
      </c>
      <c r="D475" s="13" t="s">
        <v>18</v>
      </c>
      <c r="E475" s="13" t="s">
        <v>2096</v>
      </c>
      <c r="F475" s="13" t="s">
        <v>2097</v>
      </c>
      <c r="G475" s="13" t="s">
        <v>249</v>
      </c>
      <c r="H475" s="13" t="s">
        <v>16</v>
      </c>
      <c r="I475" s="13">
        <v>14580.0</v>
      </c>
      <c r="J475" s="5" t="str">
        <f t="shared" si="1"/>
        <v>Lavern Orr</v>
      </c>
    </row>
    <row r="476">
      <c r="A476" s="13">
        <v>475.0</v>
      </c>
      <c r="B476" s="13" t="s">
        <v>2098</v>
      </c>
      <c r="C476" s="13" t="s">
        <v>1217</v>
      </c>
      <c r="D476" s="13" t="s">
        <v>18</v>
      </c>
      <c r="E476" s="13" t="s">
        <v>2099</v>
      </c>
      <c r="F476" s="13" t="s">
        <v>2100</v>
      </c>
      <c r="G476" s="13" t="s">
        <v>245</v>
      </c>
      <c r="H476" s="13" t="s">
        <v>17</v>
      </c>
      <c r="I476" s="13">
        <v>77904.0</v>
      </c>
      <c r="J476" s="5" t="str">
        <f t="shared" si="1"/>
        <v>Alec Peck</v>
      </c>
    </row>
    <row r="477">
      <c r="A477" s="13">
        <v>476.0</v>
      </c>
      <c r="B477" s="13" t="s">
        <v>2101</v>
      </c>
      <c r="C477" s="13" t="s">
        <v>201</v>
      </c>
      <c r="D477" s="13" t="s">
        <v>18</v>
      </c>
      <c r="E477" s="13" t="s">
        <v>2102</v>
      </c>
      <c r="F477" s="13" t="s">
        <v>2103</v>
      </c>
      <c r="G477" s="13" t="s">
        <v>221</v>
      </c>
      <c r="H477" s="13" t="s">
        <v>15</v>
      </c>
      <c r="I477" s="13">
        <v>95060.0</v>
      </c>
      <c r="J477" s="5" t="str">
        <f t="shared" si="1"/>
        <v>Christopher Richardson</v>
      </c>
    </row>
    <row r="478">
      <c r="A478" s="13">
        <v>477.0</v>
      </c>
      <c r="B478" s="13" t="s">
        <v>2104</v>
      </c>
      <c r="C478" s="13" t="s">
        <v>2105</v>
      </c>
      <c r="D478" s="13" t="s">
        <v>18</v>
      </c>
      <c r="E478" s="13" t="s">
        <v>2106</v>
      </c>
      <c r="F478" s="13" t="s">
        <v>2107</v>
      </c>
      <c r="G478" s="13" t="s">
        <v>54</v>
      </c>
      <c r="H478" s="13" t="s">
        <v>16</v>
      </c>
      <c r="I478" s="13">
        <v>11710.0</v>
      </c>
      <c r="J478" s="5" t="str">
        <f t="shared" si="1"/>
        <v>Arminda Weber</v>
      </c>
    </row>
    <row r="479">
      <c r="A479" s="13">
        <v>478.0</v>
      </c>
      <c r="B479" s="13" t="s">
        <v>1928</v>
      </c>
      <c r="C479" s="13" t="s">
        <v>1052</v>
      </c>
      <c r="D479" s="13" t="s">
        <v>18</v>
      </c>
      <c r="E479" s="13" t="s">
        <v>2108</v>
      </c>
      <c r="F479" s="13" t="s">
        <v>2109</v>
      </c>
      <c r="G479" s="13" t="s">
        <v>122</v>
      </c>
      <c r="H479" s="13" t="s">
        <v>16</v>
      </c>
      <c r="I479" s="13">
        <v>11520.0</v>
      </c>
      <c r="J479" s="5" t="str">
        <f t="shared" si="1"/>
        <v>Emmett Hahn</v>
      </c>
    </row>
    <row r="480">
      <c r="A480" s="13">
        <v>479.0</v>
      </c>
      <c r="B480" s="13" t="s">
        <v>2110</v>
      </c>
      <c r="C480" s="13" t="s">
        <v>2111</v>
      </c>
      <c r="D480" s="13" t="s">
        <v>18</v>
      </c>
      <c r="E480" s="13" t="s">
        <v>2112</v>
      </c>
      <c r="F480" s="13" t="s">
        <v>2113</v>
      </c>
      <c r="G480" s="13" t="s">
        <v>117</v>
      </c>
      <c r="H480" s="13" t="s">
        <v>16</v>
      </c>
      <c r="I480" s="13">
        <v>11354.0</v>
      </c>
      <c r="J480" s="5" t="str">
        <f t="shared" si="1"/>
        <v>Gertha Mejia</v>
      </c>
    </row>
    <row r="481">
      <c r="A481" s="13">
        <v>480.0</v>
      </c>
      <c r="B481" s="13" t="s">
        <v>127</v>
      </c>
      <c r="C481" s="13" t="s">
        <v>2114</v>
      </c>
      <c r="D481" s="13" t="s">
        <v>18</v>
      </c>
      <c r="E481" s="13" t="s">
        <v>2115</v>
      </c>
      <c r="F481" s="13" t="s">
        <v>2116</v>
      </c>
      <c r="G481" s="13" t="s">
        <v>31</v>
      </c>
      <c r="H481" s="13" t="s">
        <v>16</v>
      </c>
      <c r="I481" s="13">
        <v>12010.0</v>
      </c>
      <c r="J481" s="5" t="str">
        <f t="shared" si="1"/>
        <v>Garland Weaver</v>
      </c>
    </row>
    <row r="482">
      <c r="A482" s="13">
        <v>481.0</v>
      </c>
      <c r="B482" s="13" t="s">
        <v>2117</v>
      </c>
      <c r="C482" s="13" t="s">
        <v>2077</v>
      </c>
      <c r="D482" s="13" t="s">
        <v>18</v>
      </c>
      <c r="E482" s="13" t="s">
        <v>2118</v>
      </c>
      <c r="F482" s="13" t="s">
        <v>2119</v>
      </c>
      <c r="G482" s="13" t="s">
        <v>147</v>
      </c>
      <c r="H482" s="13" t="s">
        <v>17</v>
      </c>
      <c r="I482" s="13">
        <v>77566.0</v>
      </c>
      <c r="J482" s="5" t="str">
        <f t="shared" si="1"/>
        <v>Jayson Rutledge</v>
      </c>
    </row>
    <row r="483">
      <c r="A483" s="13">
        <v>482.0</v>
      </c>
      <c r="B483" s="13" t="s">
        <v>2120</v>
      </c>
      <c r="C483" s="13" t="s">
        <v>1565</v>
      </c>
      <c r="D483" s="13" t="s">
        <v>18</v>
      </c>
      <c r="E483" s="13" t="s">
        <v>2121</v>
      </c>
      <c r="F483" s="13" t="s">
        <v>2122</v>
      </c>
      <c r="G483" s="13" t="s">
        <v>27</v>
      </c>
      <c r="H483" s="13" t="s">
        <v>17</v>
      </c>
      <c r="I483" s="13">
        <v>79106.0</v>
      </c>
      <c r="J483" s="5" t="str">
        <f t="shared" si="1"/>
        <v>Narcisa Knapp</v>
      </c>
    </row>
    <row r="484">
      <c r="A484" s="13">
        <v>483.0</v>
      </c>
      <c r="B484" s="13" t="s">
        <v>2123</v>
      </c>
      <c r="C484" s="13" t="s">
        <v>2124</v>
      </c>
      <c r="D484" s="13" t="s">
        <v>18</v>
      </c>
      <c r="E484" s="13" t="s">
        <v>2125</v>
      </c>
      <c r="F484" s="13" t="s">
        <v>2126</v>
      </c>
      <c r="G484" s="13" t="s">
        <v>151</v>
      </c>
      <c r="H484" s="13" t="s">
        <v>16</v>
      </c>
      <c r="I484" s="13">
        <v>11757.0</v>
      </c>
      <c r="J484" s="5" t="str">
        <f t="shared" si="1"/>
        <v>Gayla Sims</v>
      </c>
    </row>
    <row r="485">
      <c r="A485" s="13">
        <v>484.0</v>
      </c>
      <c r="B485" s="13" t="s">
        <v>1191</v>
      </c>
      <c r="C485" s="13" t="s">
        <v>801</v>
      </c>
      <c r="D485" s="13" t="s">
        <v>18</v>
      </c>
      <c r="E485" s="13" t="s">
        <v>2127</v>
      </c>
      <c r="F485" s="13" t="s">
        <v>2128</v>
      </c>
      <c r="G485" s="13" t="s">
        <v>112</v>
      </c>
      <c r="H485" s="13" t="s">
        <v>17</v>
      </c>
      <c r="I485" s="13">
        <v>76039.0</v>
      </c>
      <c r="J485" s="5" t="str">
        <f t="shared" si="1"/>
        <v>Chelsey Boyd</v>
      </c>
    </row>
    <row r="486">
      <c r="A486" s="13">
        <v>485.0</v>
      </c>
      <c r="B486" s="13" t="s">
        <v>2129</v>
      </c>
      <c r="C486" s="13" t="s">
        <v>2130</v>
      </c>
      <c r="D486" s="13" t="s">
        <v>18</v>
      </c>
      <c r="E486" s="13" t="s">
        <v>2131</v>
      </c>
      <c r="F486" s="13" t="s">
        <v>2132</v>
      </c>
      <c r="G486" s="13" t="s">
        <v>100</v>
      </c>
      <c r="H486" s="13" t="s">
        <v>16</v>
      </c>
      <c r="I486" s="13">
        <v>11369.0</v>
      </c>
      <c r="J486" s="5" t="str">
        <f t="shared" si="1"/>
        <v>Catherine Miles</v>
      </c>
    </row>
    <row r="487">
      <c r="A487" s="13">
        <v>486.0</v>
      </c>
      <c r="B487" s="13" t="s">
        <v>2133</v>
      </c>
      <c r="C487" s="13" t="s">
        <v>1893</v>
      </c>
      <c r="D487" s="13" t="s">
        <v>18</v>
      </c>
      <c r="E487" s="13" t="s">
        <v>2134</v>
      </c>
      <c r="F487" s="13" t="s">
        <v>2135</v>
      </c>
      <c r="G487" s="13" t="s">
        <v>102</v>
      </c>
      <c r="H487" s="13" t="s">
        <v>16</v>
      </c>
      <c r="I487" s="13">
        <v>11554.0</v>
      </c>
      <c r="J487" s="5" t="str">
        <f t="shared" si="1"/>
        <v>Valeri Marshall</v>
      </c>
    </row>
    <row r="488">
      <c r="A488" s="13">
        <v>487.0</v>
      </c>
      <c r="B488" s="13" t="s">
        <v>2136</v>
      </c>
      <c r="C488" s="13" t="s">
        <v>2137</v>
      </c>
      <c r="D488" s="13" t="s">
        <v>18</v>
      </c>
      <c r="E488" s="13" t="s">
        <v>2138</v>
      </c>
      <c r="F488" s="13" t="s">
        <v>2139</v>
      </c>
      <c r="G488" s="13" t="s">
        <v>219</v>
      </c>
      <c r="H488" s="13" t="s">
        <v>15</v>
      </c>
      <c r="I488" s="13">
        <v>94806.0</v>
      </c>
      <c r="J488" s="5" t="str">
        <f t="shared" si="1"/>
        <v>Grace Madden</v>
      </c>
    </row>
    <row r="489">
      <c r="A489" s="13">
        <v>488.0</v>
      </c>
      <c r="B489" s="13" t="s">
        <v>2140</v>
      </c>
      <c r="C489" s="13" t="s">
        <v>2141</v>
      </c>
      <c r="D489" s="13" t="s">
        <v>2142</v>
      </c>
      <c r="E489" s="13" t="s">
        <v>2143</v>
      </c>
      <c r="F489" s="13" t="s">
        <v>2144</v>
      </c>
      <c r="G489" s="13" t="s">
        <v>32</v>
      </c>
      <c r="H489" s="13" t="s">
        <v>15</v>
      </c>
      <c r="I489" s="13">
        <v>92806.0</v>
      </c>
      <c r="J489" s="5" t="str">
        <f t="shared" si="1"/>
        <v>Joaquin Hawkins</v>
      </c>
    </row>
    <row r="490">
      <c r="A490" s="13">
        <v>489.0</v>
      </c>
      <c r="B490" s="13" t="s">
        <v>2145</v>
      </c>
      <c r="C490" s="13" t="s">
        <v>843</v>
      </c>
      <c r="D490" s="13" t="s">
        <v>18</v>
      </c>
      <c r="E490" s="13" t="s">
        <v>2146</v>
      </c>
      <c r="F490" s="13" t="s">
        <v>2147</v>
      </c>
      <c r="G490" s="13" t="s">
        <v>223</v>
      </c>
      <c r="H490" s="13" t="s">
        <v>16</v>
      </c>
      <c r="I490" s="13">
        <v>12866.0</v>
      </c>
      <c r="J490" s="5" t="str">
        <f t="shared" si="1"/>
        <v>Kirstie Vazquez</v>
      </c>
    </row>
    <row r="491">
      <c r="A491" s="13">
        <v>490.0</v>
      </c>
      <c r="B491" s="13" t="s">
        <v>2148</v>
      </c>
      <c r="C491" s="13" t="s">
        <v>2149</v>
      </c>
      <c r="D491" s="13" t="s">
        <v>18</v>
      </c>
      <c r="E491" s="13" t="s">
        <v>2150</v>
      </c>
      <c r="F491" s="13" t="s">
        <v>2151</v>
      </c>
      <c r="G491" s="13" t="s">
        <v>183</v>
      </c>
      <c r="H491" s="13" t="s">
        <v>16</v>
      </c>
      <c r="I491" s="13">
        <v>10562.0</v>
      </c>
      <c r="J491" s="5" t="str">
        <f t="shared" si="1"/>
        <v>Yu Mcdonald</v>
      </c>
    </row>
    <row r="492">
      <c r="A492" s="13">
        <v>491.0</v>
      </c>
      <c r="B492" s="13" t="s">
        <v>2152</v>
      </c>
      <c r="C492" s="13" t="s">
        <v>2153</v>
      </c>
      <c r="D492" s="13" t="s">
        <v>18</v>
      </c>
      <c r="E492" s="13" t="s">
        <v>2154</v>
      </c>
      <c r="F492" s="13" t="s">
        <v>2155</v>
      </c>
      <c r="G492" s="13" t="s">
        <v>160</v>
      </c>
      <c r="H492" s="13" t="s">
        <v>16</v>
      </c>
      <c r="I492" s="13">
        <v>11758.0</v>
      </c>
      <c r="J492" s="5" t="str">
        <f t="shared" si="1"/>
        <v>Celestine Jacobs</v>
      </c>
    </row>
    <row r="493">
      <c r="A493" s="13">
        <v>492.0</v>
      </c>
      <c r="B493" s="13" t="s">
        <v>2156</v>
      </c>
      <c r="C493" s="13" t="s">
        <v>2157</v>
      </c>
      <c r="D493" s="13" t="s">
        <v>18</v>
      </c>
      <c r="E493" s="13" t="s">
        <v>2158</v>
      </c>
      <c r="F493" s="13" t="s">
        <v>2159</v>
      </c>
      <c r="G493" s="13" t="s">
        <v>88</v>
      </c>
      <c r="H493" s="13" t="s">
        <v>16</v>
      </c>
      <c r="I493" s="13">
        <v>11368.0</v>
      </c>
      <c r="J493" s="5" t="str">
        <f t="shared" si="1"/>
        <v>Justa Thompson</v>
      </c>
    </row>
    <row r="494">
      <c r="A494" s="13">
        <v>493.0</v>
      </c>
      <c r="B494" s="13" t="s">
        <v>2160</v>
      </c>
      <c r="C494" s="13" t="s">
        <v>2161</v>
      </c>
      <c r="D494" s="13" t="s">
        <v>18</v>
      </c>
      <c r="E494" s="13" t="s">
        <v>2162</v>
      </c>
      <c r="F494" s="13" t="s">
        <v>2163</v>
      </c>
      <c r="G494" s="13" t="s">
        <v>130</v>
      </c>
      <c r="H494" s="13" t="s">
        <v>16</v>
      </c>
      <c r="I494" s="13">
        <v>14075.0</v>
      </c>
      <c r="J494" s="5" t="str">
        <f t="shared" si="1"/>
        <v>Lise Alvarado</v>
      </c>
    </row>
    <row r="495">
      <c r="A495" s="13">
        <v>494.0</v>
      </c>
      <c r="B495" s="13" t="s">
        <v>2164</v>
      </c>
      <c r="C495" s="13" t="s">
        <v>2165</v>
      </c>
      <c r="D495" s="13" t="s">
        <v>18</v>
      </c>
      <c r="E495" s="13" t="s">
        <v>2166</v>
      </c>
      <c r="F495" s="13" t="s">
        <v>2167</v>
      </c>
      <c r="G495" s="13" t="s">
        <v>241</v>
      </c>
      <c r="H495" s="13" t="s">
        <v>16</v>
      </c>
      <c r="I495" s="13">
        <v>11553.0</v>
      </c>
      <c r="J495" s="5" t="str">
        <f t="shared" si="1"/>
        <v>Pearl Fox</v>
      </c>
    </row>
    <row r="496">
      <c r="A496" s="13">
        <v>495.0</v>
      </c>
      <c r="B496" s="13" t="s">
        <v>2168</v>
      </c>
      <c r="C496" s="13" t="s">
        <v>681</v>
      </c>
      <c r="D496" s="13" t="s">
        <v>18</v>
      </c>
      <c r="E496" s="13" t="s">
        <v>2169</v>
      </c>
      <c r="F496" s="13" t="s">
        <v>2170</v>
      </c>
      <c r="G496" s="13" t="s">
        <v>157</v>
      </c>
      <c r="H496" s="13" t="s">
        <v>15</v>
      </c>
      <c r="I496" s="13">
        <v>93635.0</v>
      </c>
      <c r="J496" s="5" t="str">
        <f t="shared" si="1"/>
        <v>Travis Goodman</v>
      </c>
    </row>
    <row r="497">
      <c r="A497" s="13">
        <v>496.0</v>
      </c>
      <c r="B497" s="13" t="s">
        <v>2171</v>
      </c>
      <c r="C497" s="13" t="s">
        <v>2172</v>
      </c>
      <c r="D497" s="13" t="s">
        <v>18</v>
      </c>
      <c r="E497" s="13" t="s">
        <v>2173</v>
      </c>
      <c r="F497" s="13" t="s">
        <v>2174</v>
      </c>
      <c r="G497" s="13" t="s">
        <v>34</v>
      </c>
      <c r="H497" s="13" t="s">
        <v>16</v>
      </c>
      <c r="I497" s="13">
        <v>11102.0</v>
      </c>
      <c r="J497" s="5" t="str">
        <f t="shared" si="1"/>
        <v>Shu Mays</v>
      </c>
    </row>
    <row r="498">
      <c r="A498" s="13">
        <v>497.0</v>
      </c>
      <c r="B498" s="13" t="s">
        <v>2175</v>
      </c>
      <c r="C498" s="13" t="s">
        <v>2176</v>
      </c>
      <c r="D498" s="13" t="s">
        <v>18</v>
      </c>
      <c r="E498" s="13" t="s">
        <v>2177</v>
      </c>
      <c r="F498" s="13" t="s">
        <v>2178</v>
      </c>
      <c r="G498" s="13" t="s">
        <v>169</v>
      </c>
      <c r="H498" s="13" t="s">
        <v>16</v>
      </c>
      <c r="I498" s="13">
        <v>10954.0</v>
      </c>
      <c r="J498" s="5" t="str">
        <f t="shared" si="1"/>
        <v>Ezra Fowler</v>
      </c>
    </row>
    <row r="499">
      <c r="A499" s="13">
        <v>498.0</v>
      </c>
      <c r="B499" s="13" t="s">
        <v>2179</v>
      </c>
      <c r="C499" s="13" t="s">
        <v>2180</v>
      </c>
      <c r="D499" s="13" t="s">
        <v>18</v>
      </c>
      <c r="E499" s="13" t="s">
        <v>2181</v>
      </c>
      <c r="F499" s="13" t="s">
        <v>2182</v>
      </c>
      <c r="G499" s="13" t="s">
        <v>177</v>
      </c>
      <c r="H499" s="13" t="s">
        <v>16</v>
      </c>
      <c r="I499" s="13">
        <v>14120.0</v>
      </c>
      <c r="J499" s="5" t="str">
        <f t="shared" si="1"/>
        <v>Edda Young</v>
      </c>
    </row>
    <row r="500">
      <c r="A500" s="13">
        <v>499.0</v>
      </c>
      <c r="B500" s="13" t="s">
        <v>2183</v>
      </c>
      <c r="C500" s="13" t="s">
        <v>2184</v>
      </c>
      <c r="D500" s="13" t="s">
        <v>18</v>
      </c>
      <c r="E500" s="13" t="s">
        <v>2185</v>
      </c>
      <c r="F500" s="13" t="s">
        <v>2186</v>
      </c>
      <c r="G500" s="13" t="s">
        <v>44</v>
      </c>
      <c r="H500" s="13" t="s">
        <v>16</v>
      </c>
      <c r="I500" s="13">
        <v>13027.0</v>
      </c>
      <c r="J500" s="5" t="str">
        <f t="shared" si="1"/>
        <v>Lidia Ashley</v>
      </c>
    </row>
    <row r="501">
      <c r="A501" s="13">
        <v>500.0</v>
      </c>
      <c r="B501" s="13" t="s">
        <v>2187</v>
      </c>
      <c r="C501" s="13" t="s">
        <v>2188</v>
      </c>
      <c r="D501" s="13" t="s">
        <v>18</v>
      </c>
      <c r="E501" s="13" t="s">
        <v>2189</v>
      </c>
      <c r="F501" s="13" t="s">
        <v>2190</v>
      </c>
      <c r="G501" s="13" t="s">
        <v>143</v>
      </c>
      <c r="H501" s="13" t="s">
        <v>16</v>
      </c>
      <c r="I501" s="13">
        <v>11372.0</v>
      </c>
      <c r="J501" s="5" t="str">
        <f t="shared" si="1"/>
        <v>Moira Lester</v>
      </c>
    </row>
    <row r="502">
      <c r="A502" s="13">
        <v>501.0</v>
      </c>
      <c r="B502" s="13" t="s">
        <v>2191</v>
      </c>
      <c r="C502" s="13" t="s">
        <v>2192</v>
      </c>
      <c r="D502" s="13" t="s">
        <v>2193</v>
      </c>
      <c r="E502" s="13" t="s">
        <v>2194</v>
      </c>
      <c r="F502" s="13" t="s">
        <v>2195</v>
      </c>
      <c r="G502" s="13" t="s">
        <v>32</v>
      </c>
      <c r="H502" s="13" t="s">
        <v>15</v>
      </c>
      <c r="I502" s="13">
        <v>92806.0</v>
      </c>
      <c r="J502" s="5" t="str">
        <f t="shared" si="1"/>
        <v>Tony Hicks</v>
      </c>
    </row>
    <row r="503">
      <c r="A503" s="13">
        <v>502.0</v>
      </c>
      <c r="B503" s="13" t="s">
        <v>2196</v>
      </c>
      <c r="C503" s="13" t="s">
        <v>2197</v>
      </c>
      <c r="D503" s="13" t="s">
        <v>18</v>
      </c>
      <c r="E503" s="13" t="s">
        <v>2198</v>
      </c>
      <c r="F503" s="13" t="s">
        <v>2199</v>
      </c>
      <c r="G503" s="13" t="s">
        <v>254</v>
      </c>
      <c r="H503" s="13" t="s">
        <v>16</v>
      </c>
      <c r="I503" s="13">
        <v>11357.0</v>
      </c>
      <c r="J503" s="5" t="str">
        <f t="shared" si="1"/>
        <v>Malinda Baxter</v>
      </c>
    </row>
    <row r="504">
      <c r="A504" s="13">
        <v>503.0</v>
      </c>
      <c r="B504" s="13" t="s">
        <v>2200</v>
      </c>
      <c r="C504" s="13" t="s">
        <v>2201</v>
      </c>
      <c r="D504" s="13" t="s">
        <v>18</v>
      </c>
      <c r="E504" s="13" t="s">
        <v>2202</v>
      </c>
      <c r="F504" s="13" t="s">
        <v>2203</v>
      </c>
      <c r="G504" s="13" t="s">
        <v>176</v>
      </c>
      <c r="H504" s="13" t="s">
        <v>16</v>
      </c>
      <c r="I504" s="13">
        <v>14304.0</v>
      </c>
      <c r="J504" s="5" t="str">
        <f t="shared" si="1"/>
        <v>Marlo Jefferson</v>
      </c>
    </row>
    <row r="505">
      <c r="A505" s="13">
        <v>504.0</v>
      </c>
      <c r="B505" s="13" t="s">
        <v>2204</v>
      </c>
      <c r="C505" s="13" t="s">
        <v>2205</v>
      </c>
      <c r="D505" s="13" t="s">
        <v>18</v>
      </c>
      <c r="E505" s="13" t="s">
        <v>2206</v>
      </c>
      <c r="F505" s="13" t="s">
        <v>2207</v>
      </c>
      <c r="G505" s="13" t="s">
        <v>121</v>
      </c>
      <c r="H505" s="13" t="s">
        <v>16</v>
      </c>
      <c r="I505" s="13">
        <v>11010.0</v>
      </c>
      <c r="J505" s="5" t="str">
        <f t="shared" si="1"/>
        <v>Tiana Henderson</v>
      </c>
    </row>
    <row r="506">
      <c r="A506" s="13">
        <v>505.0</v>
      </c>
      <c r="B506" s="13" t="s">
        <v>2208</v>
      </c>
      <c r="C506" s="13" t="s">
        <v>2209</v>
      </c>
      <c r="D506" s="13" t="s">
        <v>18</v>
      </c>
      <c r="E506" s="13" t="s">
        <v>2210</v>
      </c>
      <c r="F506" s="13" t="s">
        <v>2211</v>
      </c>
      <c r="G506" s="13" t="s">
        <v>144</v>
      </c>
      <c r="H506" s="13" t="s">
        <v>16</v>
      </c>
      <c r="I506" s="13">
        <v>11432.0</v>
      </c>
      <c r="J506" s="5" t="str">
        <f t="shared" si="1"/>
        <v>Wilda Petersen</v>
      </c>
    </row>
    <row r="507">
      <c r="A507" s="13">
        <v>506.0</v>
      </c>
      <c r="B507" s="13" t="s">
        <v>2212</v>
      </c>
      <c r="C507" s="13" t="s">
        <v>997</v>
      </c>
      <c r="D507" s="13" t="s">
        <v>18</v>
      </c>
      <c r="E507" s="13" t="s">
        <v>2213</v>
      </c>
      <c r="F507" s="13" t="s">
        <v>2214</v>
      </c>
      <c r="G507" s="13" t="s">
        <v>239</v>
      </c>
      <c r="H507" s="13" t="s">
        <v>15</v>
      </c>
      <c r="I507" s="13">
        <v>90505.0</v>
      </c>
      <c r="J507" s="5" t="str">
        <f t="shared" si="1"/>
        <v>Irving Pitts</v>
      </c>
    </row>
    <row r="508">
      <c r="A508" s="13">
        <v>507.0</v>
      </c>
      <c r="B508" s="13" t="s">
        <v>2215</v>
      </c>
      <c r="C508" s="13" t="s">
        <v>1759</v>
      </c>
      <c r="D508" s="13" t="s">
        <v>18</v>
      </c>
      <c r="E508" s="13" t="s">
        <v>2216</v>
      </c>
      <c r="F508" s="13" t="s">
        <v>2217</v>
      </c>
      <c r="G508" s="13" t="s">
        <v>234</v>
      </c>
      <c r="H508" s="13" t="s">
        <v>16</v>
      </c>
      <c r="I508" s="13">
        <v>10301.0</v>
      </c>
      <c r="J508" s="5" t="str">
        <f t="shared" si="1"/>
        <v>Sheree Pena</v>
      </c>
    </row>
    <row r="509">
      <c r="A509" s="13">
        <v>508.0</v>
      </c>
      <c r="B509" s="13" t="s">
        <v>1352</v>
      </c>
      <c r="C509" s="13" t="s">
        <v>2218</v>
      </c>
      <c r="D509" s="13" t="s">
        <v>2219</v>
      </c>
      <c r="E509" s="13" t="s">
        <v>2220</v>
      </c>
      <c r="F509" s="13" t="s">
        <v>2221</v>
      </c>
      <c r="G509" s="13" t="s">
        <v>148</v>
      </c>
      <c r="H509" s="13" t="s">
        <v>16</v>
      </c>
      <c r="I509" s="13">
        <v>14086.0</v>
      </c>
      <c r="J509" s="5" t="str">
        <f t="shared" si="1"/>
        <v>Vance Taylor</v>
      </c>
    </row>
    <row r="510">
      <c r="A510" s="13">
        <v>509.0</v>
      </c>
      <c r="B510" s="13" t="s">
        <v>2222</v>
      </c>
      <c r="C510" s="13" t="s">
        <v>2223</v>
      </c>
      <c r="D510" s="13" t="s">
        <v>18</v>
      </c>
      <c r="E510" s="13" t="s">
        <v>2224</v>
      </c>
      <c r="F510" s="13" t="s">
        <v>2225</v>
      </c>
      <c r="G510" s="13" t="s">
        <v>31</v>
      </c>
      <c r="H510" s="13" t="s">
        <v>16</v>
      </c>
      <c r="I510" s="13">
        <v>12010.0</v>
      </c>
      <c r="J510" s="5" t="str">
        <f t="shared" si="1"/>
        <v>Terra Pickett</v>
      </c>
    </row>
    <row r="511">
      <c r="A511" s="13">
        <v>510.0</v>
      </c>
      <c r="B511" s="13" t="s">
        <v>2226</v>
      </c>
      <c r="C511" s="13" t="s">
        <v>879</v>
      </c>
      <c r="D511" s="13" t="s">
        <v>18</v>
      </c>
      <c r="E511" s="13" t="s">
        <v>2227</v>
      </c>
      <c r="F511" s="13" t="s">
        <v>2228</v>
      </c>
      <c r="G511" s="13" t="s">
        <v>231</v>
      </c>
      <c r="H511" s="13" t="s">
        <v>16</v>
      </c>
      <c r="I511" s="13">
        <v>11419.0</v>
      </c>
      <c r="J511" s="5" t="str">
        <f t="shared" si="1"/>
        <v>Faustino Delacruz</v>
      </c>
    </row>
    <row r="512">
      <c r="A512" s="13">
        <v>511.0</v>
      </c>
      <c r="B512" s="13" t="s">
        <v>2229</v>
      </c>
      <c r="C512" s="13" t="s">
        <v>2230</v>
      </c>
      <c r="D512" s="13" t="s">
        <v>2231</v>
      </c>
      <c r="E512" s="13" t="s">
        <v>2232</v>
      </c>
      <c r="F512" s="13" t="s">
        <v>2233</v>
      </c>
      <c r="G512" s="13" t="s">
        <v>120</v>
      </c>
      <c r="H512" s="13" t="s">
        <v>17</v>
      </c>
      <c r="I512" s="13">
        <v>76110.0</v>
      </c>
      <c r="J512" s="5" t="str">
        <f t="shared" si="1"/>
        <v>Julienne Moody</v>
      </c>
    </row>
    <row r="513">
      <c r="A513" s="13">
        <v>512.0</v>
      </c>
      <c r="B513" s="13" t="s">
        <v>2234</v>
      </c>
      <c r="C513" s="13" t="s">
        <v>1649</v>
      </c>
      <c r="D513" s="13" t="s">
        <v>18</v>
      </c>
      <c r="E513" s="13" t="s">
        <v>2235</v>
      </c>
      <c r="F513" s="13" t="s">
        <v>2236</v>
      </c>
      <c r="G513" s="13" t="s">
        <v>226</v>
      </c>
      <c r="H513" s="13" t="s">
        <v>16</v>
      </c>
      <c r="I513" s="13">
        <v>11784.0</v>
      </c>
      <c r="J513" s="5" t="str">
        <f t="shared" si="1"/>
        <v>Hee Greer</v>
      </c>
    </row>
    <row r="514">
      <c r="A514" s="13">
        <v>513.0</v>
      </c>
      <c r="B514" s="13" t="s">
        <v>1182</v>
      </c>
      <c r="C514" s="13" t="s">
        <v>2237</v>
      </c>
      <c r="D514" s="13" t="s">
        <v>18</v>
      </c>
      <c r="E514" s="13" t="s">
        <v>2238</v>
      </c>
      <c r="F514" s="13" t="s">
        <v>2239</v>
      </c>
      <c r="G514" s="13" t="s">
        <v>130</v>
      </c>
      <c r="H514" s="13" t="s">
        <v>16</v>
      </c>
      <c r="I514" s="13">
        <v>14075.0</v>
      </c>
      <c r="J514" s="5" t="str">
        <f t="shared" si="1"/>
        <v>Whitney Cash</v>
      </c>
    </row>
    <row r="515">
      <c r="A515" s="13">
        <v>514.0</v>
      </c>
      <c r="B515" s="13" t="s">
        <v>2240</v>
      </c>
      <c r="C515" s="13" t="s">
        <v>2241</v>
      </c>
      <c r="D515" s="13" t="s">
        <v>18</v>
      </c>
      <c r="E515" s="13" t="s">
        <v>2242</v>
      </c>
      <c r="F515" s="13" t="s">
        <v>2243</v>
      </c>
      <c r="G515" s="13" t="s">
        <v>136</v>
      </c>
      <c r="H515" s="13" t="s">
        <v>16</v>
      </c>
      <c r="I515" s="13">
        <v>11423.0</v>
      </c>
      <c r="J515" s="5" t="str">
        <f t="shared" si="1"/>
        <v>Clarita Curry</v>
      </c>
    </row>
    <row r="516">
      <c r="A516" s="13">
        <v>515.0</v>
      </c>
      <c r="B516" s="13" t="s">
        <v>2244</v>
      </c>
      <c r="C516" s="13" t="s">
        <v>2245</v>
      </c>
      <c r="D516" s="13" t="s">
        <v>18</v>
      </c>
      <c r="E516" s="13" t="s">
        <v>2246</v>
      </c>
      <c r="F516" s="13" t="s">
        <v>2247</v>
      </c>
      <c r="G516" s="13" t="s">
        <v>224</v>
      </c>
      <c r="H516" s="13" t="s">
        <v>16</v>
      </c>
      <c r="I516" s="13">
        <v>10583.0</v>
      </c>
      <c r="J516" s="5" t="str">
        <f t="shared" si="1"/>
        <v>Reita Dickson</v>
      </c>
    </row>
    <row r="517">
      <c r="A517" s="13">
        <v>516.0</v>
      </c>
      <c r="B517" s="13" t="s">
        <v>2248</v>
      </c>
      <c r="C517" s="13" t="s">
        <v>2249</v>
      </c>
      <c r="D517" s="13" t="s">
        <v>18</v>
      </c>
      <c r="E517" s="13" t="s">
        <v>2250</v>
      </c>
      <c r="F517" s="13" t="s">
        <v>2251</v>
      </c>
      <c r="G517" s="13" t="s">
        <v>62</v>
      </c>
      <c r="H517" s="13" t="s">
        <v>16</v>
      </c>
      <c r="I517" s="13">
        <v>11201.0</v>
      </c>
      <c r="J517" s="5" t="str">
        <f t="shared" si="1"/>
        <v>Rosa Kinney</v>
      </c>
    </row>
    <row r="518">
      <c r="A518" s="13">
        <v>517.0</v>
      </c>
      <c r="B518" s="13" t="s">
        <v>1117</v>
      </c>
      <c r="C518" s="13" t="s">
        <v>2252</v>
      </c>
      <c r="D518" s="13" t="s">
        <v>18</v>
      </c>
      <c r="E518" s="13" t="s">
        <v>2253</v>
      </c>
      <c r="F518" s="13" t="s">
        <v>2254</v>
      </c>
      <c r="G518" s="13" t="s">
        <v>54</v>
      </c>
      <c r="H518" s="13" t="s">
        <v>16</v>
      </c>
      <c r="I518" s="13">
        <v>11710.0</v>
      </c>
      <c r="J518" s="5" t="str">
        <f t="shared" si="1"/>
        <v>Buford Gilbert</v>
      </c>
    </row>
    <row r="519">
      <c r="A519" s="13">
        <v>518.0</v>
      </c>
      <c r="B519" s="13" t="s">
        <v>2255</v>
      </c>
      <c r="C519" s="13" t="s">
        <v>1675</v>
      </c>
      <c r="D519" s="13" t="s">
        <v>18</v>
      </c>
      <c r="E519" s="13" t="s">
        <v>2256</v>
      </c>
      <c r="F519" s="13" t="s">
        <v>2257</v>
      </c>
      <c r="G519" s="13" t="s">
        <v>187</v>
      </c>
      <c r="H519" s="13" t="s">
        <v>15</v>
      </c>
      <c r="I519" s="13">
        <v>90274.0</v>
      </c>
      <c r="J519" s="5" t="str">
        <f t="shared" si="1"/>
        <v>Homer Powers</v>
      </c>
    </row>
    <row r="520">
      <c r="A520" s="13">
        <v>519.0</v>
      </c>
      <c r="B520" s="13" t="s">
        <v>2258</v>
      </c>
      <c r="C520" s="13" t="s">
        <v>918</v>
      </c>
      <c r="D520" s="13" t="s">
        <v>18</v>
      </c>
      <c r="E520" s="13" t="s">
        <v>2259</v>
      </c>
      <c r="F520" s="13" t="s">
        <v>2260</v>
      </c>
      <c r="G520" s="13" t="s">
        <v>187</v>
      </c>
      <c r="H520" s="13" t="s">
        <v>15</v>
      </c>
      <c r="I520" s="13">
        <v>90274.0</v>
      </c>
      <c r="J520" s="5" t="str">
        <f t="shared" si="1"/>
        <v>Rudolf Gilliam</v>
      </c>
    </row>
    <row r="521">
      <c r="A521" s="13">
        <v>520.0</v>
      </c>
      <c r="B521" s="13" t="s">
        <v>2261</v>
      </c>
      <c r="C521" s="13" t="s">
        <v>2073</v>
      </c>
      <c r="D521" s="13" t="s">
        <v>18</v>
      </c>
      <c r="E521" s="13" t="s">
        <v>2262</v>
      </c>
      <c r="F521" s="13" t="s">
        <v>2263</v>
      </c>
      <c r="G521" s="13" t="s">
        <v>167</v>
      </c>
      <c r="H521" s="13" t="s">
        <v>16</v>
      </c>
      <c r="I521" s="13">
        <v>10550.0</v>
      </c>
      <c r="J521" s="5" t="str">
        <f t="shared" si="1"/>
        <v>Andreas Herman</v>
      </c>
    </row>
    <row r="522">
      <c r="A522" s="13">
        <v>521.0</v>
      </c>
      <c r="B522" s="13" t="s">
        <v>2264</v>
      </c>
      <c r="C522" s="13" t="s">
        <v>1015</v>
      </c>
      <c r="D522" s="13" t="s">
        <v>18</v>
      </c>
      <c r="E522" s="13" t="s">
        <v>2265</v>
      </c>
      <c r="F522" s="13" t="s">
        <v>2266</v>
      </c>
      <c r="G522" s="13" t="s">
        <v>128</v>
      </c>
      <c r="H522" s="13" t="s">
        <v>16</v>
      </c>
      <c r="I522" s="13">
        <v>11542.0</v>
      </c>
      <c r="J522" s="5" t="str">
        <f t="shared" si="1"/>
        <v>Max Charles</v>
      </c>
    </row>
    <row r="523">
      <c r="A523" s="13">
        <v>522.0</v>
      </c>
      <c r="B523" s="13" t="s">
        <v>2267</v>
      </c>
      <c r="C523" s="13" t="s">
        <v>612</v>
      </c>
      <c r="D523" s="13" t="s">
        <v>2268</v>
      </c>
      <c r="E523" s="13" t="s">
        <v>2269</v>
      </c>
      <c r="F523" s="13" t="s">
        <v>2270</v>
      </c>
      <c r="G523" s="13" t="s">
        <v>178</v>
      </c>
      <c r="H523" s="13" t="s">
        <v>15</v>
      </c>
      <c r="I523" s="13">
        <v>94603.0</v>
      </c>
      <c r="J523" s="5" t="str">
        <f t="shared" si="1"/>
        <v>Tammera Fischer</v>
      </c>
    </row>
    <row r="524">
      <c r="A524" s="13">
        <v>523.0</v>
      </c>
      <c r="B524" s="13" t="s">
        <v>2271</v>
      </c>
      <c r="C524" s="13" t="s">
        <v>2272</v>
      </c>
      <c r="D524" s="13" t="s">
        <v>18</v>
      </c>
      <c r="E524" s="13" t="s">
        <v>2273</v>
      </c>
      <c r="F524" s="13" t="s">
        <v>2274</v>
      </c>
      <c r="G524" s="13" t="s">
        <v>188</v>
      </c>
      <c r="H524" s="13" t="s">
        <v>16</v>
      </c>
      <c r="I524" s="13">
        <v>11772.0</v>
      </c>
      <c r="J524" s="5" t="str">
        <f t="shared" si="1"/>
        <v>Joshua Robertson</v>
      </c>
    </row>
    <row r="525">
      <c r="A525" s="13">
        <v>524.0</v>
      </c>
      <c r="B525" s="13" t="s">
        <v>2275</v>
      </c>
      <c r="C525" s="13" t="s">
        <v>2276</v>
      </c>
      <c r="D525" s="13" t="s">
        <v>18</v>
      </c>
      <c r="E525" s="13" t="s">
        <v>2277</v>
      </c>
      <c r="F525" s="13" t="s">
        <v>2278</v>
      </c>
      <c r="G525" s="13" t="s">
        <v>243</v>
      </c>
      <c r="H525" s="13" t="s">
        <v>16</v>
      </c>
      <c r="I525" s="13">
        <v>13501.0</v>
      </c>
      <c r="J525" s="5" t="str">
        <f t="shared" si="1"/>
        <v>Larraine Horn</v>
      </c>
    </row>
    <row r="526">
      <c r="A526" s="13">
        <v>525.0</v>
      </c>
      <c r="B526" s="13" t="s">
        <v>2261</v>
      </c>
      <c r="C526" s="13" t="s">
        <v>2279</v>
      </c>
      <c r="D526" s="13" t="s">
        <v>18</v>
      </c>
      <c r="E526" s="13" t="s">
        <v>2280</v>
      </c>
      <c r="F526" s="13" t="s">
        <v>2281</v>
      </c>
      <c r="G526" s="13" t="s">
        <v>172</v>
      </c>
      <c r="H526" s="13" t="s">
        <v>16</v>
      </c>
      <c r="I526" s="13">
        <v>10801.0</v>
      </c>
      <c r="J526" s="5" t="str">
        <f t="shared" si="1"/>
        <v>Andreas Mayer</v>
      </c>
    </row>
    <row r="527">
      <c r="A527" s="13">
        <v>526.0</v>
      </c>
      <c r="B527" s="13" t="s">
        <v>2282</v>
      </c>
      <c r="C527" s="13" t="s">
        <v>2283</v>
      </c>
      <c r="D527" s="13" t="s">
        <v>18</v>
      </c>
      <c r="E527" s="13" t="s">
        <v>2284</v>
      </c>
      <c r="F527" s="13" t="s">
        <v>2285</v>
      </c>
      <c r="G527" s="13" t="s">
        <v>235</v>
      </c>
      <c r="H527" s="13" t="s">
        <v>17</v>
      </c>
      <c r="I527" s="13">
        <v>77478.0</v>
      </c>
      <c r="J527" s="5" t="str">
        <f t="shared" si="1"/>
        <v>Lazaro Moran</v>
      </c>
    </row>
    <row r="528">
      <c r="A528" s="13">
        <v>527.0</v>
      </c>
      <c r="B528" s="13" t="s">
        <v>2286</v>
      </c>
      <c r="C528" s="13" t="s">
        <v>1252</v>
      </c>
      <c r="D528" s="13" t="s">
        <v>18</v>
      </c>
      <c r="E528" s="13" t="s">
        <v>2287</v>
      </c>
      <c r="F528" s="13" t="s">
        <v>2288</v>
      </c>
      <c r="G528" s="13" t="s">
        <v>86</v>
      </c>
      <c r="H528" s="13" t="s">
        <v>16</v>
      </c>
      <c r="I528" s="13">
        <v>11727.0</v>
      </c>
      <c r="J528" s="5" t="str">
        <f t="shared" si="1"/>
        <v>Afton Juarez</v>
      </c>
    </row>
    <row r="529">
      <c r="A529" s="13">
        <v>528.0</v>
      </c>
      <c r="B529" s="13" t="s">
        <v>2289</v>
      </c>
      <c r="C529" s="13" t="s">
        <v>2290</v>
      </c>
      <c r="D529" s="13" t="s">
        <v>2291</v>
      </c>
      <c r="E529" s="13" t="s">
        <v>2292</v>
      </c>
      <c r="F529" s="13" t="s">
        <v>2293</v>
      </c>
      <c r="G529" s="13" t="s">
        <v>170</v>
      </c>
      <c r="H529" s="13" t="s">
        <v>16</v>
      </c>
      <c r="I529" s="13">
        <v>10956.0</v>
      </c>
      <c r="J529" s="5" t="str">
        <f t="shared" si="1"/>
        <v>Angele Schroeder</v>
      </c>
    </row>
    <row r="530">
      <c r="A530" s="13">
        <v>529.0</v>
      </c>
      <c r="B530" s="13" t="s">
        <v>2294</v>
      </c>
      <c r="C530" s="13" t="s">
        <v>2295</v>
      </c>
      <c r="D530" s="13" t="s">
        <v>18</v>
      </c>
      <c r="E530" s="13" t="s">
        <v>2296</v>
      </c>
      <c r="F530" s="13" t="s">
        <v>2297</v>
      </c>
      <c r="G530" s="13" t="s">
        <v>222</v>
      </c>
      <c r="H530" s="13" t="s">
        <v>15</v>
      </c>
      <c r="I530" s="13">
        <v>90403.0</v>
      </c>
      <c r="J530" s="5" t="str">
        <f t="shared" si="1"/>
        <v>Ellena Clements</v>
      </c>
    </row>
    <row r="531">
      <c r="A531" s="13">
        <v>530.0</v>
      </c>
      <c r="B531" s="13" t="s">
        <v>2298</v>
      </c>
      <c r="C531" s="13" t="s">
        <v>2299</v>
      </c>
      <c r="D531" s="13" t="s">
        <v>18</v>
      </c>
      <c r="E531" s="13" t="s">
        <v>2300</v>
      </c>
      <c r="F531" s="13" t="s">
        <v>2301</v>
      </c>
      <c r="G531" s="13" t="s">
        <v>98</v>
      </c>
      <c r="H531" s="13" t="s">
        <v>15</v>
      </c>
      <c r="I531" s="13">
        <v>91010.0</v>
      </c>
      <c r="J531" s="5" t="str">
        <f t="shared" si="1"/>
        <v>Selene Austin</v>
      </c>
    </row>
    <row r="532">
      <c r="A532" s="13">
        <v>531.0</v>
      </c>
      <c r="B532" s="13" t="s">
        <v>2302</v>
      </c>
      <c r="C532" s="13" t="s">
        <v>2303</v>
      </c>
      <c r="D532" s="13" t="s">
        <v>2304</v>
      </c>
      <c r="E532" s="13" t="s">
        <v>2305</v>
      </c>
      <c r="F532" s="13" t="s">
        <v>2306</v>
      </c>
      <c r="G532" s="13" t="s">
        <v>240</v>
      </c>
      <c r="H532" s="13" t="s">
        <v>16</v>
      </c>
      <c r="I532" s="13">
        <v>12180.0</v>
      </c>
      <c r="J532" s="5" t="str">
        <f t="shared" si="1"/>
        <v>Kimberely Bowen</v>
      </c>
    </row>
    <row r="533">
      <c r="A533" s="13">
        <v>532.0</v>
      </c>
      <c r="B533" s="13" t="s">
        <v>2307</v>
      </c>
      <c r="C533" s="13" t="s">
        <v>2308</v>
      </c>
      <c r="D533" s="13" t="s">
        <v>18</v>
      </c>
      <c r="E533" s="13" t="s">
        <v>2309</v>
      </c>
      <c r="F533" s="13" t="s">
        <v>2310</v>
      </c>
      <c r="G533" s="13" t="s">
        <v>80</v>
      </c>
      <c r="H533" s="13" t="s">
        <v>15</v>
      </c>
      <c r="I533" s="13">
        <v>92236.0</v>
      </c>
      <c r="J533" s="5" t="str">
        <f t="shared" si="1"/>
        <v>Mia Delgado</v>
      </c>
    </row>
    <row r="534">
      <c r="A534" s="13">
        <v>533.0</v>
      </c>
      <c r="B534" s="13" t="s">
        <v>2311</v>
      </c>
      <c r="C534" s="13" t="s">
        <v>2312</v>
      </c>
      <c r="D534" s="13" t="s">
        <v>2313</v>
      </c>
      <c r="E534" s="13" t="s">
        <v>2314</v>
      </c>
      <c r="F534" s="13" t="s">
        <v>2315</v>
      </c>
      <c r="G534" s="13" t="s">
        <v>90</v>
      </c>
      <c r="H534" s="13" t="s">
        <v>17</v>
      </c>
      <c r="I534" s="13">
        <v>78418.0</v>
      </c>
      <c r="J534" s="5" t="str">
        <f t="shared" si="1"/>
        <v>Garret Clay</v>
      </c>
    </row>
    <row r="535">
      <c r="A535" s="13">
        <v>534.0</v>
      </c>
      <c r="B535" s="13" t="s">
        <v>2316</v>
      </c>
      <c r="C535" s="13" t="s">
        <v>2317</v>
      </c>
      <c r="D535" s="13" t="s">
        <v>18</v>
      </c>
      <c r="E535" s="13" t="s">
        <v>2318</v>
      </c>
      <c r="F535" s="13" t="s">
        <v>2319</v>
      </c>
      <c r="G535" s="13" t="s">
        <v>247</v>
      </c>
      <c r="H535" s="13" t="s">
        <v>16</v>
      </c>
      <c r="I535" s="13">
        <v>11793.0</v>
      </c>
      <c r="J535" s="5" t="str">
        <f t="shared" si="1"/>
        <v>Alejandro Haney</v>
      </c>
    </row>
    <row r="536">
      <c r="A536" s="13">
        <v>535.0</v>
      </c>
      <c r="B536" s="13" t="s">
        <v>2320</v>
      </c>
      <c r="C536" s="13" t="s">
        <v>2321</v>
      </c>
      <c r="D536" s="13" t="s">
        <v>2322</v>
      </c>
      <c r="E536" s="13" t="s">
        <v>2323</v>
      </c>
      <c r="F536" s="13" t="s">
        <v>2324</v>
      </c>
      <c r="G536" s="13" t="s">
        <v>154</v>
      </c>
      <c r="H536" s="13" t="s">
        <v>16</v>
      </c>
      <c r="I536" s="13">
        <v>11561.0</v>
      </c>
      <c r="J536" s="5" t="str">
        <f t="shared" si="1"/>
        <v>Inge Olsen</v>
      </c>
    </row>
    <row r="537">
      <c r="A537" s="13">
        <v>536.0</v>
      </c>
      <c r="B537" s="13" t="s">
        <v>2325</v>
      </c>
      <c r="C537" s="13" t="s">
        <v>2326</v>
      </c>
      <c r="D537" s="13" t="s">
        <v>18</v>
      </c>
      <c r="E537" s="13" t="s">
        <v>2327</v>
      </c>
      <c r="F537" s="13" t="s">
        <v>2328</v>
      </c>
      <c r="G537" s="13" t="s">
        <v>182</v>
      </c>
      <c r="H537" s="13" t="s">
        <v>16</v>
      </c>
      <c r="I537" s="13">
        <v>14127.0</v>
      </c>
      <c r="J537" s="5" t="str">
        <f t="shared" si="1"/>
        <v>Christiane Bradford</v>
      </c>
    </row>
    <row r="538">
      <c r="A538" s="13">
        <v>537.0</v>
      </c>
      <c r="B538" s="13" t="s">
        <v>443</v>
      </c>
      <c r="C538" s="13" t="s">
        <v>2329</v>
      </c>
      <c r="D538" s="13" t="s">
        <v>18</v>
      </c>
      <c r="E538" s="13" t="s">
        <v>2330</v>
      </c>
      <c r="F538" s="13" t="s">
        <v>2331</v>
      </c>
      <c r="G538" s="13" t="s">
        <v>72</v>
      </c>
      <c r="H538" s="13" t="s">
        <v>16</v>
      </c>
      <c r="I538" s="13">
        <v>10512.0</v>
      </c>
      <c r="J538" s="5" t="str">
        <f t="shared" si="1"/>
        <v>Carter Bentley</v>
      </c>
    </row>
    <row r="539">
      <c r="A539" s="13">
        <v>538.0</v>
      </c>
      <c r="B539" s="13" t="s">
        <v>2332</v>
      </c>
      <c r="C539" s="13" t="s">
        <v>2333</v>
      </c>
      <c r="D539" s="13" t="s">
        <v>18</v>
      </c>
      <c r="E539" s="13" t="s">
        <v>2334</v>
      </c>
      <c r="F539" s="13" t="s">
        <v>2335</v>
      </c>
      <c r="G539" s="13" t="s">
        <v>229</v>
      </c>
      <c r="H539" s="13" t="s">
        <v>15</v>
      </c>
      <c r="I539" s="13">
        <v>91733.0</v>
      </c>
      <c r="J539" s="5" t="str">
        <f t="shared" si="1"/>
        <v>Sherie Ayala</v>
      </c>
    </row>
    <row r="540">
      <c r="A540" s="13">
        <v>539.0</v>
      </c>
      <c r="B540" s="13" t="s">
        <v>2336</v>
      </c>
      <c r="C540" s="13" t="s">
        <v>2337</v>
      </c>
      <c r="D540" s="13" t="s">
        <v>18</v>
      </c>
      <c r="E540" s="13" t="s">
        <v>2338</v>
      </c>
      <c r="F540" s="13" t="s">
        <v>2339</v>
      </c>
      <c r="G540" s="13" t="s">
        <v>186</v>
      </c>
      <c r="H540" s="13" t="s">
        <v>16</v>
      </c>
      <c r="I540" s="13">
        <v>11417.0</v>
      </c>
      <c r="J540" s="5" t="str">
        <f t="shared" si="1"/>
        <v>Jamika Acevedo</v>
      </c>
    </row>
    <row r="541">
      <c r="A541" s="13">
        <v>540.0</v>
      </c>
      <c r="B541" s="13" t="s">
        <v>2340</v>
      </c>
      <c r="C541" s="13" t="s">
        <v>1385</v>
      </c>
      <c r="D541" s="13" t="s">
        <v>18</v>
      </c>
      <c r="E541" s="13" t="s">
        <v>2341</v>
      </c>
      <c r="F541" s="13" t="s">
        <v>2342</v>
      </c>
      <c r="G541" s="13" t="s">
        <v>181</v>
      </c>
      <c r="H541" s="13" t="s">
        <v>15</v>
      </c>
      <c r="I541" s="13">
        <v>91762.0</v>
      </c>
      <c r="J541" s="5" t="str">
        <f t="shared" si="1"/>
        <v>Shery Randolph</v>
      </c>
    </row>
    <row r="542">
      <c r="A542" s="13">
        <v>541.0</v>
      </c>
      <c r="B542" s="13" t="s">
        <v>2343</v>
      </c>
      <c r="C542" s="13" t="s">
        <v>2344</v>
      </c>
      <c r="D542" s="13" t="s">
        <v>18</v>
      </c>
      <c r="E542" s="13" t="s">
        <v>2345</v>
      </c>
      <c r="F542" s="13" t="s">
        <v>2346</v>
      </c>
      <c r="G542" s="13" t="s">
        <v>80</v>
      </c>
      <c r="H542" s="13" t="s">
        <v>15</v>
      </c>
      <c r="I542" s="13">
        <v>92236.0</v>
      </c>
      <c r="J542" s="5" t="str">
        <f t="shared" si="1"/>
        <v>Lanita Burton</v>
      </c>
    </row>
    <row r="543">
      <c r="A543" s="13">
        <v>542.0</v>
      </c>
      <c r="B543" s="13" t="s">
        <v>2347</v>
      </c>
      <c r="C543" s="13" t="s">
        <v>839</v>
      </c>
      <c r="D543" s="13" t="s">
        <v>18</v>
      </c>
      <c r="E543" s="13" t="s">
        <v>2348</v>
      </c>
      <c r="F543" s="13" t="s">
        <v>2349</v>
      </c>
      <c r="G543" s="13" t="s">
        <v>208</v>
      </c>
      <c r="H543" s="13" t="s">
        <v>16</v>
      </c>
      <c r="I543" s="13">
        <v>11779.0</v>
      </c>
      <c r="J543" s="5" t="str">
        <f t="shared" si="1"/>
        <v>Timothy Byers</v>
      </c>
    </row>
    <row r="544">
      <c r="A544" s="13">
        <v>543.0</v>
      </c>
      <c r="B544" s="13" t="s">
        <v>2350</v>
      </c>
      <c r="C544" s="13" t="s">
        <v>2180</v>
      </c>
      <c r="D544" s="13" t="s">
        <v>18</v>
      </c>
      <c r="E544" s="13" t="s">
        <v>2351</v>
      </c>
      <c r="F544" s="13" t="s">
        <v>2352</v>
      </c>
      <c r="G544" s="13" t="s">
        <v>132</v>
      </c>
      <c r="H544" s="13" t="s">
        <v>17</v>
      </c>
      <c r="I544" s="13">
        <v>78023.0</v>
      </c>
      <c r="J544" s="5" t="str">
        <f t="shared" si="1"/>
        <v>Jasmin Young</v>
      </c>
    </row>
    <row r="545">
      <c r="A545" s="13">
        <v>544.0</v>
      </c>
      <c r="B545" s="13" t="s">
        <v>2353</v>
      </c>
      <c r="C545" s="13" t="s">
        <v>2354</v>
      </c>
      <c r="D545" s="13" t="s">
        <v>18</v>
      </c>
      <c r="E545" s="13" t="s">
        <v>2355</v>
      </c>
      <c r="F545" s="13" t="s">
        <v>2356</v>
      </c>
      <c r="G545" s="13" t="s">
        <v>252</v>
      </c>
      <c r="H545" s="13" t="s">
        <v>16</v>
      </c>
      <c r="I545" s="13">
        <v>11795.0</v>
      </c>
      <c r="J545" s="5" t="str">
        <f t="shared" si="1"/>
        <v>Catarina Mendez</v>
      </c>
    </row>
    <row r="546">
      <c r="A546" s="13">
        <v>545.0</v>
      </c>
      <c r="B546" s="13" t="s">
        <v>2357</v>
      </c>
      <c r="C546" s="13" t="s">
        <v>1618</v>
      </c>
      <c r="D546" s="13" t="s">
        <v>18</v>
      </c>
      <c r="E546" s="13" t="s">
        <v>2358</v>
      </c>
      <c r="F546" s="13" t="s">
        <v>2359</v>
      </c>
      <c r="G546" s="13" t="s">
        <v>184</v>
      </c>
      <c r="H546" s="13" t="s">
        <v>16</v>
      </c>
      <c r="I546" s="13">
        <v>13126.0</v>
      </c>
      <c r="J546" s="5" t="str">
        <f t="shared" si="1"/>
        <v>Tajuana Rollins</v>
      </c>
    </row>
    <row r="547">
      <c r="A547" s="13">
        <v>546.0</v>
      </c>
      <c r="B547" s="13" t="s">
        <v>2360</v>
      </c>
      <c r="C547" s="13" t="s">
        <v>2361</v>
      </c>
      <c r="D547" s="13" t="s">
        <v>2362</v>
      </c>
      <c r="E547" s="13" t="s">
        <v>2363</v>
      </c>
      <c r="F547" s="13" t="s">
        <v>2364</v>
      </c>
      <c r="G547" s="13" t="s">
        <v>58</v>
      </c>
      <c r="H547" s="13" t="s">
        <v>16</v>
      </c>
      <c r="I547" s="13">
        <v>11717.0</v>
      </c>
      <c r="J547" s="5" t="str">
        <f t="shared" si="1"/>
        <v>Thad Castro</v>
      </c>
    </row>
    <row r="548">
      <c r="A548" s="13">
        <v>547.0</v>
      </c>
      <c r="B548" s="13" t="s">
        <v>640</v>
      </c>
      <c r="C548" s="13" t="s">
        <v>2365</v>
      </c>
      <c r="D548" s="13" t="s">
        <v>18</v>
      </c>
      <c r="E548" s="13" t="s">
        <v>2366</v>
      </c>
      <c r="F548" s="13" t="s">
        <v>2367</v>
      </c>
      <c r="G548" s="13" t="s">
        <v>175</v>
      </c>
      <c r="H548" s="13" t="s">
        <v>16</v>
      </c>
      <c r="I548" s="13">
        <v>12550.0</v>
      </c>
      <c r="J548" s="5" t="str">
        <f t="shared" si="1"/>
        <v>Tena Huber</v>
      </c>
    </row>
    <row r="549">
      <c r="A549" s="13">
        <v>548.0</v>
      </c>
      <c r="B549" s="13" t="s">
        <v>2368</v>
      </c>
      <c r="C549" s="13" t="s">
        <v>1552</v>
      </c>
      <c r="D549" s="13" t="s">
        <v>18</v>
      </c>
      <c r="E549" s="13" t="s">
        <v>2369</v>
      </c>
      <c r="F549" s="13" t="s">
        <v>2370</v>
      </c>
      <c r="G549" s="13" t="s">
        <v>146</v>
      </c>
      <c r="H549" s="13" t="s">
        <v>16</v>
      </c>
      <c r="I549" s="13">
        <v>12401.0</v>
      </c>
      <c r="J549" s="5" t="str">
        <f t="shared" si="1"/>
        <v>Dori Alvarez</v>
      </c>
    </row>
    <row r="550">
      <c r="A550" s="13">
        <v>549.0</v>
      </c>
      <c r="B550" s="13" t="s">
        <v>2371</v>
      </c>
      <c r="C550" s="13" t="s">
        <v>2372</v>
      </c>
      <c r="D550" s="13" t="s">
        <v>2373</v>
      </c>
      <c r="E550" s="13" t="s">
        <v>2374</v>
      </c>
      <c r="F550" s="13" t="s">
        <v>2375</v>
      </c>
      <c r="G550" s="13" t="s">
        <v>154</v>
      </c>
      <c r="H550" s="13" t="s">
        <v>16</v>
      </c>
      <c r="I550" s="13">
        <v>11561.0</v>
      </c>
      <c r="J550" s="5" t="str">
        <f t="shared" si="1"/>
        <v>Elmo Arnold</v>
      </c>
    </row>
    <row r="551">
      <c r="A551" s="13">
        <v>550.0</v>
      </c>
      <c r="B551" s="13" t="s">
        <v>2376</v>
      </c>
      <c r="C551" s="13" t="s">
        <v>398</v>
      </c>
      <c r="D551" s="13" t="s">
        <v>18</v>
      </c>
      <c r="E551" s="13" t="s">
        <v>2377</v>
      </c>
      <c r="F551" s="13" t="s">
        <v>2378</v>
      </c>
      <c r="G551" s="13" t="s">
        <v>153</v>
      </c>
      <c r="H551" s="13" t="s">
        <v>16</v>
      </c>
      <c r="I551" s="13">
        <v>14094.0</v>
      </c>
      <c r="J551" s="5" t="str">
        <f t="shared" si="1"/>
        <v>Felicidad Golden</v>
      </c>
    </row>
    <row r="552">
      <c r="A552" s="13">
        <v>551.0</v>
      </c>
      <c r="B552" s="13" t="s">
        <v>2379</v>
      </c>
      <c r="C552" s="13" t="s">
        <v>2380</v>
      </c>
      <c r="D552" s="13" t="s">
        <v>2381</v>
      </c>
      <c r="E552" s="13" t="s">
        <v>2382</v>
      </c>
      <c r="F552" s="13" t="s">
        <v>2383</v>
      </c>
      <c r="G552" s="13" t="s">
        <v>120</v>
      </c>
      <c r="H552" s="13" t="s">
        <v>17</v>
      </c>
      <c r="I552" s="13">
        <v>76110.0</v>
      </c>
      <c r="J552" s="5" t="str">
        <f t="shared" si="1"/>
        <v>Jenine Crane</v>
      </c>
    </row>
    <row r="553">
      <c r="A553" s="13">
        <v>552.0</v>
      </c>
      <c r="B553" s="13" t="s">
        <v>2384</v>
      </c>
      <c r="C553" s="13" t="s">
        <v>2385</v>
      </c>
      <c r="D553" s="13" t="s">
        <v>18</v>
      </c>
      <c r="E553" s="13" t="s">
        <v>2386</v>
      </c>
      <c r="F553" s="13" t="s">
        <v>2387</v>
      </c>
      <c r="G553" s="13" t="s">
        <v>48</v>
      </c>
      <c r="H553" s="13" t="s">
        <v>15</v>
      </c>
      <c r="I553" s="13">
        <v>92220.0</v>
      </c>
      <c r="J553" s="5" t="str">
        <f t="shared" si="1"/>
        <v>Lea Key</v>
      </c>
    </row>
    <row r="554">
      <c r="A554" s="13">
        <v>553.0</v>
      </c>
      <c r="B554" s="13" t="s">
        <v>2388</v>
      </c>
      <c r="C554" s="13" t="s">
        <v>1715</v>
      </c>
      <c r="D554" s="13" t="s">
        <v>18</v>
      </c>
      <c r="E554" s="13" t="s">
        <v>2389</v>
      </c>
      <c r="F554" s="13" t="s">
        <v>2390</v>
      </c>
      <c r="G554" s="13" t="s">
        <v>205</v>
      </c>
      <c r="H554" s="13" t="s">
        <v>15</v>
      </c>
      <c r="I554" s="13">
        <v>95677.0</v>
      </c>
      <c r="J554" s="5" t="str">
        <f t="shared" si="1"/>
        <v>Rory Cooper</v>
      </c>
    </row>
    <row r="555">
      <c r="A555" s="13">
        <v>554.0</v>
      </c>
      <c r="B555" s="13" t="s">
        <v>2391</v>
      </c>
      <c r="C555" s="13" t="s">
        <v>1944</v>
      </c>
      <c r="D555" s="13" t="s">
        <v>18</v>
      </c>
      <c r="E555" s="13" t="s">
        <v>2392</v>
      </c>
      <c r="F555" s="13" t="s">
        <v>2393</v>
      </c>
      <c r="G555" s="13" t="s">
        <v>66</v>
      </c>
      <c r="H555" s="13" t="s">
        <v>15</v>
      </c>
      <c r="I555" s="13">
        <v>95008.0</v>
      </c>
      <c r="J555" s="5" t="str">
        <f t="shared" si="1"/>
        <v>Hilde Nieves</v>
      </c>
    </row>
    <row r="556">
      <c r="A556" s="13">
        <v>555.0</v>
      </c>
      <c r="B556" s="13" t="s">
        <v>2394</v>
      </c>
      <c r="C556" s="13" t="s">
        <v>2395</v>
      </c>
      <c r="D556" s="13" t="s">
        <v>18</v>
      </c>
      <c r="E556" s="13" t="s">
        <v>2396</v>
      </c>
      <c r="F556" s="13" t="s">
        <v>2397</v>
      </c>
      <c r="G556" s="13" t="s">
        <v>119</v>
      </c>
      <c r="H556" s="13" t="s">
        <v>17</v>
      </c>
      <c r="I556" s="13">
        <v>75126.0</v>
      </c>
      <c r="J556" s="5" t="str">
        <f t="shared" si="1"/>
        <v>Marry Benjamin</v>
      </c>
    </row>
    <row r="557">
      <c r="A557" s="13">
        <v>556.0</v>
      </c>
      <c r="B557" s="13" t="s">
        <v>2398</v>
      </c>
      <c r="C557" s="13" t="s">
        <v>583</v>
      </c>
      <c r="D557" s="13" t="s">
        <v>18</v>
      </c>
      <c r="E557" s="13" t="s">
        <v>2399</v>
      </c>
      <c r="F557" s="13" t="s">
        <v>2400</v>
      </c>
      <c r="G557" s="13" t="s">
        <v>165</v>
      </c>
      <c r="H557" s="13" t="s">
        <v>16</v>
      </c>
      <c r="I557" s="13">
        <v>10950.0</v>
      </c>
      <c r="J557" s="5" t="str">
        <f t="shared" si="1"/>
        <v>Vernell Goff</v>
      </c>
    </row>
    <row r="558">
      <c r="A558" s="13">
        <v>557.0</v>
      </c>
      <c r="B558" s="13" t="s">
        <v>2401</v>
      </c>
      <c r="C558" s="13" t="s">
        <v>2402</v>
      </c>
      <c r="D558" s="13" t="s">
        <v>18</v>
      </c>
      <c r="E558" s="13" t="s">
        <v>2403</v>
      </c>
      <c r="F558" s="13" t="s">
        <v>2404</v>
      </c>
      <c r="G558" s="13" t="s">
        <v>167</v>
      </c>
      <c r="H558" s="13" t="s">
        <v>16</v>
      </c>
      <c r="I558" s="13">
        <v>10550.0</v>
      </c>
      <c r="J558" s="5" t="str">
        <f t="shared" si="1"/>
        <v>Erlene Cook</v>
      </c>
    </row>
    <row r="559">
      <c r="A559" s="13">
        <v>558.0</v>
      </c>
      <c r="B559" s="13" t="s">
        <v>1500</v>
      </c>
      <c r="C559" s="13" t="s">
        <v>2405</v>
      </c>
      <c r="D559" s="13" t="s">
        <v>18</v>
      </c>
      <c r="E559" s="13" t="s">
        <v>2406</v>
      </c>
      <c r="F559" s="13" t="s">
        <v>2407</v>
      </c>
      <c r="G559" s="13" t="s">
        <v>165</v>
      </c>
      <c r="H559" s="13" t="s">
        <v>16</v>
      </c>
      <c r="I559" s="13">
        <v>10950.0</v>
      </c>
      <c r="J559" s="5" t="str">
        <f t="shared" si="1"/>
        <v>Carroll Kelly</v>
      </c>
    </row>
    <row r="560">
      <c r="A560" s="13">
        <v>559.0</v>
      </c>
      <c r="B560" s="13" t="s">
        <v>2408</v>
      </c>
      <c r="C560" s="13" t="s">
        <v>2409</v>
      </c>
      <c r="D560" s="13" t="s">
        <v>2410</v>
      </c>
      <c r="E560" s="13" t="s">
        <v>2411</v>
      </c>
      <c r="F560" s="13" t="s">
        <v>2412</v>
      </c>
      <c r="G560" s="13" t="s">
        <v>58</v>
      </c>
      <c r="H560" s="13" t="s">
        <v>16</v>
      </c>
      <c r="I560" s="13">
        <v>11717.0</v>
      </c>
      <c r="J560" s="5" t="str">
        <f t="shared" si="1"/>
        <v>Basilia Thornton</v>
      </c>
    </row>
    <row r="561">
      <c r="A561" s="13">
        <v>560.0</v>
      </c>
      <c r="B561" s="13" t="s">
        <v>2413</v>
      </c>
      <c r="C561" s="13" t="s">
        <v>2414</v>
      </c>
      <c r="D561" s="13" t="s">
        <v>18</v>
      </c>
      <c r="E561" s="13" t="s">
        <v>2415</v>
      </c>
      <c r="F561" s="13" t="s">
        <v>2416</v>
      </c>
      <c r="G561" s="13" t="s">
        <v>119</v>
      </c>
      <c r="H561" s="13" t="s">
        <v>17</v>
      </c>
      <c r="I561" s="13">
        <v>75126.0</v>
      </c>
      <c r="J561" s="5" t="str">
        <f t="shared" si="1"/>
        <v>Tricia Daniels</v>
      </c>
    </row>
    <row r="562">
      <c r="A562" s="13">
        <v>561.0</v>
      </c>
      <c r="B562" s="13" t="s">
        <v>1670</v>
      </c>
      <c r="C562" s="13" t="s">
        <v>2417</v>
      </c>
      <c r="D562" s="13" t="s">
        <v>18</v>
      </c>
      <c r="E562" s="13" t="s">
        <v>2418</v>
      </c>
      <c r="F562" s="13" t="s">
        <v>2419</v>
      </c>
      <c r="G562" s="13" t="s">
        <v>218</v>
      </c>
      <c r="H562" s="13" t="s">
        <v>15</v>
      </c>
      <c r="I562" s="13">
        <v>94580.0</v>
      </c>
      <c r="J562" s="5" t="str">
        <f t="shared" si="1"/>
        <v>Kandace Hughes</v>
      </c>
    </row>
    <row r="563">
      <c r="A563" s="13">
        <v>562.0</v>
      </c>
      <c r="B563" s="13" t="s">
        <v>2316</v>
      </c>
      <c r="C563" s="13" t="s">
        <v>2420</v>
      </c>
      <c r="D563" s="13" t="s">
        <v>18</v>
      </c>
      <c r="E563" s="13" t="s">
        <v>2421</v>
      </c>
      <c r="F563" s="13" t="s">
        <v>2422</v>
      </c>
      <c r="G563" s="13" t="s">
        <v>242</v>
      </c>
      <c r="H563" s="13" t="s">
        <v>15</v>
      </c>
      <c r="I563" s="13">
        <v>91784.0</v>
      </c>
      <c r="J563" s="5" t="str">
        <f t="shared" si="1"/>
        <v>Alejandro Norman</v>
      </c>
    </row>
    <row r="564">
      <c r="A564" s="13">
        <v>563.0</v>
      </c>
      <c r="B564" s="13" t="s">
        <v>2423</v>
      </c>
      <c r="C564" s="13" t="s">
        <v>883</v>
      </c>
      <c r="D564" s="13" t="s">
        <v>18</v>
      </c>
      <c r="E564" s="13" t="s">
        <v>2424</v>
      </c>
      <c r="F564" s="13" t="s">
        <v>2425</v>
      </c>
      <c r="G564" s="13" t="s">
        <v>202</v>
      </c>
      <c r="H564" s="13" t="s">
        <v>16</v>
      </c>
      <c r="I564" s="13">
        <v>11418.0</v>
      </c>
      <c r="J564" s="5" t="str">
        <f t="shared" si="1"/>
        <v>Rodney Odom</v>
      </c>
    </row>
    <row r="565">
      <c r="A565" s="13">
        <v>564.0</v>
      </c>
      <c r="B565" s="13" t="s">
        <v>1556</v>
      </c>
      <c r="C565" s="13" t="s">
        <v>2426</v>
      </c>
      <c r="D565" s="13" t="s">
        <v>18</v>
      </c>
      <c r="E565" s="13" t="s">
        <v>2427</v>
      </c>
      <c r="F565" s="13" t="s">
        <v>2428</v>
      </c>
      <c r="G565" s="13" t="s">
        <v>115</v>
      </c>
      <c r="H565" s="13" t="s">
        <v>16</v>
      </c>
      <c r="I565" s="13">
        <v>11735.0</v>
      </c>
      <c r="J565" s="5" t="str">
        <f t="shared" si="1"/>
        <v>Bettie Pierce</v>
      </c>
    </row>
    <row r="566">
      <c r="A566" s="13">
        <v>565.0</v>
      </c>
      <c r="B566" s="13" t="s">
        <v>2429</v>
      </c>
      <c r="C566" s="13" t="s">
        <v>2430</v>
      </c>
      <c r="D566" s="13" t="s">
        <v>18</v>
      </c>
      <c r="E566" s="13" t="s">
        <v>2431</v>
      </c>
      <c r="F566" s="13" t="s">
        <v>2432</v>
      </c>
      <c r="G566" s="13" t="s">
        <v>213</v>
      </c>
      <c r="H566" s="13" t="s">
        <v>17</v>
      </c>
      <c r="I566" s="13">
        <v>76901.0</v>
      </c>
      <c r="J566" s="5" t="str">
        <f t="shared" si="1"/>
        <v>Dagny Owen</v>
      </c>
    </row>
    <row r="567">
      <c r="A567" s="13">
        <v>566.0</v>
      </c>
      <c r="B567" s="13" t="s">
        <v>2433</v>
      </c>
      <c r="C567" s="13" t="s">
        <v>2434</v>
      </c>
      <c r="D567" s="13" t="s">
        <v>18</v>
      </c>
      <c r="E567" s="13" t="s">
        <v>2435</v>
      </c>
      <c r="F567" s="13" t="s">
        <v>2436</v>
      </c>
      <c r="G567" s="13" t="s">
        <v>147</v>
      </c>
      <c r="H567" s="13" t="s">
        <v>17</v>
      </c>
      <c r="I567" s="13">
        <v>77566.0</v>
      </c>
      <c r="J567" s="5" t="str">
        <f t="shared" si="1"/>
        <v>Cinthia Poole</v>
      </c>
    </row>
    <row r="568">
      <c r="A568" s="13">
        <v>567.0</v>
      </c>
      <c r="B568" s="13" t="s">
        <v>2437</v>
      </c>
      <c r="C568" s="13" t="s">
        <v>2168</v>
      </c>
      <c r="D568" s="13" t="s">
        <v>18</v>
      </c>
      <c r="E568" s="13" t="s">
        <v>2438</v>
      </c>
      <c r="F568" s="13" t="s">
        <v>2439</v>
      </c>
      <c r="G568" s="13" t="s">
        <v>155</v>
      </c>
      <c r="H568" s="13" t="s">
        <v>17</v>
      </c>
      <c r="I568" s="13">
        <v>75604.0</v>
      </c>
      <c r="J568" s="5" t="str">
        <f t="shared" si="1"/>
        <v>Sheila Travis</v>
      </c>
    </row>
    <row r="569">
      <c r="A569" s="13">
        <v>568.0</v>
      </c>
      <c r="B569" s="13" t="s">
        <v>2440</v>
      </c>
      <c r="C569" s="13" t="s">
        <v>738</v>
      </c>
      <c r="D569" s="13" t="s">
        <v>18</v>
      </c>
      <c r="E569" s="13" t="s">
        <v>2441</v>
      </c>
      <c r="F569" s="13" t="s">
        <v>2442</v>
      </c>
      <c r="G569" s="13" t="s">
        <v>252</v>
      </c>
      <c r="H569" s="13" t="s">
        <v>16</v>
      </c>
      <c r="I569" s="13">
        <v>11795.0</v>
      </c>
      <c r="J569" s="5" t="str">
        <f t="shared" si="1"/>
        <v>Arcelia Vinson</v>
      </c>
    </row>
    <row r="570">
      <c r="A570" s="13">
        <v>569.0</v>
      </c>
      <c r="B570" s="13" t="s">
        <v>2443</v>
      </c>
      <c r="C570" s="13" t="s">
        <v>1183</v>
      </c>
      <c r="D570" s="13" t="s">
        <v>18</v>
      </c>
      <c r="E570" s="13" t="s">
        <v>2444</v>
      </c>
      <c r="F570" s="13" t="s">
        <v>2445</v>
      </c>
      <c r="G570" s="13" t="s">
        <v>222</v>
      </c>
      <c r="H570" s="13" t="s">
        <v>15</v>
      </c>
      <c r="I570" s="13">
        <v>90403.0</v>
      </c>
      <c r="J570" s="5" t="str">
        <f t="shared" si="1"/>
        <v>Lucas Estes</v>
      </c>
    </row>
    <row r="571">
      <c r="A571" s="13">
        <v>570.0</v>
      </c>
      <c r="B571" s="13" t="s">
        <v>2446</v>
      </c>
      <c r="C571" s="13" t="s">
        <v>2084</v>
      </c>
      <c r="D571" s="13" t="s">
        <v>18</v>
      </c>
      <c r="E571" s="13" t="s">
        <v>2447</v>
      </c>
      <c r="F571" s="13" t="s">
        <v>2448</v>
      </c>
      <c r="G571" s="13" t="s">
        <v>212</v>
      </c>
      <c r="H571" s="13" t="s">
        <v>16</v>
      </c>
      <c r="I571" s="13">
        <v>11412.0</v>
      </c>
      <c r="J571" s="5" t="str">
        <f t="shared" si="1"/>
        <v>Marissa Summers</v>
      </c>
    </row>
    <row r="572">
      <c r="A572" s="13">
        <v>571.0</v>
      </c>
      <c r="B572" s="13" t="s">
        <v>2449</v>
      </c>
      <c r="C572" s="13" t="s">
        <v>2450</v>
      </c>
      <c r="D572" s="13" t="s">
        <v>18</v>
      </c>
      <c r="E572" s="13" t="s">
        <v>2451</v>
      </c>
      <c r="F572" s="13" t="s">
        <v>2452</v>
      </c>
      <c r="G572" s="13" t="s">
        <v>187</v>
      </c>
      <c r="H572" s="13" t="s">
        <v>15</v>
      </c>
      <c r="I572" s="13">
        <v>90274.0</v>
      </c>
      <c r="J572" s="5" t="str">
        <f t="shared" si="1"/>
        <v>Kaley Blanchard</v>
      </c>
    </row>
    <row r="573">
      <c r="A573" s="13">
        <v>572.0</v>
      </c>
      <c r="B573" s="13" t="s">
        <v>2453</v>
      </c>
      <c r="C573" s="13" t="s">
        <v>1167</v>
      </c>
      <c r="D573" s="13" t="s">
        <v>18</v>
      </c>
      <c r="E573" s="13" t="s">
        <v>2454</v>
      </c>
      <c r="F573" s="13" t="s">
        <v>2455</v>
      </c>
      <c r="G573" s="13" t="s">
        <v>38</v>
      </c>
      <c r="H573" s="13" t="s">
        <v>16</v>
      </c>
      <c r="I573" s="13">
        <v>13021.0</v>
      </c>
      <c r="J573" s="5" t="str">
        <f t="shared" si="1"/>
        <v>Wm Pope</v>
      </c>
    </row>
    <row r="574">
      <c r="A574" s="13">
        <v>573.0</v>
      </c>
      <c r="B574" s="13" t="s">
        <v>2456</v>
      </c>
      <c r="C574" s="13" t="s">
        <v>510</v>
      </c>
      <c r="D574" s="13" t="s">
        <v>2457</v>
      </c>
      <c r="E574" s="13" t="s">
        <v>2458</v>
      </c>
      <c r="F574" s="13" t="s">
        <v>2459</v>
      </c>
      <c r="G574" s="13" t="s">
        <v>240</v>
      </c>
      <c r="H574" s="13" t="s">
        <v>16</v>
      </c>
      <c r="I574" s="13">
        <v>12180.0</v>
      </c>
      <c r="J574" s="5" t="str">
        <f t="shared" si="1"/>
        <v>Rubye Mccall</v>
      </c>
    </row>
    <row r="575">
      <c r="A575" s="13">
        <v>574.0</v>
      </c>
      <c r="B575" s="13" t="s">
        <v>2460</v>
      </c>
      <c r="C575" s="13" t="s">
        <v>1175</v>
      </c>
      <c r="D575" s="13" t="s">
        <v>18</v>
      </c>
      <c r="E575" s="13" t="s">
        <v>2461</v>
      </c>
      <c r="F575" s="13" t="s">
        <v>2462</v>
      </c>
      <c r="G575" s="13" t="s">
        <v>110</v>
      </c>
      <c r="H575" s="13" t="s">
        <v>15</v>
      </c>
      <c r="I575" s="13">
        <v>91316.0</v>
      </c>
      <c r="J575" s="5" t="str">
        <f t="shared" si="1"/>
        <v>Adriene Rivera</v>
      </c>
    </row>
    <row r="576">
      <c r="A576" s="13">
        <v>575.0</v>
      </c>
      <c r="B576" s="13" t="s">
        <v>2463</v>
      </c>
      <c r="C576" s="13" t="s">
        <v>2464</v>
      </c>
      <c r="D576" s="13" t="s">
        <v>18</v>
      </c>
      <c r="E576" s="13" t="s">
        <v>2465</v>
      </c>
      <c r="F576" s="13" t="s">
        <v>2466</v>
      </c>
      <c r="G576" s="13" t="s">
        <v>144</v>
      </c>
      <c r="H576" s="13" t="s">
        <v>16</v>
      </c>
      <c r="I576" s="13">
        <v>11432.0</v>
      </c>
      <c r="J576" s="5" t="str">
        <f t="shared" si="1"/>
        <v>Laurence Christian</v>
      </c>
    </row>
    <row r="577">
      <c r="A577" s="13">
        <v>576.0</v>
      </c>
      <c r="B577" s="13" t="s">
        <v>2467</v>
      </c>
      <c r="C577" s="13" t="s">
        <v>506</v>
      </c>
      <c r="D577" s="13" t="s">
        <v>2468</v>
      </c>
      <c r="E577" s="13" t="s">
        <v>2469</v>
      </c>
      <c r="F577" s="13" t="s">
        <v>2470</v>
      </c>
      <c r="G577" s="13" t="s">
        <v>106</v>
      </c>
      <c r="H577" s="13" t="s">
        <v>17</v>
      </c>
      <c r="I577" s="13">
        <v>79930.0</v>
      </c>
      <c r="J577" s="5" t="str">
        <f t="shared" si="1"/>
        <v>Shirely Stanley</v>
      </c>
    </row>
    <row r="578">
      <c r="A578" s="13">
        <v>577.0</v>
      </c>
      <c r="B578" s="13" t="s">
        <v>2471</v>
      </c>
      <c r="C578" s="13" t="s">
        <v>2472</v>
      </c>
      <c r="D578" s="13" t="s">
        <v>18</v>
      </c>
      <c r="E578" s="13" t="s">
        <v>2473</v>
      </c>
      <c r="F578" s="13" t="s">
        <v>2474</v>
      </c>
      <c r="G578" s="13" t="s">
        <v>205</v>
      </c>
      <c r="H578" s="13" t="s">
        <v>15</v>
      </c>
      <c r="I578" s="13">
        <v>95677.0</v>
      </c>
      <c r="J578" s="5" t="str">
        <f t="shared" si="1"/>
        <v>Danille Mcfarland</v>
      </c>
    </row>
    <row r="579">
      <c r="A579" s="13">
        <v>578.0</v>
      </c>
      <c r="B579" s="13" t="s">
        <v>2475</v>
      </c>
      <c r="C579" s="13" t="s">
        <v>1390</v>
      </c>
      <c r="D579" s="13" t="s">
        <v>18</v>
      </c>
      <c r="E579" s="13" t="s">
        <v>2476</v>
      </c>
      <c r="F579" s="13" t="s">
        <v>2477</v>
      </c>
      <c r="G579" s="13" t="s">
        <v>218</v>
      </c>
      <c r="H579" s="13" t="s">
        <v>15</v>
      </c>
      <c r="I579" s="13">
        <v>94580.0</v>
      </c>
      <c r="J579" s="5" t="str">
        <f t="shared" si="1"/>
        <v>Salena Day</v>
      </c>
    </row>
    <row r="580">
      <c r="A580" s="13">
        <v>579.0</v>
      </c>
      <c r="B580" s="13" t="s">
        <v>2478</v>
      </c>
      <c r="C580" s="13" t="s">
        <v>930</v>
      </c>
      <c r="D580" s="13" t="s">
        <v>18</v>
      </c>
      <c r="E580" s="13" t="s">
        <v>2479</v>
      </c>
      <c r="F580" s="13" t="s">
        <v>2480</v>
      </c>
      <c r="G580" s="13" t="s">
        <v>131</v>
      </c>
      <c r="H580" s="13" t="s">
        <v>17</v>
      </c>
      <c r="I580" s="13">
        <v>78552.0</v>
      </c>
      <c r="J580" s="5" t="str">
        <f t="shared" si="1"/>
        <v>Matilda Larson</v>
      </c>
    </row>
    <row r="581">
      <c r="A581" s="13">
        <v>580.0</v>
      </c>
      <c r="B581" s="13" t="s">
        <v>1320</v>
      </c>
      <c r="C581" s="13" t="s">
        <v>1436</v>
      </c>
      <c r="D581" s="13" t="s">
        <v>2481</v>
      </c>
      <c r="E581" s="13" t="s">
        <v>2482</v>
      </c>
      <c r="F581" s="13" t="s">
        <v>2483</v>
      </c>
      <c r="G581" s="13" t="s">
        <v>156</v>
      </c>
      <c r="H581" s="13" t="s">
        <v>15</v>
      </c>
      <c r="I581" s="13">
        <v>90008.0</v>
      </c>
      <c r="J581" s="5" t="str">
        <f t="shared" si="1"/>
        <v>Mellisa Kim</v>
      </c>
    </row>
    <row r="582">
      <c r="A582" s="13">
        <v>581.0</v>
      </c>
      <c r="B582" s="13" t="s">
        <v>2484</v>
      </c>
      <c r="C582" s="13" t="s">
        <v>2485</v>
      </c>
      <c r="D582" s="13" t="s">
        <v>18</v>
      </c>
      <c r="E582" s="13" t="s">
        <v>2486</v>
      </c>
      <c r="F582" s="13" t="s">
        <v>2487</v>
      </c>
      <c r="G582" s="13" t="s">
        <v>220</v>
      </c>
      <c r="H582" s="13" t="s">
        <v>15</v>
      </c>
      <c r="I582" s="13">
        <v>95050.0</v>
      </c>
      <c r="J582" s="5" t="str">
        <f t="shared" si="1"/>
        <v>Vonda Berger</v>
      </c>
    </row>
    <row r="583">
      <c r="A583" s="13">
        <v>582.0</v>
      </c>
      <c r="B583" s="13" t="s">
        <v>2488</v>
      </c>
      <c r="C583" s="13" t="s">
        <v>1166</v>
      </c>
      <c r="D583" s="13" t="s">
        <v>18</v>
      </c>
      <c r="E583" s="13" t="s">
        <v>2489</v>
      </c>
      <c r="F583" s="13" t="s">
        <v>2490</v>
      </c>
      <c r="G583" s="13" t="s">
        <v>143</v>
      </c>
      <c r="H583" s="13" t="s">
        <v>16</v>
      </c>
      <c r="I583" s="13">
        <v>11372.0</v>
      </c>
      <c r="J583" s="5" t="str">
        <f t="shared" si="1"/>
        <v>Soledad Moses</v>
      </c>
    </row>
    <row r="584">
      <c r="A584" s="13">
        <v>583.0</v>
      </c>
      <c r="B584" s="13" t="s">
        <v>2491</v>
      </c>
      <c r="C584" s="13" t="s">
        <v>2492</v>
      </c>
      <c r="D584" s="13" t="s">
        <v>2493</v>
      </c>
      <c r="E584" s="13" t="s">
        <v>2494</v>
      </c>
      <c r="F584" s="13" t="s">
        <v>2495</v>
      </c>
      <c r="G584" s="13" t="s">
        <v>154</v>
      </c>
      <c r="H584" s="13" t="s">
        <v>16</v>
      </c>
      <c r="I584" s="13">
        <v>11561.0</v>
      </c>
      <c r="J584" s="5" t="str">
        <f t="shared" si="1"/>
        <v>Lashandra Turner</v>
      </c>
    </row>
    <row r="585">
      <c r="A585" s="13">
        <v>584.0</v>
      </c>
      <c r="B585" s="13" t="s">
        <v>2496</v>
      </c>
      <c r="C585" s="13" t="s">
        <v>1487</v>
      </c>
      <c r="D585" s="13" t="s">
        <v>2497</v>
      </c>
      <c r="E585" s="13" t="s">
        <v>2498</v>
      </c>
      <c r="F585" s="13" t="s">
        <v>2499</v>
      </c>
      <c r="G585" s="13" t="s">
        <v>106</v>
      </c>
      <c r="H585" s="13" t="s">
        <v>17</v>
      </c>
      <c r="I585" s="13">
        <v>79930.0</v>
      </c>
      <c r="J585" s="5" t="str">
        <f t="shared" si="1"/>
        <v>Lynne Anderson</v>
      </c>
    </row>
    <row r="586">
      <c r="A586" s="13">
        <v>585.0</v>
      </c>
      <c r="B586" s="13" t="s">
        <v>1995</v>
      </c>
      <c r="C586" s="13" t="s">
        <v>249</v>
      </c>
      <c r="D586" s="13" t="s">
        <v>18</v>
      </c>
      <c r="E586" s="13" t="s">
        <v>2500</v>
      </c>
      <c r="F586" s="13" t="s">
        <v>2501</v>
      </c>
      <c r="G586" s="13" t="s">
        <v>205</v>
      </c>
      <c r="H586" s="13" t="s">
        <v>15</v>
      </c>
      <c r="I586" s="13">
        <v>95677.0</v>
      </c>
      <c r="J586" s="5" t="str">
        <f t="shared" si="1"/>
        <v>Chasidy Webster</v>
      </c>
    </row>
    <row r="587">
      <c r="A587" s="13">
        <v>586.0</v>
      </c>
      <c r="B587" s="13" t="s">
        <v>2502</v>
      </c>
      <c r="C587" s="13" t="s">
        <v>2503</v>
      </c>
      <c r="D587" s="13" t="s">
        <v>18</v>
      </c>
      <c r="E587" s="13" t="s">
        <v>2504</v>
      </c>
      <c r="F587" s="13" t="s">
        <v>2505</v>
      </c>
      <c r="G587" s="13" t="s">
        <v>166</v>
      </c>
      <c r="H587" s="13" t="s">
        <v>16</v>
      </c>
      <c r="I587" s="13">
        <v>10952.0</v>
      </c>
      <c r="J587" s="5" t="str">
        <f t="shared" si="1"/>
        <v>Ulysses Gaines</v>
      </c>
    </row>
    <row r="588">
      <c r="A588" s="13">
        <v>587.0</v>
      </c>
      <c r="B588" s="13" t="s">
        <v>2506</v>
      </c>
      <c r="C588" s="13" t="s">
        <v>2507</v>
      </c>
      <c r="D588" s="13" t="s">
        <v>18</v>
      </c>
      <c r="E588" s="13" t="s">
        <v>2508</v>
      </c>
      <c r="F588" s="13" t="s">
        <v>2509</v>
      </c>
      <c r="G588" s="13" t="s">
        <v>72</v>
      </c>
      <c r="H588" s="13" t="s">
        <v>16</v>
      </c>
      <c r="I588" s="13">
        <v>10512.0</v>
      </c>
      <c r="J588" s="5" t="str">
        <f t="shared" si="1"/>
        <v>Euna Lopez</v>
      </c>
    </row>
    <row r="589">
      <c r="A589" s="13">
        <v>588.0</v>
      </c>
      <c r="B589" s="13" t="s">
        <v>2510</v>
      </c>
      <c r="C589" s="13" t="s">
        <v>2385</v>
      </c>
      <c r="D589" s="13" t="s">
        <v>18</v>
      </c>
      <c r="E589" s="13" t="s">
        <v>2511</v>
      </c>
      <c r="F589" s="13" t="s">
        <v>2512</v>
      </c>
      <c r="G589" s="13" t="s">
        <v>244</v>
      </c>
      <c r="H589" s="13" t="s">
        <v>16</v>
      </c>
      <c r="I589" s="13">
        <v>11580.0</v>
      </c>
      <c r="J589" s="5" t="str">
        <f t="shared" si="1"/>
        <v>Cherelle Key</v>
      </c>
    </row>
    <row r="590">
      <c r="A590" s="13">
        <v>589.0</v>
      </c>
      <c r="B590" s="13" t="s">
        <v>2513</v>
      </c>
      <c r="C590" s="13" t="s">
        <v>2514</v>
      </c>
      <c r="D590" s="13" t="s">
        <v>18</v>
      </c>
      <c r="E590" s="13" t="s">
        <v>2515</v>
      </c>
      <c r="F590" s="13" t="s">
        <v>2516</v>
      </c>
      <c r="G590" s="13" t="s">
        <v>192</v>
      </c>
      <c r="H590" s="13" t="s">
        <v>15</v>
      </c>
      <c r="I590" s="13">
        <v>94566.0</v>
      </c>
      <c r="J590" s="5" t="str">
        <f t="shared" si="1"/>
        <v>Jeffry Church</v>
      </c>
    </row>
    <row r="591">
      <c r="A591" s="13">
        <v>590.0</v>
      </c>
      <c r="B591" s="13" t="s">
        <v>1791</v>
      </c>
      <c r="C591" s="13" t="s">
        <v>2517</v>
      </c>
      <c r="D591" s="13" t="s">
        <v>18</v>
      </c>
      <c r="E591" s="13" t="s">
        <v>2518</v>
      </c>
      <c r="F591" s="13" t="s">
        <v>2519</v>
      </c>
      <c r="G591" s="13" t="s">
        <v>42</v>
      </c>
      <c r="H591" s="13" t="s">
        <v>16</v>
      </c>
      <c r="I591" s="13">
        <v>11510.0</v>
      </c>
      <c r="J591" s="5" t="str">
        <f t="shared" si="1"/>
        <v>Cyndi Dyer</v>
      </c>
    </row>
    <row r="592">
      <c r="A592" s="13">
        <v>591.0</v>
      </c>
      <c r="B592" s="13" t="s">
        <v>2520</v>
      </c>
      <c r="C592" s="13" t="s">
        <v>1070</v>
      </c>
      <c r="D592" s="13" t="s">
        <v>18</v>
      </c>
      <c r="E592" s="13" t="s">
        <v>2521</v>
      </c>
      <c r="F592" s="13" t="s">
        <v>2522</v>
      </c>
      <c r="G592" s="13" t="s">
        <v>134</v>
      </c>
      <c r="H592" s="13" t="s">
        <v>16</v>
      </c>
      <c r="I592" s="13">
        <v>11801.0</v>
      </c>
      <c r="J592" s="5" t="str">
        <f t="shared" si="1"/>
        <v>Danilo Holmes</v>
      </c>
    </row>
    <row r="593">
      <c r="A593" s="13">
        <v>592.0</v>
      </c>
      <c r="B593" s="13" t="s">
        <v>2523</v>
      </c>
      <c r="C593" s="13" t="s">
        <v>1011</v>
      </c>
      <c r="D593" s="13" t="s">
        <v>18</v>
      </c>
      <c r="E593" s="13" t="s">
        <v>2524</v>
      </c>
      <c r="F593" s="13" t="s">
        <v>2525</v>
      </c>
      <c r="G593" s="13" t="s">
        <v>74</v>
      </c>
      <c r="H593" s="13" t="s">
        <v>16</v>
      </c>
      <c r="I593" s="13">
        <v>11720.0</v>
      </c>
      <c r="J593" s="5" t="str">
        <f t="shared" si="1"/>
        <v>Joni Lee</v>
      </c>
    </row>
    <row r="594">
      <c r="A594" s="13">
        <v>593.0</v>
      </c>
      <c r="B594" s="13" t="s">
        <v>2526</v>
      </c>
      <c r="C594" s="13" t="s">
        <v>2527</v>
      </c>
      <c r="D594" s="13" t="s">
        <v>18</v>
      </c>
      <c r="E594" s="13" t="s">
        <v>2528</v>
      </c>
      <c r="F594" s="13" t="s">
        <v>2529</v>
      </c>
      <c r="G594" s="13" t="s">
        <v>228</v>
      </c>
      <c r="H594" s="13" t="s">
        <v>16</v>
      </c>
      <c r="I594" s="13">
        <v>11787.0</v>
      </c>
      <c r="J594" s="5" t="str">
        <f t="shared" si="1"/>
        <v>Antony Atkinson</v>
      </c>
    </row>
    <row r="595">
      <c r="A595" s="13">
        <v>594.0</v>
      </c>
      <c r="B595" s="13" t="s">
        <v>2530</v>
      </c>
      <c r="C595" s="13" t="s">
        <v>1491</v>
      </c>
      <c r="D595" s="13" t="s">
        <v>18</v>
      </c>
      <c r="E595" s="13" t="s">
        <v>2531</v>
      </c>
      <c r="F595" s="13" t="s">
        <v>2532</v>
      </c>
      <c r="G595" s="13" t="s">
        <v>151</v>
      </c>
      <c r="H595" s="13" t="s">
        <v>16</v>
      </c>
      <c r="I595" s="13">
        <v>11757.0</v>
      </c>
      <c r="J595" s="5" t="str">
        <f t="shared" si="1"/>
        <v>Deanne Parsons</v>
      </c>
    </row>
    <row r="596">
      <c r="A596" s="13">
        <v>595.0</v>
      </c>
      <c r="B596" s="13" t="s">
        <v>2533</v>
      </c>
      <c r="C596" s="13" t="s">
        <v>1698</v>
      </c>
      <c r="D596" s="13" t="s">
        <v>18</v>
      </c>
      <c r="E596" s="13" t="s">
        <v>2534</v>
      </c>
      <c r="F596" s="13" t="s">
        <v>2535</v>
      </c>
      <c r="G596" s="13" t="s">
        <v>142</v>
      </c>
      <c r="H596" s="13" t="s">
        <v>16</v>
      </c>
      <c r="I596" s="13">
        <v>14850.0</v>
      </c>
      <c r="J596" s="5" t="str">
        <f t="shared" si="1"/>
        <v>Frederica Rojas</v>
      </c>
    </row>
    <row r="597">
      <c r="A597" s="13">
        <v>596.0</v>
      </c>
      <c r="B597" s="13" t="s">
        <v>2536</v>
      </c>
      <c r="C597" s="13" t="s">
        <v>2537</v>
      </c>
      <c r="D597" s="13" t="s">
        <v>18</v>
      </c>
      <c r="E597" s="13" t="s">
        <v>2538</v>
      </c>
      <c r="F597" s="13" t="s">
        <v>2539</v>
      </c>
      <c r="G597" s="13" t="s">
        <v>130</v>
      </c>
      <c r="H597" s="13" t="s">
        <v>16</v>
      </c>
      <c r="I597" s="13">
        <v>14075.0</v>
      </c>
      <c r="J597" s="5" t="str">
        <f t="shared" si="1"/>
        <v>Emelda Dickerson</v>
      </c>
    </row>
    <row r="598">
      <c r="A598" s="13">
        <v>597.0</v>
      </c>
      <c r="B598" s="13" t="s">
        <v>2258</v>
      </c>
      <c r="C598" s="13" t="s">
        <v>2283</v>
      </c>
      <c r="D598" s="13" t="s">
        <v>18</v>
      </c>
      <c r="E598" s="13" t="s">
        <v>2540</v>
      </c>
      <c r="F598" s="13" t="s">
        <v>2541</v>
      </c>
      <c r="G598" s="13" t="s">
        <v>159</v>
      </c>
      <c r="H598" s="13" t="s">
        <v>16</v>
      </c>
      <c r="I598" s="13">
        <v>11378.0</v>
      </c>
      <c r="J598" s="5" t="str">
        <f t="shared" si="1"/>
        <v>Rudolf Moran</v>
      </c>
    </row>
    <row r="599">
      <c r="A599" s="13">
        <v>598.0</v>
      </c>
      <c r="B599" s="13" t="s">
        <v>2542</v>
      </c>
      <c r="C599" s="13" t="s">
        <v>2543</v>
      </c>
      <c r="D599" s="13" t="s">
        <v>18</v>
      </c>
      <c r="E599" s="13" t="s">
        <v>2544</v>
      </c>
      <c r="F599" s="13" t="s">
        <v>2545</v>
      </c>
      <c r="G599" s="13" t="s">
        <v>94</v>
      </c>
      <c r="H599" s="13" t="s">
        <v>16</v>
      </c>
      <c r="I599" s="13">
        <v>14043.0</v>
      </c>
      <c r="J599" s="5" t="str">
        <f t="shared" si="1"/>
        <v>Benito Hendrix</v>
      </c>
    </row>
    <row r="600">
      <c r="A600" s="13">
        <v>599.0</v>
      </c>
      <c r="B600" s="13" t="s">
        <v>2546</v>
      </c>
      <c r="C600" s="13" t="s">
        <v>2547</v>
      </c>
      <c r="D600" s="13" t="s">
        <v>18</v>
      </c>
      <c r="E600" s="13" t="s">
        <v>2548</v>
      </c>
      <c r="F600" s="13" t="s">
        <v>2549</v>
      </c>
      <c r="G600" s="13" t="s">
        <v>27</v>
      </c>
      <c r="H600" s="13" t="s">
        <v>17</v>
      </c>
      <c r="I600" s="13">
        <v>79106.0</v>
      </c>
      <c r="J600" s="5" t="str">
        <f t="shared" si="1"/>
        <v>Jonell Rivas</v>
      </c>
    </row>
    <row r="601">
      <c r="A601" s="13">
        <v>600.0</v>
      </c>
      <c r="B601" s="13" t="s">
        <v>2550</v>
      </c>
      <c r="C601" s="13" t="s">
        <v>2551</v>
      </c>
      <c r="D601" s="13" t="s">
        <v>2552</v>
      </c>
      <c r="E601" s="13" t="s">
        <v>2553</v>
      </c>
      <c r="F601" s="13" t="s">
        <v>2554</v>
      </c>
      <c r="G601" s="13" t="s">
        <v>216</v>
      </c>
      <c r="H601" s="13" t="s">
        <v>15</v>
      </c>
      <c r="I601" s="13">
        <v>92111.0</v>
      </c>
      <c r="J601" s="5" t="str">
        <f t="shared" si="1"/>
        <v>Joi Reeves</v>
      </c>
    </row>
    <row r="602">
      <c r="A602" s="13">
        <v>601.0</v>
      </c>
      <c r="B602" s="13" t="s">
        <v>2555</v>
      </c>
      <c r="C602" s="13" t="s">
        <v>2556</v>
      </c>
      <c r="D602" s="13" t="s">
        <v>18</v>
      </c>
      <c r="E602" s="13" t="s">
        <v>2557</v>
      </c>
      <c r="F602" s="13" t="s">
        <v>2558</v>
      </c>
      <c r="G602" s="13" t="s">
        <v>110</v>
      </c>
      <c r="H602" s="13" t="s">
        <v>15</v>
      </c>
      <c r="I602" s="13">
        <v>91316.0</v>
      </c>
      <c r="J602" s="5" t="str">
        <f t="shared" si="1"/>
        <v>Leland Mcdowell</v>
      </c>
    </row>
    <row r="603">
      <c r="A603" s="13">
        <v>602.0</v>
      </c>
      <c r="B603" s="13" t="s">
        <v>2559</v>
      </c>
      <c r="C603" s="13" t="s">
        <v>1183</v>
      </c>
      <c r="D603" s="13" t="s">
        <v>18</v>
      </c>
      <c r="E603" s="13" t="s">
        <v>2560</v>
      </c>
      <c r="F603" s="13" t="s">
        <v>2561</v>
      </c>
      <c r="G603" s="13" t="s">
        <v>27</v>
      </c>
      <c r="H603" s="13" t="s">
        <v>17</v>
      </c>
      <c r="I603" s="13">
        <v>79106.0</v>
      </c>
      <c r="J603" s="5" t="str">
        <f t="shared" si="1"/>
        <v>Delaine Estes</v>
      </c>
    </row>
    <row r="604">
      <c r="A604" s="13">
        <v>603.0</v>
      </c>
      <c r="B604" s="13" t="s">
        <v>2562</v>
      </c>
      <c r="C604" s="13" t="s">
        <v>1252</v>
      </c>
      <c r="D604" s="13" t="s">
        <v>18</v>
      </c>
      <c r="E604" s="13" t="s">
        <v>2563</v>
      </c>
      <c r="F604" s="13" t="s">
        <v>2564</v>
      </c>
      <c r="G604" s="13" t="s">
        <v>171</v>
      </c>
      <c r="H604" s="13" t="s">
        <v>16</v>
      </c>
      <c r="I604" s="13">
        <v>11040.0</v>
      </c>
      <c r="J604" s="5" t="str">
        <f t="shared" si="1"/>
        <v>Genevieve Juarez</v>
      </c>
    </row>
    <row r="605">
      <c r="A605" s="13">
        <v>604.0</v>
      </c>
      <c r="B605" s="13" t="s">
        <v>2565</v>
      </c>
      <c r="C605" s="13" t="s">
        <v>2245</v>
      </c>
      <c r="D605" s="13" t="s">
        <v>18</v>
      </c>
      <c r="E605" s="13" t="s">
        <v>2566</v>
      </c>
      <c r="F605" s="13" t="s">
        <v>2567</v>
      </c>
      <c r="G605" s="13" t="s">
        <v>29</v>
      </c>
      <c r="H605" s="13" t="s">
        <v>16</v>
      </c>
      <c r="I605" s="13">
        <v>11701.0</v>
      </c>
      <c r="J605" s="5" t="str">
        <f t="shared" si="1"/>
        <v>Kylee Dickson</v>
      </c>
    </row>
    <row r="606">
      <c r="A606" s="13">
        <v>605.0</v>
      </c>
      <c r="B606" s="13" t="s">
        <v>2568</v>
      </c>
      <c r="C606" s="13" t="s">
        <v>499</v>
      </c>
      <c r="D606" s="13" t="s">
        <v>18</v>
      </c>
      <c r="E606" s="13" t="s">
        <v>2569</v>
      </c>
      <c r="F606" s="13" t="s">
        <v>2570</v>
      </c>
      <c r="G606" s="13" t="s">
        <v>172</v>
      </c>
      <c r="H606" s="13" t="s">
        <v>16</v>
      </c>
      <c r="I606" s="13">
        <v>10801.0</v>
      </c>
      <c r="J606" s="5" t="str">
        <f t="shared" si="1"/>
        <v>Renita Henry</v>
      </c>
    </row>
    <row r="607">
      <c r="A607" s="13">
        <v>606.0</v>
      </c>
      <c r="B607" s="13" t="s">
        <v>2571</v>
      </c>
      <c r="C607" s="13" t="s">
        <v>543</v>
      </c>
      <c r="D607" s="13" t="s">
        <v>18</v>
      </c>
      <c r="E607" s="13" t="s">
        <v>2572</v>
      </c>
      <c r="F607" s="13" t="s">
        <v>2573</v>
      </c>
      <c r="G607" s="13" t="s">
        <v>248</v>
      </c>
      <c r="H607" s="13" t="s">
        <v>16</v>
      </c>
      <c r="I607" s="13">
        <v>12590.0</v>
      </c>
      <c r="J607" s="5" t="str">
        <f t="shared" si="1"/>
        <v>Sarah Kirkland</v>
      </c>
    </row>
    <row r="608">
      <c r="A608" s="13">
        <v>607.0</v>
      </c>
      <c r="B608" s="13" t="s">
        <v>1019</v>
      </c>
      <c r="C608" s="13" t="s">
        <v>2188</v>
      </c>
      <c r="D608" s="13" t="s">
        <v>18</v>
      </c>
      <c r="E608" s="13" t="s">
        <v>2574</v>
      </c>
      <c r="F608" s="13" t="s">
        <v>2575</v>
      </c>
      <c r="G608" s="13" t="s">
        <v>246</v>
      </c>
      <c r="H608" s="13" t="s">
        <v>15</v>
      </c>
      <c r="I608" s="13">
        <v>92083.0</v>
      </c>
      <c r="J608" s="5" t="str">
        <f t="shared" si="1"/>
        <v>Paul Lester</v>
      </c>
    </row>
    <row r="609">
      <c r="A609" s="13">
        <v>608.0</v>
      </c>
      <c r="B609" s="13" t="s">
        <v>2576</v>
      </c>
      <c r="C609" s="13" t="s">
        <v>2577</v>
      </c>
      <c r="D609" s="13" t="s">
        <v>18</v>
      </c>
      <c r="E609" s="13" t="s">
        <v>2578</v>
      </c>
      <c r="F609" s="13" t="s">
        <v>2579</v>
      </c>
      <c r="G609" s="13" t="s">
        <v>227</v>
      </c>
      <c r="H609" s="13" t="s">
        <v>16</v>
      </c>
      <c r="I609" s="13">
        <v>11967.0</v>
      </c>
      <c r="J609" s="5" t="str">
        <f t="shared" si="1"/>
        <v>Taisha Vang</v>
      </c>
    </row>
    <row r="610">
      <c r="A610" s="13">
        <v>609.0</v>
      </c>
      <c r="B610" s="13" t="s">
        <v>725</v>
      </c>
      <c r="C610" s="13" t="s">
        <v>372</v>
      </c>
      <c r="D610" s="13" t="s">
        <v>18</v>
      </c>
      <c r="E610" s="13" t="s">
        <v>2580</v>
      </c>
      <c r="F610" s="13" t="s">
        <v>2581</v>
      </c>
      <c r="G610" s="13" t="s">
        <v>255</v>
      </c>
      <c r="H610" s="13" t="s">
        <v>16</v>
      </c>
      <c r="I610" s="13">
        <v>11421.0</v>
      </c>
      <c r="J610" s="5" t="str">
        <f t="shared" si="1"/>
        <v>Eliana Reese</v>
      </c>
    </row>
    <row r="611">
      <c r="A611" s="13">
        <v>610.0</v>
      </c>
      <c r="B611" s="13" t="s">
        <v>2582</v>
      </c>
      <c r="C611" s="13" t="s">
        <v>503</v>
      </c>
      <c r="D611" s="13" t="s">
        <v>18</v>
      </c>
      <c r="E611" s="13" t="s">
        <v>2583</v>
      </c>
      <c r="F611" s="13" t="s">
        <v>2584</v>
      </c>
      <c r="G611" s="13" t="s">
        <v>143</v>
      </c>
      <c r="H611" s="13" t="s">
        <v>16</v>
      </c>
      <c r="I611" s="13">
        <v>11372.0</v>
      </c>
      <c r="J611" s="5" t="str">
        <f t="shared" si="1"/>
        <v>Leonore Dorsey</v>
      </c>
    </row>
    <row r="612">
      <c r="A612" s="13">
        <v>611.0</v>
      </c>
      <c r="B612" s="13" t="s">
        <v>2585</v>
      </c>
      <c r="C612" s="13" t="s">
        <v>1561</v>
      </c>
      <c r="D612" s="13" t="s">
        <v>18</v>
      </c>
      <c r="E612" s="13" t="s">
        <v>2586</v>
      </c>
      <c r="F612" s="13" t="s">
        <v>2587</v>
      </c>
      <c r="G612" s="13" t="s">
        <v>150</v>
      </c>
      <c r="H612" s="13" t="s">
        <v>16</v>
      </c>
      <c r="I612" s="13">
        <v>11756.0</v>
      </c>
      <c r="J612" s="5" t="str">
        <f t="shared" si="1"/>
        <v>Ashleigh Frank</v>
      </c>
    </row>
    <row r="613">
      <c r="A613" s="13">
        <v>612.0</v>
      </c>
      <c r="B613" s="13" t="s">
        <v>2588</v>
      </c>
      <c r="C613" s="13" t="s">
        <v>2589</v>
      </c>
      <c r="D613" s="13" t="s">
        <v>18</v>
      </c>
      <c r="E613" s="13" t="s">
        <v>2590</v>
      </c>
      <c r="F613" s="13" t="s">
        <v>2591</v>
      </c>
      <c r="G613" s="13" t="s">
        <v>46</v>
      </c>
      <c r="H613" s="13" t="s">
        <v>16</v>
      </c>
      <c r="I613" s="13">
        <v>12020.0</v>
      </c>
      <c r="J613" s="5" t="str">
        <f t="shared" si="1"/>
        <v>Gabriel Wagner</v>
      </c>
    </row>
    <row r="614">
      <c r="A614" s="13">
        <v>613.0</v>
      </c>
      <c r="B614" s="13" t="s">
        <v>2592</v>
      </c>
      <c r="C614" s="13" t="s">
        <v>1259</v>
      </c>
      <c r="D614" s="13" t="s">
        <v>18</v>
      </c>
      <c r="E614" s="13" t="s">
        <v>2593</v>
      </c>
      <c r="F614" s="13" t="s">
        <v>2594</v>
      </c>
      <c r="G614" s="13" t="s">
        <v>247</v>
      </c>
      <c r="H614" s="13" t="s">
        <v>16</v>
      </c>
      <c r="I614" s="13">
        <v>11793.0</v>
      </c>
      <c r="J614" s="5" t="str">
        <f t="shared" si="1"/>
        <v>Margene Eaton</v>
      </c>
    </row>
    <row r="615">
      <c r="A615" s="13">
        <v>614.0</v>
      </c>
      <c r="B615" s="13" t="s">
        <v>2595</v>
      </c>
      <c r="C615" s="13" t="s">
        <v>2596</v>
      </c>
      <c r="D615" s="13" t="s">
        <v>18</v>
      </c>
      <c r="E615" s="13" t="s">
        <v>2597</v>
      </c>
      <c r="F615" s="13" t="s">
        <v>2598</v>
      </c>
      <c r="G615" s="13" t="s">
        <v>31</v>
      </c>
      <c r="H615" s="13" t="s">
        <v>16</v>
      </c>
      <c r="I615" s="13">
        <v>12010.0</v>
      </c>
      <c r="J615" s="5" t="str">
        <f t="shared" si="1"/>
        <v>Toshia Cardenas</v>
      </c>
    </row>
    <row r="616">
      <c r="A616" s="13">
        <v>615.0</v>
      </c>
      <c r="B616" s="13" t="s">
        <v>2336</v>
      </c>
      <c r="C616" s="13" t="s">
        <v>2450</v>
      </c>
      <c r="D616" s="13" t="s">
        <v>18</v>
      </c>
      <c r="E616" s="13" t="s">
        <v>2599</v>
      </c>
      <c r="F616" s="13" t="s">
        <v>2600</v>
      </c>
      <c r="G616" s="13" t="s">
        <v>123</v>
      </c>
      <c r="H616" s="13" t="s">
        <v>16</v>
      </c>
      <c r="I616" s="13">
        <v>11365.0</v>
      </c>
      <c r="J616" s="5" t="str">
        <f t="shared" si="1"/>
        <v>Jamika Blanchard</v>
      </c>
    </row>
    <row r="617">
      <c r="A617" s="13">
        <v>616.0</v>
      </c>
      <c r="B617" s="13" t="s">
        <v>2340</v>
      </c>
      <c r="C617" s="13" t="s">
        <v>2601</v>
      </c>
      <c r="D617" s="13" t="s">
        <v>18</v>
      </c>
      <c r="E617" s="13" t="s">
        <v>2602</v>
      </c>
      <c r="F617" s="13" t="s">
        <v>2603</v>
      </c>
      <c r="G617" s="13" t="s">
        <v>223</v>
      </c>
      <c r="H617" s="13" t="s">
        <v>16</v>
      </c>
      <c r="I617" s="13">
        <v>12866.0</v>
      </c>
      <c r="J617" s="5" t="str">
        <f t="shared" si="1"/>
        <v>Shery Acosta</v>
      </c>
    </row>
    <row r="618">
      <c r="A618" s="13">
        <v>617.0</v>
      </c>
      <c r="B618" s="13" t="s">
        <v>2604</v>
      </c>
      <c r="C618" s="13" t="s">
        <v>1904</v>
      </c>
      <c r="D618" s="13" t="s">
        <v>18</v>
      </c>
      <c r="E618" s="13" t="s">
        <v>2605</v>
      </c>
      <c r="F618" s="13" t="s">
        <v>2606</v>
      </c>
      <c r="G618" s="13" t="s">
        <v>258</v>
      </c>
      <c r="H618" s="13" t="s">
        <v>16</v>
      </c>
      <c r="I618" s="13">
        <v>10598.0</v>
      </c>
      <c r="J618" s="5" t="str">
        <f t="shared" si="1"/>
        <v>Jenna Saunders</v>
      </c>
    </row>
    <row r="619">
      <c r="A619" s="13">
        <v>618.0</v>
      </c>
      <c r="B619" s="13" t="s">
        <v>2607</v>
      </c>
      <c r="C619" s="13" t="s">
        <v>1167</v>
      </c>
      <c r="D619" s="13" t="s">
        <v>18</v>
      </c>
      <c r="E619" s="13" t="s">
        <v>2608</v>
      </c>
      <c r="F619" s="13" t="s">
        <v>2609</v>
      </c>
      <c r="G619" s="13" t="s">
        <v>202</v>
      </c>
      <c r="H619" s="13" t="s">
        <v>16</v>
      </c>
      <c r="I619" s="13">
        <v>11418.0</v>
      </c>
      <c r="J619" s="5" t="str">
        <f t="shared" si="1"/>
        <v>Skye Pope</v>
      </c>
    </row>
    <row r="620">
      <c r="A620" s="13">
        <v>619.0</v>
      </c>
      <c r="B620" s="13" t="s">
        <v>2610</v>
      </c>
      <c r="C620" s="13" t="s">
        <v>2022</v>
      </c>
      <c r="D620" s="13" t="s">
        <v>2611</v>
      </c>
      <c r="E620" s="13" t="s">
        <v>2612</v>
      </c>
      <c r="F620" s="13" t="s">
        <v>2613</v>
      </c>
      <c r="G620" s="13" t="s">
        <v>32</v>
      </c>
      <c r="H620" s="13" t="s">
        <v>15</v>
      </c>
      <c r="I620" s="13">
        <v>92806.0</v>
      </c>
      <c r="J620" s="5" t="str">
        <f t="shared" si="1"/>
        <v>Ana Palmer</v>
      </c>
    </row>
    <row r="621">
      <c r="A621" s="13">
        <v>620.0</v>
      </c>
      <c r="B621" s="13" t="s">
        <v>2614</v>
      </c>
      <c r="C621" s="13" t="s">
        <v>340</v>
      </c>
      <c r="D621" s="13" t="s">
        <v>18</v>
      </c>
      <c r="E621" s="13" t="s">
        <v>2615</v>
      </c>
      <c r="F621" s="13" t="s">
        <v>2616</v>
      </c>
      <c r="G621" s="13" t="s">
        <v>144</v>
      </c>
      <c r="H621" s="13" t="s">
        <v>16</v>
      </c>
      <c r="I621" s="13">
        <v>11432.0</v>
      </c>
      <c r="J621" s="5" t="str">
        <f t="shared" si="1"/>
        <v>Eric Hardin</v>
      </c>
    </row>
    <row r="622">
      <c r="A622" s="13">
        <v>621.0</v>
      </c>
      <c r="B622" s="13" t="s">
        <v>2617</v>
      </c>
      <c r="C622" s="13" t="s">
        <v>1988</v>
      </c>
      <c r="D622" s="13" t="s">
        <v>18</v>
      </c>
      <c r="E622" s="13" t="s">
        <v>2618</v>
      </c>
      <c r="F622" s="13" t="s">
        <v>2619</v>
      </c>
      <c r="G622" s="13" t="s">
        <v>218</v>
      </c>
      <c r="H622" s="13" t="s">
        <v>15</v>
      </c>
      <c r="I622" s="13">
        <v>94580.0</v>
      </c>
      <c r="J622" s="5" t="str">
        <f t="shared" si="1"/>
        <v>Basil Ballard</v>
      </c>
    </row>
    <row r="623">
      <c r="A623" s="13">
        <v>622.0</v>
      </c>
      <c r="B623" s="13" t="s">
        <v>2588</v>
      </c>
      <c r="C623" s="13" t="s">
        <v>997</v>
      </c>
      <c r="D623" s="13" t="s">
        <v>18</v>
      </c>
      <c r="E623" s="13" t="s">
        <v>2620</v>
      </c>
      <c r="F623" s="13" t="s">
        <v>2621</v>
      </c>
      <c r="G623" s="13" t="s">
        <v>78</v>
      </c>
      <c r="H623" s="13" t="s">
        <v>16</v>
      </c>
      <c r="I623" s="13">
        <v>12065.0</v>
      </c>
      <c r="J623" s="5" t="str">
        <f t="shared" si="1"/>
        <v>Gabriel Pitts</v>
      </c>
    </row>
    <row r="624">
      <c r="A624" s="13">
        <v>623.0</v>
      </c>
      <c r="B624" s="13" t="s">
        <v>2622</v>
      </c>
      <c r="C624" s="13" t="s">
        <v>1586</v>
      </c>
      <c r="D624" s="13" t="s">
        <v>18</v>
      </c>
      <c r="E624" s="13" t="s">
        <v>2623</v>
      </c>
      <c r="F624" s="13" t="s">
        <v>2624</v>
      </c>
      <c r="G624" s="13" t="s">
        <v>86</v>
      </c>
      <c r="H624" s="13" t="s">
        <v>16</v>
      </c>
      <c r="I624" s="13">
        <v>11727.0</v>
      </c>
      <c r="J624" s="5" t="str">
        <f t="shared" si="1"/>
        <v>Cayla Johnson</v>
      </c>
    </row>
    <row r="625">
      <c r="A625" s="13">
        <v>624.0</v>
      </c>
      <c r="B625" s="13" t="s">
        <v>2625</v>
      </c>
      <c r="C625" s="13" t="s">
        <v>2626</v>
      </c>
      <c r="D625" s="13" t="s">
        <v>2627</v>
      </c>
      <c r="E625" s="13" t="s">
        <v>2628</v>
      </c>
      <c r="F625" s="13" t="s">
        <v>2629</v>
      </c>
      <c r="G625" s="13" t="s">
        <v>154</v>
      </c>
      <c r="H625" s="13" t="s">
        <v>16</v>
      </c>
      <c r="I625" s="13">
        <v>11561.0</v>
      </c>
      <c r="J625" s="5" t="str">
        <f t="shared" si="1"/>
        <v>Sharika Colon</v>
      </c>
    </row>
    <row r="626">
      <c r="A626" s="13">
        <v>625.0</v>
      </c>
      <c r="B626" s="13" t="s">
        <v>2630</v>
      </c>
      <c r="C626" s="13" t="s">
        <v>2631</v>
      </c>
      <c r="D626" s="13" t="s">
        <v>18</v>
      </c>
      <c r="E626" s="13" t="s">
        <v>2632</v>
      </c>
      <c r="F626" s="13" t="s">
        <v>2633</v>
      </c>
      <c r="G626" s="13" t="s">
        <v>249</v>
      </c>
      <c r="H626" s="13" t="s">
        <v>16</v>
      </c>
      <c r="I626" s="13">
        <v>14580.0</v>
      </c>
      <c r="J626" s="5" t="str">
        <f t="shared" si="1"/>
        <v>Donnetta Henson</v>
      </c>
    </row>
    <row r="627">
      <c r="A627" s="13">
        <v>626.0</v>
      </c>
      <c r="B627" s="13" t="s">
        <v>2634</v>
      </c>
      <c r="C627" s="13" t="s">
        <v>402</v>
      </c>
      <c r="D627" s="13" t="s">
        <v>18</v>
      </c>
      <c r="E627" s="13" t="s">
        <v>2635</v>
      </c>
      <c r="F627" s="13" t="s">
        <v>2636</v>
      </c>
      <c r="G627" s="13" t="s">
        <v>225</v>
      </c>
      <c r="H627" s="13" t="s">
        <v>16</v>
      </c>
      <c r="I627" s="13">
        <v>12302.0</v>
      </c>
      <c r="J627" s="5" t="str">
        <f t="shared" si="1"/>
        <v>Leigh Burke</v>
      </c>
    </row>
    <row r="628">
      <c r="A628" s="13">
        <v>627.0</v>
      </c>
      <c r="B628" s="13" t="s">
        <v>401</v>
      </c>
      <c r="C628" s="13" t="s">
        <v>930</v>
      </c>
      <c r="D628" s="13" t="s">
        <v>18</v>
      </c>
      <c r="E628" s="13" t="s">
        <v>2637</v>
      </c>
      <c r="F628" s="13" t="s">
        <v>2638</v>
      </c>
      <c r="G628" s="13" t="s">
        <v>98</v>
      </c>
      <c r="H628" s="13" t="s">
        <v>15</v>
      </c>
      <c r="I628" s="13">
        <v>91010.0</v>
      </c>
      <c r="J628" s="5" t="str">
        <f t="shared" si="1"/>
        <v>Deloris Larson</v>
      </c>
    </row>
    <row r="629">
      <c r="A629" s="13">
        <v>628.0</v>
      </c>
      <c r="B629" s="13" t="s">
        <v>2639</v>
      </c>
      <c r="C629" s="13" t="s">
        <v>2640</v>
      </c>
      <c r="D629" s="13" t="s">
        <v>18</v>
      </c>
      <c r="E629" s="13" t="s">
        <v>2641</v>
      </c>
      <c r="F629" s="13" t="s">
        <v>2642</v>
      </c>
      <c r="G629" s="13" t="s">
        <v>153</v>
      </c>
      <c r="H629" s="13" t="s">
        <v>16</v>
      </c>
      <c r="I629" s="13">
        <v>14094.0</v>
      </c>
      <c r="J629" s="5" t="str">
        <f t="shared" si="1"/>
        <v>Ehtel Cobb</v>
      </c>
    </row>
    <row r="630">
      <c r="A630" s="13">
        <v>629.0</v>
      </c>
      <c r="B630" s="13" t="s">
        <v>2643</v>
      </c>
      <c r="C630" s="13" t="s">
        <v>2644</v>
      </c>
      <c r="D630" s="13" t="s">
        <v>2645</v>
      </c>
      <c r="E630" s="13" t="s">
        <v>2646</v>
      </c>
      <c r="F630" s="13" t="s">
        <v>2647</v>
      </c>
      <c r="G630" s="13" t="s">
        <v>64</v>
      </c>
      <c r="H630" s="13" t="s">
        <v>16</v>
      </c>
      <c r="I630" s="13">
        <v>14215.0</v>
      </c>
      <c r="J630" s="5" t="str">
        <f t="shared" si="1"/>
        <v>Evelina Byrd</v>
      </c>
    </row>
    <row r="631">
      <c r="A631" s="13">
        <v>630.0</v>
      </c>
      <c r="B631" s="13" t="s">
        <v>2648</v>
      </c>
      <c r="C631" s="13" t="s">
        <v>422</v>
      </c>
      <c r="D631" s="13" t="s">
        <v>18</v>
      </c>
      <c r="E631" s="13" t="s">
        <v>2649</v>
      </c>
      <c r="F631" s="13" t="s">
        <v>2650</v>
      </c>
      <c r="G631" s="13" t="s">
        <v>31</v>
      </c>
      <c r="H631" s="13" t="s">
        <v>16</v>
      </c>
      <c r="I631" s="13">
        <v>12010.0</v>
      </c>
      <c r="J631" s="5" t="str">
        <f t="shared" si="1"/>
        <v>Zulema Browning</v>
      </c>
    </row>
    <row r="632">
      <c r="A632" s="13">
        <v>631.0</v>
      </c>
      <c r="B632" s="13" t="s">
        <v>2651</v>
      </c>
      <c r="C632" s="13" t="s">
        <v>1658</v>
      </c>
      <c r="D632" s="13" t="s">
        <v>18</v>
      </c>
      <c r="E632" s="13" t="s">
        <v>2652</v>
      </c>
      <c r="F632" s="13" t="s">
        <v>2653</v>
      </c>
      <c r="G632" s="13" t="s">
        <v>183</v>
      </c>
      <c r="H632" s="13" t="s">
        <v>16</v>
      </c>
      <c r="I632" s="13">
        <v>10562.0</v>
      </c>
      <c r="J632" s="5" t="str">
        <f t="shared" si="1"/>
        <v>Tressa Weiss</v>
      </c>
    </row>
    <row r="633">
      <c r="A633" s="13">
        <v>632.0</v>
      </c>
      <c r="B633" s="13" t="s">
        <v>2654</v>
      </c>
      <c r="C633" s="13" t="s">
        <v>2655</v>
      </c>
      <c r="D633" s="13" t="s">
        <v>18</v>
      </c>
      <c r="E633" s="13" t="s">
        <v>2656</v>
      </c>
      <c r="F633" s="13" t="s">
        <v>2657</v>
      </c>
      <c r="G633" s="13" t="s">
        <v>121</v>
      </c>
      <c r="H633" s="13" t="s">
        <v>16</v>
      </c>
      <c r="I633" s="13">
        <v>11010.0</v>
      </c>
      <c r="J633" s="5" t="str">
        <f t="shared" si="1"/>
        <v>Yvette Rogers</v>
      </c>
    </row>
    <row r="634">
      <c r="A634" s="13">
        <v>633.0</v>
      </c>
      <c r="B634" s="13" t="s">
        <v>2658</v>
      </c>
      <c r="C634" s="13" t="s">
        <v>1227</v>
      </c>
      <c r="D634" s="13" t="s">
        <v>2659</v>
      </c>
      <c r="E634" s="13" t="s">
        <v>2660</v>
      </c>
      <c r="F634" s="13" t="s">
        <v>2661</v>
      </c>
      <c r="G634" s="13" t="s">
        <v>32</v>
      </c>
      <c r="H634" s="13" t="s">
        <v>15</v>
      </c>
      <c r="I634" s="13">
        <v>92806.0</v>
      </c>
      <c r="J634" s="5" t="str">
        <f t="shared" si="1"/>
        <v>Kiara Deleon</v>
      </c>
    </row>
    <row r="635">
      <c r="A635" s="13">
        <v>634.0</v>
      </c>
      <c r="B635" s="13" t="s">
        <v>2218</v>
      </c>
      <c r="C635" s="13" t="s">
        <v>1666</v>
      </c>
      <c r="D635" s="13" t="s">
        <v>18</v>
      </c>
      <c r="E635" s="13" t="s">
        <v>2662</v>
      </c>
      <c r="F635" s="13" t="s">
        <v>2663</v>
      </c>
      <c r="G635" s="13" t="s">
        <v>72</v>
      </c>
      <c r="H635" s="13" t="s">
        <v>16</v>
      </c>
      <c r="I635" s="13">
        <v>10512.0</v>
      </c>
      <c r="J635" s="5" t="str">
        <f t="shared" si="1"/>
        <v>Taylor Cole</v>
      </c>
    </row>
    <row r="636">
      <c r="A636" s="13">
        <v>635.0</v>
      </c>
      <c r="B636" s="13" t="s">
        <v>2664</v>
      </c>
      <c r="C636" s="13" t="s">
        <v>2665</v>
      </c>
      <c r="D636" s="13" t="s">
        <v>18</v>
      </c>
      <c r="E636" s="13" t="s">
        <v>2666</v>
      </c>
      <c r="F636" s="13" t="s">
        <v>2667</v>
      </c>
      <c r="G636" s="13" t="s">
        <v>163</v>
      </c>
      <c r="H636" s="13" t="s">
        <v>16</v>
      </c>
      <c r="I636" s="13">
        <v>11566.0</v>
      </c>
      <c r="J636" s="5" t="str">
        <f t="shared" si="1"/>
        <v>Myrtie James</v>
      </c>
    </row>
    <row r="637">
      <c r="A637" s="13">
        <v>636.0</v>
      </c>
      <c r="B637" s="13" t="s">
        <v>2668</v>
      </c>
      <c r="C637" s="13" t="s">
        <v>2669</v>
      </c>
      <c r="D637" s="13" t="s">
        <v>18</v>
      </c>
      <c r="E637" s="13" t="s">
        <v>2670</v>
      </c>
      <c r="F637" s="13" t="s">
        <v>2671</v>
      </c>
      <c r="G637" s="13" t="s">
        <v>116</v>
      </c>
      <c r="H637" s="13" t="s">
        <v>16</v>
      </c>
      <c r="I637" s="13">
        <v>11001.0</v>
      </c>
      <c r="J637" s="5" t="str">
        <f t="shared" si="1"/>
        <v>Ashton Lott</v>
      </c>
    </row>
    <row r="638">
      <c r="A638" s="13">
        <v>637.0</v>
      </c>
      <c r="B638" s="13" t="s">
        <v>2672</v>
      </c>
      <c r="C638" s="13" t="s">
        <v>658</v>
      </c>
      <c r="D638" s="13" t="s">
        <v>18</v>
      </c>
      <c r="E638" s="13" t="s">
        <v>2673</v>
      </c>
      <c r="F638" s="13" t="s">
        <v>2674</v>
      </c>
      <c r="G638" s="13" t="s">
        <v>183</v>
      </c>
      <c r="H638" s="13" t="s">
        <v>16</v>
      </c>
      <c r="I638" s="13">
        <v>10562.0</v>
      </c>
      <c r="J638" s="5" t="str">
        <f t="shared" si="1"/>
        <v>Kara Higgins</v>
      </c>
    </row>
    <row r="639">
      <c r="A639" s="13">
        <v>638.0</v>
      </c>
      <c r="B639" s="13" t="s">
        <v>2675</v>
      </c>
      <c r="C639" s="13" t="s">
        <v>658</v>
      </c>
      <c r="D639" s="13" t="s">
        <v>18</v>
      </c>
      <c r="E639" s="13" t="s">
        <v>2676</v>
      </c>
      <c r="F639" s="13" t="s">
        <v>2677</v>
      </c>
      <c r="G639" s="13" t="s">
        <v>197</v>
      </c>
      <c r="H639" s="13" t="s">
        <v>16</v>
      </c>
      <c r="I639" s="13">
        <v>12601.0</v>
      </c>
      <c r="J639" s="5" t="str">
        <f t="shared" si="1"/>
        <v>Tomeka Higgins</v>
      </c>
    </row>
    <row r="640">
      <c r="A640" s="13">
        <v>639.0</v>
      </c>
      <c r="B640" s="13" t="s">
        <v>2678</v>
      </c>
      <c r="C640" s="13" t="s">
        <v>1491</v>
      </c>
      <c r="D640" s="13" t="s">
        <v>18</v>
      </c>
      <c r="E640" s="13" t="s">
        <v>2679</v>
      </c>
      <c r="F640" s="13" t="s">
        <v>2680</v>
      </c>
      <c r="G640" s="13" t="s">
        <v>159</v>
      </c>
      <c r="H640" s="13" t="s">
        <v>16</v>
      </c>
      <c r="I640" s="13">
        <v>11378.0</v>
      </c>
      <c r="J640" s="5" t="str">
        <f t="shared" si="1"/>
        <v>Ronald Parsons</v>
      </c>
    </row>
    <row r="641">
      <c r="A641" s="13">
        <v>640.0</v>
      </c>
      <c r="B641" s="13" t="s">
        <v>2681</v>
      </c>
      <c r="C641" s="13" t="s">
        <v>2682</v>
      </c>
      <c r="D641" s="13" t="s">
        <v>2683</v>
      </c>
      <c r="E641" s="13" t="s">
        <v>2684</v>
      </c>
      <c r="F641" s="13" t="s">
        <v>2685</v>
      </c>
      <c r="G641" s="13" t="s">
        <v>170</v>
      </c>
      <c r="H641" s="13" t="s">
        <v>16</v>
      </c>
      <c r="I641" s="13">
        <v>10956.0</v>
      </c>
      <c r="J641" s="5" t="str">
        <f t="shared" si="1"/>
        <v>Allison Nolan</v>
      </c>
    </row>
    <row r="642">
      <c r="A642" s="13">
        <v>641.0</v>
      </c>
      <c r="B642" s="13" t="s">
        <v>2686</v>
      </c>
      <c r="C642" s="13" t="s">
        <v>1344</v>
      </c>
      <c r="D642" s="13" t="s">
        <v>18</v>
      </c>
      <c r="E642" s="13" t="s">
        <v>2687</v>
      </c>
      <c r="F642" s="13" t="s">
        <v>2688</v>
      </c>
      <c r="G642" s="13" t="s">
        <v>129</v>
      </c>
      <c r="H642" s="13" t="s">
        <v>15</v>
      </c>
      <c r="I642" s="13">
        <v>91740.0</v>
      </c>
      <c r="J642" s="5" t="str">
        <f t="shared" si="1"/>
        <v>Derrick Marks</v>
      </c>
    </row>
    <row r="643">
      <c r="A643" s="13">
        <v>642.0</v>
      </c>
      <c r="B643" s="13" t="s">
        <v>487</v>
      </c>
      <c r="C643" s="13" t="s">
        <v>2689</v>
      </c>
      <c r="D643" s="13" t="s">
        <v>18</v>
      </c>
      <c r="E643" s="13" t="s">
        <v>2690</v>
      </c>
      <c r="F643" s="13" t="s">
        <v>2691</v>
      </c>
      <c r="G643" s="13" t="s">
        <v>249</v>
      </c>
      <c r="H643" s="13" t="s">
        <v>16</v>
      </c>
      <c r="I643" s="13">
        <v>14580.0</v>
      </c>
      <c r="J643" s="5" t="str">
        <f t="shared" si="1"/>
        <v>Yang Roth</v>
      </c>
    </row>
    <row r="644">
      <c r="A644" s="13">
        <v>643.0</v>
      </c>
      <c r="B644" s="13" t="s">
        <v>2692</v>
      </c>
      <c r="C644" s="13" t="s">
        <v>2693</v>
      </c>
      <c r="D644" s="13" t="s">
        <v>18</v>
      </c>
      <c r="E644" s="13" t="s">
        <v>2694</v>
      </c>
      <c r="F644" s="13" t="s">
        <v>2695</v>
      </c>
      <c r="G644" s="13" t="s">
        <v>116</v>
      </c>
      <c r="H644" s="13" t="s">
        <v>16</v>
      </c>
      <c r="I644" s="13">
        <v>11001.0</v>
      </c>
      <c r="J644" s="5" t="str">
        <f t="shared" si="1"/>
        <v>Melba Wilkinson</v>
      </c>
    </row>
    <row r="645">
      <c r="A645" s="13">
        <v>644.0</v>
      </c>
      <c r="B645" s="13" t="s">
        <v>2696</v>
      </c>
      <c r="C645" s="13" t="s">
        <v>2697</v>
      </c>
      <c r="D645" s="13" t="s">
        <v>18</v>
      </c>
      <c r="E645" s="13" t="s">
        <v>2698</v>
      </c>
      <c r="F645" s="13" t="s">
        <v>2699</v>
      </c>
      <c r="G645" s="13" t="s">
        <v>151</v>
      </c>
      <c r="H645" s="13" t="s">
        <v>16</v>
      </c>
      <c r="I645" s="13">
        <v>11757.0</v>
      </c>
      <c r="J645" s="5" t="str">
        <f t="shared" si="1"/>
        <v>Valentin Mclaughlin</v>
      </c>
    </row>
    <row r="646">
      <c r="A646" s="13">
        <v>645.0</v>
      </c>
      <c r="B646" s="13" t="s">
        <v>2700</v>
      </c>
      <c r="C646" s="13" t="s">
        <v>483</v>
      </c>
      <c r="D646" s="13" t="s">
        <v>2701</v>
      </c>
      <c r="E646" s="13" t="s">
        <v>2702</v>
      </c>
      <c r="F646" s="13" t="s">
        <v>2703</v>
      </c>
      <c r="G646" s="13" t="s">
        <v>58</v>
      </c>
      <c r="H646" s="13" t="s">
        <v>16</v>
      </c>
      <c r="I646" s="13">
        <v>11717.0</v>
      </c>
      <c r="J646" s="5" t="str">
        <f t="shared" si="1"/>
        <v>Lewis Garner</v>
      </c>
    </row>
    <row r="647">
      <c r="A647" s="13">
        <v>646.0</v>
      </c>
      <c r="B647" s="13" t="s">
        <v>2704</v>
      </c>
      <c r="C647" s="13" t="s">
        <v>2705</v>
      </c>
      <c r="D647" s="13" t="s">
        <v>18</v>
      </c>
      <c r="E647" s="13" t="s">
        <v>2706</v>
      </c>
      <c r="F647" s="13" t="s">
        <v>2707</v>
      </c>
      <c r="G647" s="13" t="s">
        <v>229</v>
      </c>
      <c r="H647" s="13" t="s">
        <v>15</v>
      </c>
      <c r="I647" s="13">
        <v>91733.0</v>
      </c>
      <c r="J647" s="5" t="str">
        <f t="shared" si="1"/>
        <v>Ann Heath</v>
      </c>
    </row>
    <row r="648">
      <c r="A648" s="13">
        <v>647.0</v>
      </c>
      <c r="B648" s="13" t="s">
        <v>2708</v>
      </c>
      <c r="C648" s="13" t="s">
        <v>2709</v>
      </c>
      <c r="D648" s="13" t="s">
        <v>18</v>
      </c>
      <c r="E648" s="13" t="s">
        <v>2710</v>
      </c>
      <c r="F648" s="13" t="s">
        <v>2711</v>
      </c>
      <c r="G648" s="13" t="s">
        <v>202</v>
      </c>
      <c r="H648" s="13" t="s">
        <v>16</v>
      </c>
      <c r="I648" s="13">
        <v>11418.0</v>
      </c>
      <c r="J648" s="5" t="str">
        <f t="shared" si="1"/>
        <v>Janelle Maldonado</v>
      </c>
    </row>
    <row r="649">
      <c r="A649" s="13">
        <v>648.0</v>
      </c>
      <c r="B649" s="13" t="s">
        <v>2712</v>
      </c>
      <c r="C649" s="13" t="s">
        <v>2192</v>
      </c>
      <c r="D649" s="13" t="s">
        <v>18</v>
      </c>
      <c r="E649" s="13" t="s">
        <v>2713</v>
      </c>
      <c r="F649" s="13" t="s">
        <v>2714</v>
      </c>
      <c r="G649" s="13" t="s">
        <v>219</v>
      </c>
      <c r="H649" s="13" t="s">
        <v>15</v>
      </c>
      <c r="I649" s="13">
        <v>94806.0</v>
      </c>
      <c r="J649" s="5" t="str">
        <f t="shared" si="1"/>
        <v>Catrice Hicks</v>
      </c>
    </row>
    <row r="650">
      <c r="A650" s="13">
        <v>649.0</v>
      </c>
      <c r="B650" s="13" t="s">
        <v>2715</v>
      </c>
      <c r="C650" s="13" t="s">
        <v>1159</v>
      </c>
      <c r="D650" s="13" t="s">
        <v>18</v>
      </c>
      <c r="E650" s="13" t="s">
        <v>2716</v>
      </c>
      <c r="F650" s="13" t="s">
        <v>2717</v>
      </c>
      <c r="G650" s="13" t="s">
        <v>208</v>
      </c>
      <c r="H650" s="13" t="s">
        <v>16</v>
      </c>
      <c r="I650" s="13">
        <v>11779.0</v>
      </c>
      <c r="J650" s="5" t="str">
        <f t="shared" si="1"/>
        <v>Eli Contreras</v>
      </c>
    </row>
    <row r="651">
      <c r="A651" s="13">
        <v>650.0</v>
      </c>
      <c r="B651" s="13" t="s">
        <v>2718</v>
      </c>
      <c r="C651" s="13" t="s">
        <v>2719</v>
      </c>
      <c r="D651" s="13" t="s">
        <v>18</v>
      </c>
      <c r="E651" s="13" t="s">
        <v>2720</v>
      </c>
      <c r="F651" s="13" t="s">
        <v>2721</v>
      </c>
      <c r="G651" s="13" t="s">
        <v>183</v>
      </c>
      <c r="H651" s="13" t="s">
        <v>16</v>
      </c>
      <c r="I651" s="13">
        <v>10562.0</v>
      </c>
      <c r="J651" s="5" t="str">
        <f t="shared" si="1"/>
        <v>Rita Bailey</v>
      </c>
    </row>
    <row r="652">
      <c r="A652" s="13">
        <v>651.0</v>
      </c>
      <c r="B652" s="13" t="s">
        <v>2722</v>
      </c>
      <c r="C652" s="13" t="s">
        <v>1759</v>
      </c>
      <c r="D652" s="13" t="s">
        <v>18</v>
      </c>
      <c r="E652" s="13" t="s">
        <v>2723</v>
      </c>
      <c r="F652" s="13" t="s">
        <v>2724</v>
      </c>
      <c r="G652" s="13" t="s">
        <v>248</v>
      </c>
      <c r="H652" s="13" t="s">
        <v>16</v>
      </c>
      <c r="I652" s="13">
        <v>12590.0</v>
      </c>
      <c r="J652" s="5" t="str">
        <f t="shared" si="1"/>
        <v>Laure Pena</v>
      </c>
    </row>
    <row r="653">
      <c r="A653" s="13">
        <v>652.0</v>
      </c>
      <c r="B653" s="13" t="s">
        <v>2725</v>
      </c>
      <c r="C653" s="13" t="s">
        <v>538</v>
      </c>
      <c r="D653" s="13" t="s">
        <v>2726</v>
      </c>
      <c r="E653" s="13" t="s">
        <v>2727</v>
      </c>
      <c r="F653" s="13" t="s">
        <v>2728</v>
      </c>
      <c r="G653" s="13" t="s">
        <v>240</v>
      </c>
      <c r="H653" s="13" t="s">
        <v>16</v>
      </c>
      <c r="I653" s="13">
        <v>12180.0</v>
      </c>
      <c r="J653" s="5" t="str">
        <f t="shared" si="1"/>
        <v>Tilda Melton</v>
      </c>
    </row>
    <row r="654">
      <c r="A654" s="13">
        <v>653.0</v>
      </c>
      <c r="B654" s="13" t="s">
        <v>2729</v>
      </c>
      <c r="C654" s="13" t="s">
        <v>831</v>
      </c>
      <c r="D654" s="13" t="s">
        <v>18</v>
      </c>
      <c r="E654" s="13" t="s">
        <v>2730</v>
      </c>
      <c r="F654" s="13" t="s">
        <v>2731</v>
      </c>
      <c r="G654" s="13" t="s">
        <v>145</v>
      </c>
      <c r="H654" s="13" t="s">
        <v>16</v>
      </c>
      <c r="I654" s="13">
        <v>14701.0</v>
      </c>
      <c r="J654" s="5" t="str">
        <f t="shared" si="1"/>
        <v>Florencio Davenport</v>
      </c>
    </row>
    <row r="655">
      <c r="A655" s="13">
        <v>654.0</v>
      </c>
      <c r="B655" s="13" t="s">
        <v>2732</v>
      </c>
      <c r="C655" s="13" t="s">
        <v>1091</v>
      </c>
      <c r="D655" s="13" t="s">
        <v>2733</v>
      </c>
      <c r="E655" s="13" t="s">
        <v>2734</v>
      </c>
      <c r="F655" s="13" t="s">
        <v>2735</v>
      </c>
      <c r="G655" s="13" t="s">
        <v>216</v>
      </c>
      <c r="H655" s="13" t="s">
        <v>15</v>
      </c>
      <c r="I655" s="13">
        <v>92111.0</v>
      </c>
      <c r="J655" s="5" t="str">
        <f t="shared" si="1"/>
        <v>Eun Harris</v>
      </c>
    </row>
    <row r="656">
      <c r="A656" s="13">
        <v>655.0</v>
      </c>
      <c r="B656" s="13" t="s">
        <v>2736</v>
      </c>
      <c r="C656" s="13" t="s">
        <v>422</v>
      </c>
      <c r="D656" s="13" t="s">
        <v>18</v>
      </c>
      <c r="E656" s="13" t="s">
        <v>2737</v>
      </c>
      <c r="F656" s="13" t="s">
        <v>2738</v>
      </c>
      <c r="G656" s="13" t="s">
        <v>224</v>
      </c>
      <c r="H656" s="13" t="s">
        <v>16</v>
      </c>
      <c r="I656" s="13">
        <v>10583.0</v>
      </c>
      <c r="J656" s="5" t="str">
        <f t="shared" si="1"/>
        <v>Marylyn Browning</v>
      </c>
    </row>
    <row r="657">
      <c r="A657" s="13">
        <v>656.0</v>
      </c>
      <c r="B657" s="13" t="s">
        <v>2739</v>
      </c>
      <c r="C657" s="13" t="s">
        <v>2740</v>
      </c>
      <c r="D657" s="13" t="s">
        <v>18</v>
      </c>
      <c r="E657" s="13" t="s">
        <v>2741</v>
      </c>
      <c r="F657" s="13" t="s">
        <v>2742</v>
      </c>
      <c r="G657" s="13" t="s">
        <v>116</v>
      </c>
      <c r="H657" s="13" t="s">
        <v>16</v>
      </c>
      <c r="I657" s="13">
        <v>11001.0</v>
      </c>
      <c r="J657" s="5" t="str">
        <f t="shared" si="1"/>
        <v>Romana Barnes</v>
      </c>
    </row>
    <row r="658">
      <c r="A658" s="13">
        <v>657.0</v>
      </c>
      <c r="B658" s="13" t="s">
        <v>2743</v>
      </c>
      <c r="C658" s="13" t="s">
        <v>2188</v>
      </c>
      <c r="D658" s="13" t="s">
        <v>18</v>
      </c>
      <c r="E658" s="13" t="s">
        <v>2744</v>
      </c>
      <c r="F658" s="13" t="s">
        <v>2745</v>
      </c>
      <c r="G658" s="13" t="s">
        <v>42</v>
      </c>
      <c r="H658" s="13" t="s">
        <v>16</v>
      </c>
      <c r="I658" s="13">
        <v>11510.0</v>
      </c>
      <c r="J658" s="5" t="str">
        <f t="shared" si="1"/>
        <v>Sam Lester</v>
      </c>
    </row>
    <row r="659">
      <c r="A659" s="13">
        <v>658.0</v>
      </c>
      <c r="B659" s="13" t="s">
        <v>2746</v>
      </c>
      <c r="C659" s="13" t="s">
        <v>930</v>
      </c>
      <c r="D659" s="13" t="s">
        <v>18</v>
      </c>
      <c r="E659" s="13" t="s">
        <v>2747</v>
      </c>
      <c r="F659" s="13" t="s">
        <v>2748</v>
      </c>
      <c r="G659" s="13" t="s">
        <v>166</v>
      </c>
      <c r="H659" s="13" t="s">
        <v>16</v>
      </c>
      <c r="I659" s="13">
        <v>10952.0</v>
      </c>
      <c r="J659" s="5" t="str">
        <f t="shared" si="1"/>
        <v>Nicki Larson</v>
      </c>
    </row>
    <row r="660">
      <c r="A660" s="13">
        <v>659.0</v>
      </c>
      <c r="B660" s="13" t="s">
        <v>2749</v>
      </c>
      <c r="C660" s="13" t="s">
        <v>2750</v>
      </c>
      <c r="D660" s="13" t="s">
        <v>18</v>
      </c>
      <c r="E660" s="13" t="s">
        <v>2751</v>
      </c>
      <c r="F660" s="13" t="s">
        <v>2752</v>
      </c>
      <c r="G660" s="13" t="s">
        <v>194</v>
      </c>
      <c r="H660" s="13" t="s">
        <v>16</v>
      </c>
      <c r="I660" s="13">
        <v>10573.0</v>
      </c>
      <c r="J660" s="5" t="str">
        <f t="shared" si="1"/>
        <v>Antonetta Rocha</v>
      </c>
    </row>
    <row r="661">
      <c r="A661" s="13">
        <v>660.0</v>
      </c>
      <c r="B661" s="13" t="s">
        <v>2753</v>
      </c>
      <c r="C661" s="13" t="s">
        <v>1167</v>
      </c>
      <c r="D661" s="13" t="s">
        <v>18</v>
      </c>
      <c r="E661" s="13" t="s">
        <v>2754</v>
      </c>
      <c r="F661" s="13" t="s">
        <v>2755</v>
      </c>
      <c r="G661" s="13" t="s">
        <v>203</v>
      </c>
      <c r="H661" s="13" t="s">
        <v>15</v>
      </c>
      <c r="I661" s="13">
        <v>93555.0</v>
      </c>
      <c r="J661" s="5" t="str">
        <f t="shared" si="1"/>
        <v>Shara Pope</v>
      </c>
    </row>
    <row r="662">
      <c r="A662" s="13">
        <v>661.0</v>
      </c>
      <c r="B662" s="13" t="s">
        <v>2756</v>
      </c>
      <c r="C662" s="13" t="s">
        <v>1630</v>
      </c>
      <c r="D662" s="13" t="s">
        <v>18</v>
      </c>
      <c r="E662" s="13" t="s">
        <v>2757</v>
      </c>
      <c r="F662" s="13" t="s">
        <v>2758</v>
      </c>
      <c r="G662" s="13" t="s">
        <v>165</v>
      </c>
      <c r="H662" s="13" t="s">
        <v>16</v>
      </c>
      <c r="I662" s="13">
        <v>10950.0</v>
      </c>
      <c r="J662" s="5" t="str">
        <f t="shared" si="1"/>
        <v>Trena Hudson</v>
      </c>
    </row>
    <row r="663">
      <c r="A663" s="13">
        <v>662.0</v>
      </c>
      <c r="B663" s="13" t="s">
        <v>2759</v>
      </c>
      <c r="C663" s="13" t="s">
        <v>314</v>
      </c>
      <c r="D663" s="13" t="s">
        <v>18</v>
      </c>
      <c r="E663" s="13" t="s">
        <v>2760</v>
      </c>
      <c r="F663" s="13" t="s">
        <v>2761</v>
      </c>
      <c r="G663" s="13" t="s">
        <v>224</v>
      </c>
      <c r="H663" s="13" t="s">
        <v>16</v>
      </c>
      <c r="I663" s="13">
        <v>10583.0</v>
      </c>
      <c r="J663" s="5" t="str">
        <f t="shared" si="1"/>
        <v>Loraine Sykes</v>
      </c>
    </row>
    <row r="664">
      <c r="A664" s="13">
        <v>663.0</v>
      </c>
      <c r="B664" s="13" t="s">
        <v>2762</v>
      </c>
      <c r="C664" s="13" t="s">
        <v>2763</v>
      </c>
      <c r="D664" s="13" t="s">
        <v>18</v>
      </c>
      <c r="E664" s="13" t="s">
        <v>2764</v>
      </c>
      <c r="F664" s="13" t="s">
        <v>2765</v>
      </c>
      <c r="G664" s="13" t="s">
        <v>173</v>
      </c>
      <c r="H664" s="13" t="s">
        <v>16</v>
      </c>
      <c r="I664" s="13">
        <v>12553.0</v>
      </c>
      <c r="J664" s="5" t="str">
        <f t="shared" si="1"/>
        <v>Alissa Hood</v>
      </c>
    </row>
    <row r="665">
      <c r="A665" s="13">
        <v>664.0</v>
      </c>
      <c r="B665" s="13" t="s">
        <v>1836</v>
      </c>
      <c r="C665" s="13" t="s">
        <v>2766</v>
      </c>
      <c r="D665" s="13" t="s">
        <v>18</v>
      </c>
      <c r="E665" s="13" t="s">
        <v>2767</v>
      </c>
      <c r="F665" s="13" t="s">
        <v>2768</v>
      </c>
      <c r="G665" s="13" t="s">
        <v>88</v>
      </c>
      <c r="H665" s="13" t="s">
        <v>16</v>
      </c>
      <c r="I665" s="13">
        <v>11368.0</v>
      </c>
      <c r="J665" s="5" t="str">
        <f t="shared" si="1"/>
        <v>Augustus Schmidt</v>
      </c>
    </row>
    <row r="666">
      <c r="A666" s="13">
        <v>665.0</v>
      </c>
      <c r="B666" s="13" t="s">
        <v>2769</v>
      </c>
      <c r="C666" s="13" t="s">
        <v>2124</v>
      </c>
      <c r="D666" s="13" t="s">
        <v>2770</v>
      </c>
      <c r="E666" s="13" t="s">
        <v>2771</v>
      </c>
      <c r="F666" s="13" t="s">
        <v>2772</v>
      </c>
      <c r="G666" s="13" t="s">
        <v>178</v>
      </c>
      <c r="H666" s="13" t="s">
        <v>15</v>
      </c>
      <c r="I666" s="13">
        <v>94603.0</v>
      </c>
      <c r="J666" s="5" t="str">
        <f t="shared" si="1"/>
        <v>Stacie Sims</v>
      </c>
    </row>
    <row r="667">
      <c r="A667" s="13">
        <v>666.0</v>
      </c>
      <c r="B667" s="13" t="s">
        <v>2773</v>
      </c>
      <c r="C667" s="13" t="s">
        <v>2774</v>
      </c>
      <c r="D667" s="13" t="s">
        <v>18</v>
      </c>
      <c r="E667" s="13" t="s">
        <v>2775</v>
      </c>
      <c r="F667" s="13" t="s">
        <v>2776</v>
      </c>
      <c r="G667" s="13" t="s">
        <v>116</v>
      </c>
      <c r="H667" s="13" t="s">
        <v>16</v>
      </c>
      <c r="I667" s="13">
        <v>11001.0</v>
      </c>
      <c r="J667" s="5" t="str">
        <f t="shared" si="1"/>
        <v>Brittni Green</v>
      </c>
    </row>
    <row r="668">
      <c r="A668" s="13">
        <v>667.0</v>
      </c>
      <c r="B668" s="13" t="s">
        <v>2777</v>
      </c>
      <c r="C668" s="13" t="s">
        <v>2778</v>
      </c>
      <c r="D668" s="13" t="s">
        <v>18</v>
      </c>
      <c r="E668" s="13" t="s">
        <v>2779</v>
      </c>
      <c r="F668" s="13" t="s">
        <v>2780</v>
      </c>
      <c r="G668" s="13" t="s">
        <v>202</v>
      </c>
      <c r="H668" s="13" t="s">
        <v>16</v>
      </c>
      <c r="I668" s="13">
        <v>11418.0</v>
      </c>
      <c r="J668" s="5" t="str">
        <f t="shared" si="1"/>
        <v>Etsuko Garrison</v>
      </c>
    </row>
    <row r="669">
      <c r="A669" s="13">
        <v>668.0</v>
      </c>
      <c r="B669" s="13" t="s">
        <v>2781</v>
      </c>
      <c r="C669" s="13" t="s">
        <v>793</v>
      </c>
      <c r="D669" s="13" t="s">
        <v>18</v>
      </c>
      <c r="E669" s="13" t="s">
        <v>2782</v>
      </c>
      <c r="F669" s="13" t="s">
        <v>2783</v>
      </c>
      <c r="G669" s="13" t="s">
        <v>147</v>
      </c>
      <c r="H669" s="13" t="s">
        <v>17</v>
      </c>
      <c r="I669" s="13">
        <v>77566.0</v>
      </c>
      <c r="J669" s="5" t="str">
        <f t="shared" si="1"/>
        <v>Calandra Stanton</v>
      </c>
    </row>
    <row r="670">
      <c r="A670" s="13">
        <v>669.0</v>
      </c>
      <c r="B670" s="13" t="s">
        <v>2784</v>
      </c>
      <c r="C670" s="13" t="s">
        <v>1385</v>
      </c>
      <c r="D670" s="13" t="s">
        <v>18</v>
      </c>
      <c r="E670" s="13" t="s">
        <v>2785</v>
      </c>
      <c r="F670" s="13" t="s">
        <v>2786</v>
      </c>
      <c r="G670" s="13" t="s">
        <v>131</v>
      </c>
      <c r="H670" s="13" t="s">
        <v>17</v>
      </c>
      <c r="I670" s="13">
        <v>78552.0</v>
      </c>
      <c r="J670" s="5" t="str">
        <f t="shared" si="1"/>
        <v>Willis Randolph</v>
      </c>
    </row>
    <row r="671">
      <c r="A671" s="13">
        <v>670.0</v>
      </c>
      <c r="B671" s="13" t="s">
        <v>2787</v>
      </c>
      <c r="C671" s="13" t="s">
        <v>1557</v>
      </c>
      <c r="D671" s="13" t="s">
        <v>18</v>
      </c>
      <c r="E671" s="13" t="s">
        <v>2788</v>
      </c>
      <c r="F671" s="13" t="s">
        <v>2789</v>
      </c>
      <c r="G671" s="13" t="s">
        <v>152</v>
      </c>
      <c r="H671" s="13" t="s">
        <v>16</v>
      </c>
      <c r="I671" s="13">
        <v>13090.0</v>
      </c>
      <c r="J671" s="5" t="str">
        <f t="shared" si="1"/>
        <v>Shawnda Glover</v>
      </c>
    </row>
    <row r="672">
      <c r="A672" s="13">
        <v>671.0</v>
      </c>
      <c r="B672" s="13" t="s">
        <v>2011</v>
      </c>
      <c r="C672" s="13" t="s">
        <v>959</v>
      </c>
      <c r="D672" s="13" t="s">
        <v>18</v>
      </c>
      <c r="E672" s="13" t="s">
        <v>2790</v>
      </c>
      <c r="F672" s="13" t="s">
        <v>2791</v>
      </c>
      <c r="G672" s="13" t="s">
        <v>48</v>
      </c>
      <c r="H672" s="13" t="s">
        <v>15</v>
      </c>
      <c r="I672" s="13">
        <v>92220.0</v>
      </c>
      <c r="J672" s="5" t="str">
        <f t="shared" si="1"/>
        <v>Jennette Baker</v>
      </c>
    </row>
    <row r="673">
      <c r="A673" s="13">
        <v>672.0</v>
      </c>
      <c r="B673" s="13" t="s">
        <v>2792</v>
      </c>
      <c r="C673" s="13" t="s">
        <v>2793</v>
      </c>
      <c r="D673" s="13" t="s">
        <v>18</v>
      </c>
      <c r="E673" s="13" t="s">
        <v>2794</v>
      </c>
      <c r="F673" s="13" t="s">
        <v>2795</v>
      </c>
      <c r="G673" s="13" t="s">
        <v>172</v>
      </c>
      <c r="H673" s="13" t="s">
        <v>16</v>
      </c>
      <c r="I673" s="13">
        <v>10801.0</v>
      </c>
      <c r="J673" s="5" t="str">
        <f t="shared" si="1"/>
        <v>Elma Molina</v>
      </c>
    </row>
    <row r="674">
      <c r="A674" s="13">
        <v>673.0</v>
      </c>
      <c r="B674" s="13" t="s">
        <v>2796</v>
      </c>
      <c r="C674" s="13" t="s">
        <v>2205</v>
      </c>
      <c r="D674" s="13" t="s">
        <v>18</v>
      </c>
      <c r="E674" s="13" t="s">
        <v>2797</v>
      </c>
      <c r="F674" s="13" t="s">
        <v>2798</v>
      </c>
      <c r="G674" s="13" t="s">
        <v>157</v>
      </c>
      <c r="H674" s="13" t="s">
        <v>15</v>
      </c>
      <c r="I674" s="13">
        <v>93635.0</v>
      </c>
      <c r="J674" s="5" t="str">
        <f t="shared" si="1"/>
        <v>Adam Henderson</v>
      </c>
    </row>
    <row r="675">
      <c r="A675" s="13">
        <v>674.0</v>
      </c>
      <c r="B675" s="13" t="s">
        <v>2799</v>
      </c>
      <c r="C675" s="13" t="s">
        <v>1544</v>
      </c>
      <c r="D675" s="13" t="s">
        <v>18</v>
      </c>
      <c r="E675" s="13" t="s">
        <v>2800</v>
      </c>
      <c r="F675" s="13" t="s">
        <v>2801</v>
      </c>
      <c r="G675" s="13" t="s">
        <v>223</v>
      </c>
      <c r="H675" s="13" t="s">
        <v>16</v>
      </c>
      <c r="I675" s="13">
        <v>12866.0</v>
      </c>
      <c r="J675" s="5" t="str">
        <f t="shared" si="1"/>
        <v>Ira Moore</v>
      </c>
    </row>
    <row r="676">
      <c r="A676" s="13">
        <v>675.0</v>
      </c>
      <c r="B676" s="13" t="s">
        <v>2802</v>
      </c>
      <c r="C676" s="13" t="s">
        <v>2803</v>
      </c>
      <c r="D676" s="13" t="s">
        <v>2804</v>
      </c>
      <c r="E676" s="13" t="s">
        <v>2805</v>
      </c>
      <c r="F676" s="13" t="s">
        <v>2806</v>
      </c>
      <c r="G676" s="13" t="s">
        <v>106</v>
      </c>
      <c r="H676" s="13" t="s">
        <v>17</v>
      </c>
      <c r="I676" s="13">
        <v>79930.0</v>
      </c>
      <c r="J676" s="5" t="str">
        <f t="shared" si="1"/>
        <v>Kermit Bowman</v>
      </c>
    </row>
    <row r="677">
      <c r="A677" s="13">
        <v>676.0</v>
      </c>
      <c r="B677" s="13" t="s">
        <v>2807</v>
      </c>
      <c r="C677" s="13" t="s">
        <v>2693</v>
      </c>
      <c r="D677" s="13" t="s">
        <v>18</v>
      </c>
      <c r="E677" s="13" t="s">
        <v>2808</v>
      </c>
      <c r="F677" s="13" t="s">
        <v>2809</v>
      </c>
      <c r="G677" s="13" t="s">
        <v>151</v>
      </c>
      <c r="H677" s="13" t="s">
        <v>16</v>
      </c>
      <c r="I677" s="13">
        <v>11757.0</v>
      </c>
      <c r="J677" s="5" t="str">
        <f t="shared" si="1"/>
        <v>Gayle Wilkinson</v>
      </c>
    </row>
    <row r="678">
      <c r="A678" s="13">
        <v>677.0</v>
      </c>
      <c r="B678" s="13" t="s">
        <v>2810</v>
      </c>
      <c r="C678" s="13" t="s">
        <v>2811</v>
      </c>
      <c r="D678" s="13" t="s">
        <v>18</v>
      </c>
      <c r="E678" s="13" t="s">
        <v>2812</v>
      </c>
      <c r="F678" s="13" t="s">
        <v>2813</v>
      </c>
      <c r="G678" s="13" t="s">
        <v>132</v>
      </c>
      <c r="H678" s="13" t="s">
        <v>17</v>
      </c>
      <c r="I678" s="13">
        <v>78023.0</v>
      </c>
      <c r="J678" s="5" t="str">
        <f t="shared" si="1"/>
        <v>Launa Hull</v>
      </c>
    </row>
    <row r="679">
      <c r="A679" s="13">
        <v>678.0</v>
      </c>
      <c r="B679" s="13" t="s">
        <v>2087</v>
      </c>
      <c r="C679" s="13" t="s">
        <v>448</v>
      </c>
      <c r="D679" s="13" t="s">
        <v>18</v>
      </c>
      <c r="E679" s="13" t="s">
        <v>2814</v>
      </c>
      <c r="F679" s="13" t="s">
        <v>2815</v>
      </c>
      <c r="G679" s="13" t="s">
        <v>254</v>
      </c>
      <c r="H679" s="13" t="s">
        <v>16</v>
      </c>
      <c r="I679" s="13">
        <v>11357.0</v>
      </c>
      <c r="J679" s="5" t="str">
        <f t="shared" si="1"/>
        <v>Myron Johns</v>
      </c>
    </row>
    <row r="680">
      <c r="A680" s="13">
        <v>679.0</v>
      </c>
      <c r="B680" s="13" t="s">
        <v>2816</v>
      </c>
      <c r="C680" s="13" t="s">
        <v>2817</v>
      </c>
      <c r="D680" s="13" t="s">
        <v>18</v>
      </c>
      <c r="E680" s="13" t="s">
        <v>2818</v>
      </c>
      <c r="F680" s="13" t="s">
        <v>2819</v>
      </c>
      <c r="G680" s="13" t="s">
        <v>250</v>
      </c>
      <c r="H680" s="13" t="s">
        <v>16</v>
      </c>
      <c r="I680" s="13">
        <v>11704.0</v>
      </c>
      <c r="J680" s="5" t="str">
        <f t="shared" si="1"/>
        <v>Tuan Wolfe</v>
      </c>
    </row>
    <row r="681">
      <c r="A681" s="13">
        <v>680.0</v>
      </c>
      <c r="B681" s="13" t="s">
        <v>2820</v>
      </c>
      <c r="C681" s="13" t="s">
        <v>2821</v>
      </c>
      <c r="D681" s="13" t="s">
        <v>2822</v>
      </c>
      <c r="E681" s="13" t="s">
        <v>2823</v>
      </c>
      <c r="F681" s="13" t="s">
        <v>2824</v>
      </c>
      <c r="G681" s="13" t="s">
        <v>170</v>
      </c>
      <c r="H681" s="13" t="s">
        <v>16</v>
      </c>
      <c r="I681" s="13">
        <v>10956.0</v>
      </c>
      <c r="J681" s="5" t="str">
        <f t="shared" si="1"/>
        <v>Mathilda Pennington</v>
      </c>
    </row>
    <row r="682">
      <c r="A682" s="13">
        <v>681.0</v>
      </c>
      <c r="B682" s="13" t="s">
        <v>2825</v>
      </c>
      <c r="C682" s="13" t="s">
        <v>2826</v>
      </c>
      <c r="D682" s="13" t="s">
        <v>18</v>
      </c>
      <c r="E682" s="13" t="s">
        <v>2827</v>
      </c>
      <c r="F682" s="13" t="s">
        <v>2828</v>
      </c>
      <c r="G682" s="13" t="s">
        <v>135</v>
      </c>
      <c r="H682" s="13" t="s">
        <v>16</v>
      </c>
      <c r="I682" s="13">
        <v>11741.0</v>
      </c>
      <c r="J682" s="5" t="str">
        <f t="shared" si="1"/>
        <v>Reatha Perez</v>
      </c>
    </row>
    <row r="683">
      <c r="A683" s="13">
        <v>682.0</v>
      </c>
      <c r="B683" s="13" t="s">
        <v>2829</v>
      </c>
      <c r="C683" s="13" t="s">
        <v>2830</v>
      </c>
      <c r="D683" s="13" t="s">
        <v>18</v>
      </c>
      <c r="E683" s="13" t="s">
        <v>2831</v>
      </c>
      <c r="F683" s="13" t="s">
        <v>2832</v>
      </c>
      <c r="G683" s="13" t="s">
        <v>182</v>
      </c>
      <c r="H683" s="13" t="s">
        <v>16</v>
      </c>
      <c r="I683" s="13">
        <v>14127.0</v>
      </c>
      <c r="J683" s="5" t="str">
        <f t="shared" si="1"/>
        <v>Arnita Thomas</v>
      </c>
    </row>
    <row r="684">
      <c r="A684" s="13">
        <v>683.0</v>
      </c>
      <c r="B684" s="13" t="s">
        <v>2833</v>
      </c>
      <c r="C684" s="13" t="s">
        <v>269</v>
      </c>
      <c r="D684" s="13" t="s">
        <v>18</v>
      </c>
      <c r="E684" s="13" t="s">
        <v>2834</v>
      </c>
      <c r="F684" s="13" t="s">
        <v>2835</v>
      </c>
      <c r="G684" s="13" t="s">
        <v>163</v>
      </c>
      <c r="H684" s="13" t="s">
        <v>16</v>
      </c>
      <c r="I684" s="13">
        <v>11566.0</v>
      </c>
      <c r="J684" s="5" t="str">
        <f t="shared" si="1"/>
        <v>Amparo Burks</v>
      </c>
    </row>
    <row r="685">
      <c r="A685" s="13">
        <v>684.0</v>
      </c>
      <c r="B685" s="13" t="s">
        <v>2836</v>
      </c>
      <c r="C685" s="13" t="s">
        <v>2837</v>
      </c>
      <c r="D685" s="13" t="s">
        <v>18</v>
      </c>
      <c r="E685" s="13" t="s">
        <v>2838</v>
      </c>
      <c r="F685" s="13" t="s">
        <v>2839</v>
      </c>
      <c r="G685" s="13" t="s">
        <v>176</v>
      </c>
      <c r="H685" s="13" t="s">
        <v>16</v>
      </c>
      <c r="I685" s="13">
        <v>14304.0</v>
      </c>
      <c r="J685" s="5" t="str">
        <f t="shared" si="1"/>
        <v>Jenny Bell</v>
      </c>
    </row>
    <row r="686">
      <c r="A686" s="13">
        <v>685.0</v>
      </c>
      <c r="B686" s="13" t="s">
        <v>2840</v>
      </c>
      <c r="C686" s="13" t="s">
        <v>2841</v>
      </c>
      <c r="D686" s="13" t="s">
        <v>18</v>
      </c>
      <c r="E686" s="13" t="s">
        <v>2842</v>
      </c>
      <c r="F686" s="13" t="s">
        <v>2843</v>
      </c>
      <c r="G686" s="13" t="s">
        <v>118</v>
      </c>
      <c r="H686" s="13" t="s">
        <v>16</v>
      </c>
      <c r="I686" s="13">
        <v>11375.0</v>
      </c>
      <c r="J686" s="5" t="str">
        <f t="shared" si="1"/>
        <v>Laverne Craft</v>
      </c>
    </row>
    <row r="687">
      <c r="A687" s="13">
        <v>686.0</v>
      </c>
      <c r="B687" s="13" t="s">
        <v>2844</v>
      </c>
      <c r="C687" s="13" t="s">
        <v>2845</v>
      </c>
      <c r="D687" s="13" t="s">
        <v>18</v>
      </c>
      <c r="E687" s="13" t="s">
        <v>2846</v>
      </c>
      <c r="F687" s="13" t="s">
        <v>2847</v>
      </c>
      <c r="G687" s="13" t="s">
        <v>220</v>
      </c>
      <c r="H687" s="13" t="s">
        <v>15</v>
      </c>
      <c r="I687" s="13">
        <v>95050.0</v>
      </c>
      <c r="J687" s="5" t="str">
        <f t="shared" si="1"/>
        <v>Darcel Harmon</v>
      </c>
    </row>
    <row r="688">
      <c r="A688" s="13">
        <v>687.0</v>
      </c>
      <c r="B688" s="13" t="s">
        <v>2848</v>
      </c>
      <c r="C688" s="13" t="s">
        <v>1955</v>
      </c>
      <c r="D688" s="13" t="s">
        <v>18</v>
      </c>
      <c r="E688" s="13" t="s">
        <v>2849</v>
      </c>
      <c r="F688" s="13" t="s">
        <v>2850</v>
      </c>
      <c r="G688" s="13" t="s">
        <v>96</v>
      </c>
      <c r="H688" s="13" t="s">
        <v>17</v>
      </c>
      <c r="I688" s="13">
        <v>75115.0</v>
      </c>
      <c r="J688" s="5" t="str">
        <f t="shared" si="1"/>
        <v>Cecilia Camacho</v>
      </c>
    </row>
    <row r="689">
      <c r="A689" s="13">
        <v>688.0</v>
      </c>
      <c r="B689" s="13" t="s">
        <v>2851</v>
      </c>
      <c r="C689" s="13" t="s">
        <v>2852</v>
      </c>
      <c r="D689" s="13" t="s">
        <v>18</v>
      </c>
      <c r="E689" s="13" t="s">
        <v>2853</v>
      </c>
      <c r="F689" s="13" t="s">
        <v>2854</v>
      </c>
      <c r="G689" s="13" t="s">
        <v>66</v>
      </c>
      <c r="H689" s="13" t="s">
        <v>15</v>
      </c>
      <c r="I689" s="13">
        <v>95008.0</v>
      </c>
      <c r="J689" s="5" t="str">
        <f t="shared" si="1"/>
        <v>Pearlie Cochran</v>
      </c>
    </row>
    <row r="690">
      <c r="A690" s="13">
        <v>689.0</v>
      </c>
      <c r="B690" s="13" t="s">
        <v>2855</v>
      </c>
      <c r="C690" s="13" t="s">
        <v>2856</v>
      </c>
      <c r="D690" s="13" t="s">
        <v>18</v>
      </c>
      <c r="E690" s="13" t="s">
        <v>2857</v>
      </c>
      <c r="F690" s="13" t="s">
        <v>2858</v>
      </c>
      <c r="G690" s="13" t="s">
        <v>243</v>
      </c>
      <c r="H690" s="13" t="s">
        <v>16</v>
      </c>
      <c r="I690" s="13">
        <v>13501.0</v>
      </c>
      <c r="J690" s="5" t="str">
        <f t="shared" si="1"/>
        <v>Deirdre Ryan</v>
      </c>
    </row>
    <row r="691">
      <c r="A691" s="13">
        <v>690.0</v>
      </c>
      <c r="B691" s="13" t="s">
        <v>1967</v>
      </c>
      <c r="C691" s="13" t="s">
        <v>1210</v>
      </c>
      <c r="D691" s="13" t="s">
        <v>18</v>
      </c>
      <c r="E691" s="13" t="s">
        <v>2859</v>
      </c>
      <c r="F691" s="13" t="s">
        <v>2860</v>
      </c>
      <c r="G691" s="13" t="s">
        <v>143</v>
      </c>
      <c r="H691" s="13" t="s">
        <v>16</v>
      </c>
      <c r="I691" s="13">
        <v>11372.0</v>
      </c>
      <c r="J691" s="5" t="str">
        <f t="shared" si="1"/>
        <v>Yevette Elliott</v>
      </c>
    </row>
    <row r="692">
      <c r="A692" s="13">
        <v>691.0</v>
      </c>
      <c r="B692" s="13" t="s">
        <v>2861</v>
      </c>
      <c r="C692" s="13" t="s">
        <v>2862</v>
      </c>
      <c r="D692" s="13" t="s">
        <v>2863</v>
      </c>
      <c r="E692" s="13" t="s">
        <v>2864</v>
      </c>
      <c r="F692" s="13" t="s">
        <v>2865</v>
      </c>
      <c r="G692" s="13" t="s">
        <v>138</v>
      </c>
      <c r="H692" s="13" t="s">
        <v>17</v>
      </c>
      <c r="I692" s="13">
        <v>77016.0</v>
      </c>
      <c r="J692" s="5" t="str">
        <f t="shared" si="1"/>
        <v>Ladawn Downs</v>
      </c>
    </row>
    <row r="693">
      <c r="A693" s="13">
        <v>692.0</v>
      </c>
      <c r="B693" s="13" t="s">
        <v>2866</v>
      </c>
      <c r="C693" s="13" t="s">
        <v>1694</v>
      </c>
      <c r="D693" s="13" t="s">
        <v>18</v>
      </c>
      <c r="E693" s="13" t="s">
        <v>2867</v>
      </c>
      <c r="F693" s="13" t="s">
        <v>2868</v>
      </c>
      <c r="G693" s="13" t="s">
        <v>34</v>
      </c>
      <c r="H693" s="13" t="s">
        <v>16</v>
      </c>
      <c r="I693" s="13">
        <v>11102.0</v>
      </c>
      <c r="J693" s="5" t="str">
        <f t="shared" si="1"/>
        <v>Dorothea Chang</v>
      </c>
    </row>
    <row r="694">
      <c r="A694" s="13">
        <v>693.0</v>
      </c>
      <c r="B694" s="13" t="s">
        <v>2869</v>
      </c>
      <c r="C694" s="13" t="s">
        <v>982</v>
      </c>
      <c r="D694" s="13" t="s">
        <v>2870</v>
      </c>
      <c r="E694" s="13" t="s">
        <v>2871</v>
      </c>
      <c r="F694" s="13" t="s">
        <v>2872</v>
      </c>
      <c r="G694" s="13" t="s">
        <v>133</v>
      </c>
      <c r="H694" s="13" t="s">
        <v>16</v>
      </c>
      <c r="I694" s="13">
        <v>11550.0</v>
      </c>
      <c r="J694" s="5" t="str">
        <f t="shared" si="1"/>
        <v>Merlin Foreman</v>
      </c>
    </row>
    <row r="695">
      <c r="A695" s="13">
        <v>694.0</v>
      </c>
      <c r="B695" s="13" t="s">
        <v>2873</v>
      </c>
      <c r="C695" s="13" t="s">
        <v>2874</v>
      </c>
      <c r="D695" s="13" t="s">
        <v>18</v>
      </c>
      <c r="E695" s="13" t="s">
        <v>2875</v>
      </c>
      <c r="F695" s="13" t="s">
        <v>2876</v>
      </c>
      <c r="G695" s="13" t="s">
        <v>177</v>
      </c>
      <c r="H695" s="13" t="s">
        <v>16</v>
      </c>
      <c r="I695" s="13">
        <v>14120.0</v>
      </c>
      <c r="J695" s="5" t="str">
        <f t="shared" si="1"/>
        <v>Lanie Dunn</v>
      </c>
    </row>
    <row r="696">
      <c r="A696" s="13">
        <v>695.0</v>
      </c>
      <c r="B696" s="13" t="s">
        <v>1641</v>
      </c>
      <c r="C696" s="13" t="s">
        <v>1398</v>
      </c>
      <c r="D696" s="13" t="s">
        <v>18</v>
      </c>
      <c r="E696" s="13" t="s">
        <v>2877</v>
      </c>
      <c r="F696" s="13" t="s">
        <v>2878</v>
      </c>
      <c r="G696" s="13" t="s">
        <v>227</v>
      </c>
      <c r="H696" s="13" t="s">
        <v>16</v>
      </c>
      <c r="I696" s="13">
        <v>11967.0</v>
      </c>
      <c r="J696" s="5" t="str">
        <f t="shared" si="1"/>
        <v>Christoper Gould</v>
      </c>
    </row>
    <row r="697">
      <c r="A697" s="13">
        <v>696.0</v>
      </c>
      <c r="B697" s="13" t="s">
        <v>2879</v>
      </c>
      <c r="C697" s="13" t="s">
        <v>1317</v>
      </c>
      <c r="D697" s="13" t="s">
        <v>18</v>
      </c>
      <c r="E697" s="13" t="s">
        <v>2880</v>
      </c>
      <c r="F697" s="13" t="s">
        <v>2881</v>
      </c>
      <c r="G697" s="13" t="s">
        <v>110</v>
      </c>
      <c r="H697" s="13" t="s">
        <v>15</v>
      </c>
      <c r="I697" s="13">
        <v>91316.0</v>
      </c>
      <c r="J697" s="5" t="str">
        <f t="shared" si="1"/>
        <v>Norine Huffman</v>
      </c>
    </row>
    <row r="698">
      <c r="A698" s="13">
        <v>697.0</v>
      </c>
      <c r="B698" s="13" t="s">
        <v>906</v>
      </c>
      <c r="C698" s="13" t="s">
        <v>2882</v>
      </c>
      <c r="D698" s="13" t="s">
        <v>2883</v>
      </c>
      <c r="E698" s="13" t="s">
        <v>2884</v>
      </c>
      <c r="F698" s="13" t="s">
        <v>2885</v>
      </c>
      <c r="G698" s="13" t="s">
        <v>216</v>
      </c>
      <c r="H698" s="13" t="s">
        <v>15</v>
      </c>
      <c r="I698" s="13">
        <v>92111.0</v>
      </c>
      <c r="J698" s="5" t="str">
        <f t="shared" si="1"/>
        <v>Alane Mccarty</v>
      </c>
    </row>
    <row r="699">
      <c r="A699" s="13">
        <v>698.0</v>
      </c>
      <c r="B699" s="13" t="s">
        <v>1910</v>
      </c>
      <c r="C699" s="13" t="s">
        <v>600</v>
      </c>
      <c r="D699" s="13" t="s">
        <v>18</v>
      </c>
      <c r="E699" s="13" t="s">
        <v>2886</v>
      </c>
      <c r="F699" s="13" t="s">
        <v>2887</v>
      </c>
      <c r="G699" s="13" t="s">
        <v>88</v>
      </c>
      <c r="H699" s="13" t="s">
        <v>16</v>
      </c>
      <c r="I699" s="13">
        <v>11368.0</v>
      </c>
      <c r="J699" s="5" t="str">
        <f t="shared" si="1"/>
        <v>Charleen Joyner</v>
      </c>
    </row>
    <row r="700">
      <c r="A700" s="13">
        <v>699.0</v>
      </c>
      <c r="B700" s="13" t="s">
        <v>2888</v>
      </c>
      <c r="C700" s="13" t="s">
        <v>1484</v>
      </c>
      <c r="D700" s="13" t="s">
        <v>18</v>
      </c>
      <c r="E700" s="13" t="s">
        <v>2889</v>
      </c>
      <c r="F700" s="13" t="s">
        <v>2890</v>
      </c>
      <c r="G700" s="13" t="s">
        <v>206</v>
      </c>
      <c r="H700" s="13" t="s">
        <v>16</v>
      </c>
      <c r="I700" s="13">
        <v>11570.0</v>
      </c>
      <c r="J700" s="5" t="str">
        <f t="shared" si="1"/>
        <v>Zella Fernandez</v>
      </c>
    </row>
    <row r="701">
      <c r="A701" s="13">
        <v>700.0</v>
      </c>
      <c r="B701" s="13" t="s">
        <v>1721</v>
      </c>
      <c r="C701" s="13" t="s">
        <v>2891</v>
      </c>
      <c r="D701" s="13" t="s">
        <v>2892</v>
      </c>
      <c r="E701" s="13" t="s">
        <v>2893</v>
      </c>
      <c r="F701" s="13" t="s">
        <v>2894</v>
      </c>
      <c r="G701" s="13" t="s">
        <v>90</v>
      </c>
      <c r="H701" s="13" t="s">
        <v>17</v>
      </c>
      <c r="I701" s="13">
        <v>78418.0</v>
      </c>
      <c r="J701" s="5" t="str">
        <f t="shared" si="1"/>
        <v>Collene Knox</v>
      </c>
    </row>
    <row r="702">
      <c r="A702" s="13">
        <v>701.0</v>
      </c>
      <c r="B702" s="13" t="s">
        <v>2895</v>
      </c>
      <c r="C702" s="13" t="s">
        <v>1480</v>
      </c>
      <c r="D702" s="13" t="s">
        <v>2896</v>
      </c>
      <c r="E702" s="13" t="s">
        <v>2897</v>
      </c>
      <c r="F702" s="13" t="s">
        <v>2898</v>
      </c>
      <c r="G702" s="13" t="s">
        <v>185</v>
      </c>
      <c r="H702" s="13" t="s">
        <v>15</v>
      </c>
      <c r="I702" s="13">
        <v>93035.0</v>
      </c>
      <c r="J702" s="5" t="str">
        <f t="shared" si="1"/>
        <v>Alysia Nicholson</v>
      </c>
    </row>
    <row r="703">
      <c r="A703" s="13">
        <v>702.0</v>
      </c>
      <c r="B703" s="13" t="s">
        <v>1551</v>
      </c>
      <c r="C703" s="13" t="s">
        <v>2899</v>
      </c>
      <c r="D703" s="13" t="s">
        <v>18</v>
      </c>
      <c r="E703" s="13" t="s">
        <v>2900</v>
      </c>
      <c r="F703" s="13" t="s">
        <v>2901</v>
      </c>
      <c r="G703" s="13" t="s">
        <v>163</v>
      </c>
      <c r="H703" s="13" t="s">
        <v>16</v>
      </c>
      <c r="I703" s="13">
        <v>11566.0</v>
      </c>
      <c r="J703" s="5" t="str">
        <f t="shared" si="1"/>
        <v>Sharie Whitaker</v>
      </c>
    </row>
    <row r="704">
      <c r="A704" s="13">
        <v>703.0</v>
      </c>
      <c r="B704" s="13" t="s">
        <v>490</v>
      </c>
      <c r="C704" s="13" t="s">
        <v>2640</v>
      </c>
      <c r="D704" s="13" t="s">
        <v>18</v>
      </c>
      <c r="E704" s="13" t="s">
        <v>2902</v>
      </c>
      <c r="F704" s="13" t="s">
        <v>2903</v>
      </c>
      <c r="G704" s="13" t="s">
        <v>125</v>
      </c>
      <c r="H704" s="13" t="s">
        <v>15</v>
      </c>
      <c r="I704" s="13">
        <v>92831.0</v>
      </c>
      <c r="J704" s="5" t="str">
        <f t="shared" si="1"/>
        <v>Diana Cobb</v>
      </c>
    </row>
    <row r="705">
      <c r="A705" s="13">
        <v>704.0</v>
      </c>
      <c r="B705" s="13" t="s">
        <v>1010</v>
      </c>
      <c r="C705" s="13" t="s">
        <v>2904</v>
      </c>
      <c r="D705" s="13" t="s">
        <v>2905</v>
      </c>
      <c r="E705" s="13" t="s">
        <v>2906</v>
      </c>
      <c r="F705" s="13" t="s">
        <v>2907</v>
      </c>
      <c r="G705" s="13" t="s">
        <v>40</v>
      </c>
      <c r="H705" s="13" t="s">
        <v>15</v>
      </c>
      <c r="I705" s="13">
        <v>93306.0</v>
      </c>
      <c r="J705" s="5" t="str">
        <f t="shared" si="1"/>
        <v>Morton Barron</v>
      </c>
    </row>
    <row r="706">
      <c r="A706" s="13">
        <v>705.0</v>
      </c>
      <c r="B706" s="13" t="s">
        <v>2908</v>
      </c>
      <c r="C706" s="13" t="s">
        <v>2909</v>
      </c>
      <c r="D706" s="13" t="s">
        <v>18</v>
      </c>
      <c r="E706" s="13" t="s">
        <v>2910</v>
      </c>
      <c r="F706" s="13" t="s">
        <v>2911</v>
      </c>
      <c r="G706" s="13" t="s">
        <v>140</v>
      </c>
      <c r="H706" s="13" t="s">
        <v>16</v>
      </c>
      <c r="I706" s="13">
        <v>11743.0</v>
      </c>
      <c r="J706" s="5" t="str">
        <f t="shared" si="1"/>
        <v>Camille Harvey</v>
      </c>
    </row>
    <row r="707">
      <c r="A707" s="13">
        <v>706.0</v>
      </c>
      <c r="B707" s="13" t="s">
        <v>493</v>
      </c>
      <c r="C707" s="13" t="s">
        <v>1059</v>
      </c>
      <c r="D707" s="13" t="s">
        <v>18</v>
      </c>
      <c r="E707" s="13" t="s">
        <v>2912</v>
      </c>
      <c r="F707" s="13" t="s">
        <v>2913</v>
      </c>
      <c r="G707" s="13" t="s">
        <v>161</v>
      </c>
      <c r="H707" s="13" t="s">
        <v>16</v>
      </c>
      <c r="I707" s="13">
        <v>11762.0</v>
      </c>
      <c r="J707" s="5" t="str">
        <f t="shared" si="1"/>
        <v>Lolita O'neill</v>
      </c>
    </row>
    <row r="708">
      <c r="A708" s="13">
        <v>707.0</v>
      </c>
      <c r="B708" s="13" t="s">
        <v>2021</v>
      </c>
      <c r="C708" s="13" t="s">
        <v>2914</v>
      </c>
      <c r="D708" s="13" t="s">
        <v>18</v>
      </c>
      <c r="E708" s="13" t="s">
        <v>2915</v>
      </c>
      <c r="F708" s="13" t="s">
        <v>2916</v>
      </c>
      <c r="G708" s="13" t="s">
        <v>256</v>
      </c>
      <c r="H708" s="13" t="s">
        <v>16</v>
      </c>
      <c r="I708" s="13">
        <v>11377.0</v>
      </c>
      <c r="J708" s="5" t="str">
        <f t="shared" si="1"/>
        <v>Terese Briggs</v>
      </c>
    </row>
    <row r="709">
      <c r="A709" s="13">
        <v>708.0</v>
      </c>
      <c r="B709" s="13" t="s">
        <v>1590</v>
      </c>
      <c r="C709" s="13" t="s">
        <v>1557</v>
      </c>
      <c r="D709" s="13" t="s">
        <v>18</v>
      </c>
      <c r="E709" s="13" t="s">
        <v>2917</v>
      </c>
      <c r="F709" s="13" t="s">
        <v>2918</v>
      </c>
      <c r="G709" s="13" t="s">
        <v>33</v>
      </c>
      <c r="H709" s="13" t="s">
        <v>15</v>
      </c>
      <c r="I709" s="13">
        <v>92307.0</v>
      </c>
      <c r="J709" s="5" t="str">
        <f t="shared" si="1"/>
        <v>Majorie Glover</v>
      </c>
    </row>
    <row r="710">
      <c r="A710" s="13">
        <v>709.0</v>
      </c>
      <c r="B710" s="13" t="s">
        <v>2919</v>
      </c>
      <c r="C710" s="13" t="s">
        <v>2920</v>
      </c>
      <c r="D710" s="13" t="s">
        <v>18</v>
      </c>
      <c r="E710" s="13" t="s">
        <v>2921</v>
      </c>
      <c r="F710" s="13" t="s">
        <v>2922</v>
      </c>
      <c r="G710" s="13" t="s">
        <v>118</v>
      </c>
      <c r="H710" s="13" t="s">
        <v>16</v>
      </c>
      <c r="I710" s="13">
        <v>11375.0</v>
      </c>
      <c r="J710" s="5" t="str">
        <f t="shared" si="1"/>
        <v>Vinnie Chan</v>
      </c>
    </row>
    <row r="711">
      <c r="A711" s="13">
        <v>710.0</v>
      </c>
      <c r="B711" s="13" t="s">
        <v>2175</v>
      </c>
      <c r="C711" s="13" t="s">
        <v>726</v>
      </c>
      <c r="D711" s="13" t="s">
        <v>18</v>
      </c>
      <c r="E711" s="13" t="s">
        <v>2923</v>
      </c>
      <c r="F711" s="13" t="s">
        <v>2924</v>
      </c>
      <c r="G711" s="13" t="s">
        <v>173</v>
      </c>
      <c r="H711" s="13" t="s">
        <v>16</v>
      </c>
      <c r="I711" s="13">
        <v>12553.0</v>
      </c>
      <c r="J711" s="5" t="str">
        <f t="shared" si="1"/>
        <v>Ezra Silva</v>
      </c>
    </row>
    <row r="712">
      <c r="A712" s="13">
        <v>711.0</v>
      </c>
      <c r="B712" s="13" t="s">
        <v>2925</v>
      </c>
      <c r="C712" s="13" t="s">
        <v>2926</v>
      </c>
      <c r="D712" s="13" t="s">
        <v>18</v>
      </c>
      <c r="E712" s="13" t="s">
        <v>2927</v>
      </c>
      <c r="F712" s="13" t="s">
        <v>2928</v>
      </c>
      <c r="G712" s="13" t="s">
        <v>234</v>
      </c>
      <c r="H712" s="13" t="s">
        <v>16</v>
      </c>
      <c r="I712" s="13">
        <v>10301.0</v>
      </c>
      <c r="J712" s="5" t="str">
        <f t="shared" si="1"/>
        <v>Jovita Bishop</v>
      </c>
    </row>
    <row r="713">
      <c r="A713" s="13">
        <v>712.0</v>
      </c>
      <c r="B713" s="13" t="s">
        <v>2929</v>
      </c>
      <c r="C713" s="13" t="s">
        <v>2321</v>
      </c>
      <c r="D713" s="13" t="s">
        <v>18</v>
      </c>
      <c r="E713" s="13" t="s">
        <v>2930</v>
      </c>
      <c r="F713" s="13" t="s">
        <v>2931</v>
      </c>
      <c r="G713" s="13" t="s">
        <v>221</v>
      </c>
      <c r="H713" s="13" t="s">
        <v>15</v>
      </c>
      <c r="I713" s="13">
        <v>95060.0</v>
      </c>
      <c r="J713" s="5" t="str">
        <f t="shared" si="1"/>
        <v>Kecia Olsen</v>
      </c>
    </row>
    <row r="714">
      <c r="A714" s="13">
        <v>713.0</v>
      </c>
      <c r="B714" s="13" t="s">
        <v>2932</v>
      </c>
      <c r="C714" s="13" t="s">
        <v>2933</v>
      </c>
      <c r="D714" s="13" t="s">
        <v>18</v>
      </c>
      <c r="E714" s="13" t="s">
        <v>2934</v>
      </c>
      <c r="F714" s="13" t="s">
        <v>2935</v>
      </c>
      <c r="G714" s="13" t="s">
        <v>195</v>
      </c>
      <c r="H714" s="13" t="s">
        <v>16</v>
      </c>
      <c r="I714" s="13">
        <v>11776.0</v>
      </c>
      <c r="J714" s="5" t="str">
        <f t="shared" si="1"/>
        <v>Ilona Spears</v>
      </c>
    </row>
    <row r="715">
      <c r="A715" s="13">
        <v>714.0</v>
      </c>
      <c r="B715" s="13" t="s">
        <v>2936</v>
      </c>
      <c r="C715" s="13" t="s">
        <v>2157</v>
      </c>
      <c r="D715" s="13" t="s">
        <v>18</v>
      </c>
      <c r="E715" s="13" t="s">
        <v>2937</v>
      </c>
      <c r="F715" s="13" t="s">
        <v>2938</v>
      </c>
      <c r="G715" s="13" t="s">
        <v>60</v>
      </c>
      <c r="H715" s="13" t="s">
        <v>16</v>
      </c>
      <c r="I715" s="13">
        <v>10451.0</v>
      </c>
      <c r="J715" s="5" t="str">
        <f t="shared" si="1"/>
        <v>Senaida Thompson</v>
      </c>
    </row>
    <row r="716">
      <c r="A716" s="13">
        <v>715.0</v>
      </c>
      <c r="B716" s="13" t="s">
        <v>2939</v>
      </c>
      <c r="C716" s="13" t="s">
        <v>2940</v>
      </c>
      <c r="D716" s="13" t="s">
        <v>18</v>
      </c>
      <c r="E716" s="13" t="s">
        <v>2941</v>
      </c>
      <c r="F716" s="13" t="s">
        <v>2942</v>
      </c>
      <c r="G716" s="13" t="s">
        <v>236</v>
      </c>
      <c r="H716" s="13" t="s">
        <v>16</v>
      </c>
      <c r="I716" s="13">
        <v>11104.0</v>
      </c>
      <c r="J716" s="5" t="str">
        <f t="shared" si="1"/>
        <v>Larae Carney</v>
      </c>
    </row>
    <row r="717">
      <c r="A717" s="13">
        <v>716.0</v>
      </c>
      <c r="B717" s="13" t="s">
        <v>2943</v>
      </c>
      <c r="C717" s="13" t="s">
        <v>2944</v>
      </c>
      <c r="D717" s="13" t="s">
        <v>18</v>
      </c>
      <c r="E717" s="13" t="s">
        <v>2945</v>
      </c>
      <c r="F717" s="13" t="s">
        <v>2946</v>
      </c>
      <c r="G717" s="13" t="s">
        <v>86</v>
      </c>
      <c r="H717" s="13" t="s">
        <v>16</v>
      </c>
      <c r="I717" s="13">
        <v>11727.0</v>
      </c>
      <c r="J717" s="5" t="str">
        <f t="shared" si="1"/>
        <v>Sebrina Hart</v>
      </c>
    </row>
    <row r="718">
      <c r="A718" s="13">
        <v>717.0</v>
      </c>
      <c r="B718" s="13" t="s">
        <v>2947</v>
      </c>
      <c r="C718" s="13" t="s">
        <v>2948</v>
      </c>
      <c r="D718" s="13" t="s">
        <v>18</v>
      </c>
      <c r="E718" s="13" t="s">
        <v>2949</v>
      </c>
      <c r="F718" s="13" t="s">
        <v>2950</v>
      </c>
      <c r="G718" s="13" t="s">
        <v>190</v>
      </c>
      <c r="H718" s="13" t="s">
        <v>16</v>
      </c>
      <c r="I718" s="13">
        <v>11803.0</v>
      </c>
      <c r="J718" s="5" t="str">
        <f t="shared" si="1"/>
        <v>Kristofer Craig</v>
      </c>
    </row>
    <row r="719">
      <c r="A719" s="13">
        <v>718.0</v>
      </c>
      <c r="B719" s="13" t="s">
        <v>2951</v>
      </c>
      <c r="C719" s="13" t="s">
        <v>2952</v>
      </c>
      <c r="D719" s="13" t="s">
        <v>18</v>
      </c>
      <c r="E719" s="13" t="s">
        <v>2953</v>
      </c>
      <c r="F719" s="13" t="s">
        <v>2954</v>
      </c>
      <c r="G719" s="13" t="s">
        <v>226</v>
      </c>
      <c r="H719" s="13" t="s">
        <v>16</v>
      </c>
      <c r="I719" s="13">
        <v>11784.0</v>
      </c>
      <c r="J719" s="5" t="str">
        <f t="shared" si="1"/>
        <v>Luciana Mcgee</v>
      </c>
    </row>
    <row r="720">
      <c r="A720" s="13">
        <v>719.0</v>
      </c>
      <c r="B720" s="13" t="s">
        <v>2746</v>
      </c>
      <c r="C720" s="13" t="s">
        <v>1833</v>
      </c>
      <c r="D720" s="13" t="s">
        <v>18</v>
      </c>
      <c r="E720" s="13" t="s">
        <v>2955</v>
      </c>
      <c r="F720" s="13" t="s">
        <v>2956</v>
      </c>
      <c r="G720" s="13" t="s">
        <v>111</v>
      </c>
      <c r="H720" s="13" t="s">
        <v>16</v>
      </c>
      <c r="I720" s="13">
        <v>13760.0</v>
      </c>
      <c r="J720" s="5" t="str">
        <f t="shared" si="1"/>
        <v>Nicki Fry</v>
      </c>
    </row>
    <row r="721">
      <c r="A721" s="13">
        <v>720.0</v>
      </c>
      <c r="B721" s="13" t="s">
        <v>2957</v>
      </c>
      <c r="C721" s="13" t="s">
        <v>2958</v>
      </c>
      <c r="D721" s="13" t="s">
        <v>2959</v>
      </c>
      <c r="E721" s="13" t="s">
        <v>2960</v>
      </c>
      <c r="F721" s="13" t="s">
        <v>2961</v>
      </c>
      <c r="G721" s="13" t="s">
        <v>204</v>
      </c>
      <c r="H721" s="13" t="s">
        <v>16</v>
      </c>
      <c r="I721" s="13">
        <v>14606.0</v>
      </c>
      <c r="J721" s="5" t="str">
        <f t="shared" si="1"/>
        <v>Devin Shaffer</v>
      </c>
    </row>
    <row r="722">
      <c r="A722" s="13">
        <v>721.0</v>
      </c>
      <c r="B722" s="13" t="s">
        <v>781</v>
      </c>
      <c r="C722" s="13" t="s">
        <v>2962</v>
      </c>
      <c r="D722" s="13" t="s">
        <v>18</v>
      </c>
      <c r="E722" s="13" t="s">
        <v>2963</v>
      </c>
      <c r="F722" s="13" t="s">
        <v>2964</v>
      </c>
      <c r="G722" s="13" t="s">
        <v>252</v>
      </c>
      <c r="H722" s="13" t="s">
        <v>16</v>
      </c>
      <c r="I722" s="13">
        <v>11795.0</v>
      </c>
      <c r="J722" s="5" t="str">
        <f t="shared" si="1"/>
        <v>Erlinda Osborne</v>
      </c>
    </row>
    <row r="723">
      <c r="A723" s="13">
        <v>722.0</v>
      </c>
      <c r="B723" s="13" t="s">
        <v>2965</v>
      </c>
      <c r="C723" s="13" t="s">
        <v>1500</v>
      </c>
      <c r="D723" s="13" t="s">
        <v>2966</v>
      </c>
      <c r="E723" s="13" t="s">
        <v>2967</v>
      </c>
      <c r="F723" s="13" t="s">
        <v>2968</v>
      </c>
      <c r="G723" s="13" t="s">
        <v>214</v>
      </c>
      <c r="H723" s="13" t="s">
        <v>17</v>
      </c>
      <c r="I723" s="13">
        <v>78213.0</v>
      </c>
      <c r="J723" s="5" t="str">
        <f t="shared" si="1"/>
        <v>Camila Carroll</v>
      </c>
    </row>
    <row r="724">
      <c r="A724" s="13">
        <v>723.0</v>
      </c>
      <c r="B724" s="13" t="s">
        <v>2969</v>
      </c>
      <c r="C724" s="13" t="s">
        <v>1527</v>
      </c>
      <c r="D724" s="13" t="s">
        <v>18</v>
      </c>
      <c r="E724" s="13" t="s">
        <v>2970</v>
      </c>
      <c r="F724" s="13" t="s">
        <v>2971</v>
      </c>
      <c r="G724" s="13" t="s">
        <v>248</v>
      </c>
      <c r="H724" s="13" t="s">
        <v>16</v>
      </c>
      <c r="I724" s="13">
        <v>12590.0</v>
      </c>
      <c r="J724" s="5" t="str">
        <f t="shared" si="1"/>
        <v>Vicki Wiggins</v>
      </c>
    </row>
    <row r="725">
      <c r="A725" s="13">
        <v>724.0</v>
      </c>
      <c r="B725" s="13" t="s">
        <v>2972</v>
      </c>
      <c r="C725" s="13" t="s">
        <v>993</v>
      </c>
      <c r="D725" s="13" t="s">
        <v>18</v>
      </c>
      <c r="E725" s="13" t="s">
        <v>2973</v>
      </c>
      <c r="F725" s="13" t="s">
        <v>2974</v>
      </c>
      <c r="G725" s="13" t="s">
        <v>183</v>
      </c>
      <c r="H725" s="13" t="s">
        <v>16</v>
      </c>
      <c r="I725" s="13">
        <v>10562.0</v>
      </c>
      <c r="J725" s="5" t="str">
        <f t="shared" si="1"/>
        <v>Lois Steele</v>
      </c>
    </row>
    <row r="726">
      <c r="A726" s="13">
        <v>725.0</v>
      </c>
      <c r="B726" s="13" t="s">
        <v>902</v>
      </c>
      <c r="C726" s="13" t="s">
        <v>2975</v>
      </c>
      <c r="D726" s="13" t="s">
        <v>18</v>
      </c>
      <c r="E726" s="13" t="s">
        <v>2976</v>
      </c>
      <c r="F726" s="13" t="s">
        <v>2977</v>
      </c>
      <c r="G726" s="13" t="s">
        <v>200</v>
      </c>
      <c r="H726" s="13" t="s">
        <v>16</v>
      </c>
      <c r="I726" s="13">
        <v>11374.0</v>
      </c>
      <c r="J726" s="5" t="str">
        <f t="shared" si="1"/>
        <v>Carola Mcpherson</v>
      </c>
    </row>
    <row r="727">
      <c r="A727" s="13">
        <v>726.0</v>
      </c>
      <c r="B727" s="13" t="s">
        <v>2978</v>
      </c>
      <c r="C727" s="13" t="s">
        <v>899</v>
      </c>
      <c r="D727" s="13" t="s">
        <v>18</v>
      </c>
      <c r="E727" s="13" t="s">
        <v>2979</v>
      </c>
      <c r="F727" s="13" t="s">
        <v>2980</v>
      </c>
      <c r="G727" s="13" t="s">
        <v>195</v>
      </c>
      <c r="H727" s="13" t="s">
        <v>16</v>
      </c>
      <c r="I727" s="13">
        <v>11776.0</v>
      </c>
      <c r="J727" s="5" t="str">
        <f t="shared" si="1"/>
        <v>Rochell Cantrell</v>
      </c>
    </row>
    <row r="728">
      <c r="A728" s="13">
        <v>727.0</v>
      </c>
      <c r="B728" s="13" t="s">
        <v>272</v>
      </c>
      <c r="C728" s="13" t="s">
        <v>2981</v>
      </c>
      <c r="D728" s="13" t="s">
        <v>18</v>
      </c>
      <c r="E728" s="13" t="s">
        <v>2982</v>
      </c>
      <c r="F728" s="13" t="s">
        <v>2983</v>
      </c>
      <c r="G728" s="13" t="s">
        <v>224</v>
      </c>
      <c r="H728" s="13" t="s">
        <v>16</v>
      </c>
      <c r="I728" s="13">
        <v>10583.0</v>
      </c>
      <c r="J728" s="5" t="str">
        <f t="shared" si="1"/>
        <v>Kasha Sullivan</v>
      </c>
    </row>
    <row r="729">
      <c r="A729" s="13">
        <v>728.0</v>
      </c>
      <c r="B729" s="13" t="s">
        <v>2984</v>
      </c>
      <c r="C729" s="13" t="s">
        <v>966</v>
      </c>
      <c r="D729" s="13" t="s">
        <v>18</v>
      </c>
      <c r="E729" s="13" t="s">
        <v>2985</v>
      </c>
      <c r="F729" s="13" t="s">
        <v>2986</v>
      </c>
      <c r="G729" s="13" t="s">
        <v>182</v>
      </c>
      <c r="H729" s="13" t="s">
        <v>16</v>
      </c>
      <c r="I729" s="13">
        <v>14127.0</v>
      </c>
      <c r="J729" s="5" t="str">
        <f t="shared" si="1"/>
        <v>Viva Dawson</v>
      </c>
    </row>
    <row r="730">
      <c r="A730" s="13">
        <v>729.0</v>
      </c>
      <c r="B730" s="13" t="s">
        <v>2987</v>
      </c>
      <c r="C730" s="13" t="s">
        <v>2037</v>
      </c>
      <c r="D730" s="13" t="s">
        <v>18</v>
      </c>
      <c r="E730" s="13" t="s">
        <v>2988</v>
      </c>
      <c r="F730" s="13" t="s">
        <v>2989</v>
      </c>
      <c r="G730" s="13" t="s">
        <v>33</v>
      </c>
      <c r="H730" s="13" t="s">
        <v>15</v>
      </c>
      <c r="I730" s="13">
        <v>92307.0</v>
      </c>
      <c r="J730" s="5" t="str">
        <f t="shared" si="1"/>
        <v>Hue Dalton</v>
      </c>
    </row>
    <row r="731">
      <c r="A731" s="13">
        <v>730.0</v>
      </c>
      <c r="B731" s="13" t="s">
        <v>2990</v>
      </c>
      <c r="C731" s="13" t="s">
        <v>2991</v>
      </c>
      <c r="D731" s="13" t="s">
        <v>18</v>
      </c>
      <c r="E731" s="13" t="s">
        <v>2992</v>
      </c>
      <c r="F731" s="13" t="s">
        <v>2993</v>
      </c>
      <c r="G731" s="13" t="s">
        <v>27</v>
      </c>
      <c r="H731" s="13" t="s">
        <v>17</v>
      </c>
      <c r="I731" s="13">
        <v>79106.0</v>
      </c>
      <c r="J731" s="5" t="str">
        <f t="shared" si="1"/>
        <v>Andria Rivers</v>
      </c>
    </row>
    <row r="732">
      <c r="A732" s="13">
        <v>731.0</v>
      </c>
      <c r="B732" s="13" t="s">
        <v>2994</v>
      </c>
      <c r="C732" s="13" t="s">
        <v>2995</v>
      </c>
      <c r="D732" s="13" t="s">
        <v>2996</v>
      </c>
      <c r="E732" s="13" t="s">
        <v>2997</v>
      </c>
      <c r="F732" s="13" t="s">
        <v>2998</v>
      </c>
      <c r="G732" s="13" t="s">
        <v>185</v>
      </c>
      <c r="H732" s="13" t="s">
        <v>15</v>
      </c>
      <c r="I732" s="13">
        <v>93035.0</v>
      </c>
      <c r="J732" s="5" t="str">
        <f t="shared" si="1"/>
        <v>Hilary Savage</v>
      </c>
    </row>
    <row r="733">
      <c r="A733" s="13">
        <v>732.0</v>
      </c>
      <c r="B733" s="13" t="s">
        <v>2999</v>
      </c>
      <c r="C733" s="13" t="s">
        <v>2299</v>
      </c>
      <c r="D733" s="13" t="s">
        <v>18</v>
      </c>
      <c r="E733" s="13" t="s">
        <v>3000</v>
      </c>
      <c r="F733" s="13" t="s">
        <v>3001</v>
      </c>
      <c r="G733" s="13" t="s">
        <v>243</v>
      </c>
      <c r="H733" s="13" t="s">
        <v>16</v>
      </c>
      <c r="I733" s="13">
        <v>13501.0</v>
      </c>
      <c r="J733" s="5" t="str">
        <f t="shared" si="1"/>
        <v>Lavona Austin</v>
      </c>
    </row>
    <row r="734">
      <c r="A734" s="13">
        <v>733.0</v>
      </c>
      <c r="B734" s="13" t="s">
        <v>3002</v>
      </c>
      <c r="C734" s="13" t="s">
        <v>3003</v>
      </c>
      <c r="D734" s="13" t="s">
        <v>18</v>
      </c>
      <c r="E734" s="13" t="s">
        <v>3004</v>
      </c>
      <c r="F734" s="13" t="s">
        <v>3005</v>
      </c>
      <c r="G734" s="13" t="s">
        <v>140</v>
      </c>
      <c r="H734" s="13" t="s">
        <v>16</v>
      </c>
      <c r="I734" s="13">
        <v>11743.0</v>
      </c>
      <c r="J734" s="5" t="str">
        <f t="shared" si="1"/>
        <v>Doreatha Ford</v>
      </c>
    </row>
    <row r="735">
      <c r="A735" s="13">
        <v>734.0</v>
      </c>
      <c r="B735" s="13" t="s">
        <v>3006</v>
      </c>
      <c r="C735" s="13" t="s">
        <v>3007</v>
      </c>
      <c r="D735" s="13" t="s">
        <v>18</v>
      </c>
      <c r="E735" s="13" t="s">
        <v>3008</v>
      </c>
      <c r="F735" s="13" t="s">
        <v>3009</v>
      </c>
      <c r="G735" s="13" t="s">
        <v>188</v>
      </c>
      <c r="H735" s="13" t="s">
        <v>16</v>
      </c>
      <c r="I735" s="13">
        <v>11772.0</v>
      </c>
      <c r="J735" s="5" t="str">
        <f t="shared" si="1"/>
        <v>Alina Mcleod</v>
      </c>
    </row>
    <row r="736">
      <c r="A736" s="13">
        <v>735.0</v>
      </c>
      <c r="B736" s="13" t="s">
        <v>3010</v>
      </c>
      <c r="C736" s="13" t="s">
        <v>654</v>
      </c>
      <c r="D736" s="13" t="s">
        <v>18</v>
      </c>
      <c r="E736" s="13" t="s">
        <v>3011</v>
      </c>
      <c r="F736" s="13" t="s">
        <v>3012</v>
      </c>
      <c r="G736" s="13" t="s">
        <v>35</v>
      </c>
      <c r="H736" s="13" t="s">
        <v>15</v>
      </c>
      <c r="I736" s="13">
        <v>95301.0</v>
      </c>
      <c r="J736" s="5" t="str">
        <f t="shared" si="1"/>
        <v>Aide Franco</v>
      </c>
    </row>
    <row r="737">
      <c r="A737" s="13">
        <v>736.0</v>
      </c>
      <c r="B737" s="13" t="s">
        <v>3013</v>
      </c>
      <c r="C737" s="13" t="s">
        <v>1122</v>
      </c>
      <c r="D737" s="13" t="s">
        <v>18</v>
      </c>
      <c r="E737" s="13" t="s">
        <v>3014</v>
      </c>
      <c r="F737" s="13" t="s">
        <v>3015</v>
      </c>
      <c r="G737" s="13" t="s">
        <v>199</v>
      </c>
      <c r="H737" s="13" t="s">
        <v>15</v>
      </c>
      <c r="I737" s="13">
        <v>90278.0</v>
      </c>
      <c r="J737" s="5" t="str">
        <f t="shared" si="1"/>
        <v>Genny Hensley</v>
      </c>
    </row>
    <row r="738">
      <c r="A738" s="13">
        <v>737.0</v>
      </c>
      <c r="B738" s="13" t="s">
        <v>3016</v>
      </c>
      <c r="C738" s="13" t="s">
        <v>3017</v>
      </c>
      <c r="D738" s="13" t="s">
        <v>18</v>
      </c>
      <c r="E738" s="13" t="s">
        <v>3018</v>
      </c>
      <c r="F738" s="13" t="s">
        <v>3019</v>
      </c>
      <c r="G738" s="13" t="s">
        <v>38</v>
      </c>
      <c r="H738" s="13" t="s">
        <v>16</v>
      </c>
      <c r="I738" s="13">
        <v>13021.0</v>
      </c>
      <c r="J738" s="5" t="str">
        <f t="shared" si="1"/>
        <v>Melita Dominguez</v>
      </c>
    </row>
    <row r="739">
      <c r="A739" s="13">
        <v>738.0</v>
      </c>
      <c r="B739" s="13" t="s">
        <v>3020</v>
      </c>
      <c r="C739" s="13" t="s">
        <v>1510</v>
      </c>
      <c r="D739" s="13" t="s">
        <v>3021</v>
      </c>
      <c r="E739" s="13" t="s">
        <v>3022</v>
      </c>
      <c r="F739" s="13" t="s">
        <v>3023</v>
      </c>
      <c r="G739" s="13" t="s">
        <v>185</v>
      </c>
      <c r="H739" s="13" t="s">
        <v>15</v>
      </c>
      <c r="I739" s="13">
        <v>93035.0</v>
      </c>
      <c r="J739" s="5" t="str">
        <f t="shared" si="1"/>
        <v>Fannie Jenkins</v>
      </c>
    </row>
    <row r="740">
      <c r="A740" s="13">
        <v>739.0</v>
      </c>
      <c r="B740" s="13" t="s">
        <v>3024</v>
      </c>
      <c r="C740" s="13" t="s">
        <v>3025</v>
      </c>
      <c r="D740" s="13" t="s">
        <v>18</v>
      </c>
      <c r="E740" s="13" t="s">
        <v>3026</v>
      </c>
      <c r="F740" s="13" t="s">
        <v>3027</v>
      </c>
      <c r="G740" s="13" t="s">
        <v>52</v>
      </c>
      <c r="H740" s="13" t="s">
        <v>16</v>
      </c>
      <c r="I740" s="13">
        <v>11361.0</v>
      </c>
      <c r="J740" s="5" t="str">
        <f t="shared" si="1"/>
        <v>Bobbi Banks</v>
      </c>
    </row>
    <row r="741">
      <c r="A741" s="13">
        <v>740.0</v>
      </c>
      <c r="B741" s="13" t="s">
        <v>3028</v>
      </c>
      <c r="C741" s="13" t="s">
        <v>538</v>
      </c>
      <c r="D741" s="13" t="s">
        <v>18</v>
      </c>
      <c r="E741" s="13" t="s">
        <v>3029</v>
      </c>
      <c r="F741" s="13" t="s">
        <v>3030</v>
      </c>
      <c r="G741" s="13" t="s">
        <v>74</v>
      </c>
      <c r="H741" s="13" t="s">
        <v>16</v>
      </c>
      <c r="I741" s="13">
        <v>11720.0</v>
      </c>
      <c r="J741" s="5" t="str">
        <f t="shared" si="1"/>
        <v>Gwenn Melton</v>
      </c>
    </row>
    <row r="742">
      <c r="A742" s="13">
        <v>741.0</v>
      </c>
      <c r="B742" s="13" t="s">
        <v>3031</v>
      </c>
      <c r="C742" s="13" t="s">
        <v>2361</v>
      </c>
      <c r="D742" s="13" t="s">
        <v>18</v>
      </c>
      <c r="E742" s="13" t="s">
        <v>3032</v>
      </c>
      <c r="F742" s="13" t="s">
        <v>3033</v>
      </c>
      <c r="G742" s="13" t="s">
        <v>212</v>
      </c>
      <c r="H742" s="13" t="s">
        <v>16</v>
      </c>
      <c r="I742" s="13">
        <v>11412.0</v>
      </c>
      <c r="J742" s="5" t="str">
        <f t="shared" si="1"/>
        <v>Laci Castro</v>
      </c>
    </row>
    <row r="743">
      <c r="A743" s="13">
        <v>742.0</v>
      </c>
      <c r="B743" s="13" t="s">
        <v>2643</v>
      </c>
      <c r="C743" s="13" t="s">
        <v>3034</v>
      </c>
      <c r="D743" s="13" t="s">
        <v>18</v>
      </c>
      <c r="E743" s="13" t="s">
        <v>3035</v>
      </c>
      <c r="F743" s="13" t="s">
        <v>3036</v>
      </c>
      <c r="G743" s="13" t="s">
        <v>167</v>
      </c>
      <c r="H743" s="13" t="s">
        <v>16</v>
      </c>
      <c r="I743" s="13">
        <v>10550.0</v>
      </c>
      <c r="J743" s="5" t="str">
        <f t="shared" si="1"/>
        <v>Evelina Manning</v>
      </c>
    </row>
    <row r="744">
      <c r="A744" s="13">
        <v>743.0</v>
      </c>
      <c r="B744" s="13" t="s">
        <v>3037</v>
      </c>
      <c r="C744" s="13" t="s">
        <v>3038</v>
      </c>
      <c r="D744" s="13" t="s">
        <v>18</v>
      </c>
      <c r="E744" s="13" t="s">
        <v>3039</v>
      </c>
      <c r="F744" s="13" t="s">
        <v>3040</v>
      </c>
      <c r="G744" s="13" t="s">
        <v>155</v>
      </c>
      <c r="H744" s="13" t="s">
        <v>17</v>
      </c>
      <c r="I744" s="13">
        <v>75604.0</v>
      </c>
      <c r="J744" s="5" t="str">
        <f t="shared" si="1"/>
        <v>Tania Swanson</v>
      </c>
    </row>
    <row r="745">
      <c r="A745" s="13">
        <v>744.0</v>
      </c>
      <c r="B745" s="13" t="s">
        <v>3041</v>
      </c>
      <c r="C745" s="13" t="s">
        <v>2005</v>
      </c>
      <c r="D745" s="13" t="s">
        <v>18</v>
      </c>
      <c r="E745" s="13" t="s">
        <v>3042</v>
      </c>
      <c r="F745" s="13" t="s">
        <v>3043</v>
      </c>
      <c r="G745" s="13" t="s">
        <v>167</v>
      </c>
      <c r="H745" s="13" t="s">
        <v>16</v>
      </c>
      <c r="I745" s="13">
        <v>10550.0</v>
      </c>
      <c r="J745" s="5" t="str">
        <f t="shared" si="1"/>
        <v>Laurel Schultz</v>
      </c>
    </row>
    <row r="746">
      <c r="A746" s="13">
        <v>745.0</v>
      </c>
      <c r="B746" s="13" t="s">
        <v>3044</v>
      </c>
      <c r="C746" s="13" t="s">
        <v>3045</v>
      </c>
      <c r="D746" s="13" t="s">
        <v>18</v>
      </c>
      <c r="E746" s="13" t="s">
        <v>3046</v>
      </c>
      <c r="F746" s="13" t="s">
        <v>3047</v>
      </c>
      <c r="G746" s="13" t="s">
        <v>116</v>
      </c>
      <c r="H746" s="13" t="s">
        <v>16</v>
      </c>
      <c r="I746" s="13">
        <v>11001.0</v>
      </c>
      <c r="J746" s="5" t="str">
        <f t="shared" si="1"/>
        <v>Carolyne Conley</v>
      </c>
    </row>
    <row r="747">
      <c r="A747" s="13">
        <v>746.0</v>
      </c>
      <c r="B747" s="13" t="s">
        <v>3048</v>
      </c>
      <c r="C747" s="13" t="s">
        <v>1649</v>
      </c>
      <c r="D747" s="13" t="s">
        <v>18</v>
      </c>
      <c r="E747" s="13" t="s">
        <v>3049</v>
      </c>
      <c r="F747" s="13" t="s">
        <v>3050</v>
      </c>
      <c r="G747" s="13" t="s">
        <v>76</v>
      </c>
      <c r="H747" s="13" t="s">
        <v>16</v>
      </c>
      <c r="I747" s="13">
        <v>11722.0</v>
      </c>
      <c r="J747" s="5" t="str">
        <f t="shared" si="1"/>
        <v>Eldridge Greer</v>
      </c>
    </row>
    <row r="748">
      <c r="A748" s="13">
        <v>747.0</v>
      </c>
      <c r="B748" s="13" t="s">
        <v>3051</v>
      </c>
      <c r="C748" s="13" t="s">
        <v>1627</v>
      </c>
      <c r="D748" s="13" t="s">
        <v>18</v>
      </c>
      <c r="E748" s="13" t="s">
        <v>3052</v>
      </c>
      <c r="F748" s="13" t="s">
        <v>3053</v>
      </c>
      <c r="G748" s="13" t="s">
        <v>119</v>
      </c>
      <c r="H748" s="13" t="s">
        <v>17</v>
      </c>
      <c r="I748" s="13">
        <v>75126.0</v>
      </c>
      <c r="J748" s="5" t="str">
        <f t="shared" si="1"/>
        <v>Margret Barnett</v>
      </c>
    </row>
    <row r="749">
      <c r="A749" s="13">
        <v>748.0</v>
      </c>
      <c r="B749" s="13" t="s">
        <v>3054</v>
      </c>
      <c r="C749" s="13" t="s">
        <v>3055</v>
      </c>
      <c r="D749" s="13" t="s">
        <v>18</v>
      </c>
      <c r="E749" s="13" t="s">
        <v>3056</v>
      </c>
      <c r="F749" s="13" t="s">
        <v>3057</v>
      </c>
      <c r="G749" s="13" t="s">
        <v>108</v>
      </c>
      <c r="H749" s="13" t="s">
        <v>16</v>
      </c>
      <c r="I749" s="13">
        <v>11373.0</v>
      </c>
      <c r="J749" s="5" t="str">
        <f t="shared" si="1"/>
        <v>Oliva Blackwell</v>
      </c>
    </row>
    <row r="750">
      <c r="A750" s="13">
        <v>749.0</v>
      </c>
      <c r="B750" s="13" t="s">
        <v>3058</v>
      </c>
      <c r="C750" s="13" t="s">
        <v>1321</v>
      </c>
      <c r="D750" s="13" t="s">
        <v>18</v>
      </c>
      <c r="E750" s="13" t="s">
        <v>3059</v>
      </c>
      <c r="F750" s="13" t="s">
        <v>3060</v>
      </c>
      <c r="G750" s="13" t="s">
        <v>242</v>
      </c>
      <c r="H750" s="13" t="s">
        <v>15</v>
      </c>
      <c r="I750" s="13">
        <v>91784.0</v>
      </c>
      <c r="J750" s="5" t="str">
        <f t="shared" si="1"/>
        <v>Oralia Farley</v>
      </c>
    </row>
    <row r="751">
      <c r="A751" s="13">
        <v>750.0</v>
      </c>
      <c r="B751" s="13" t="s">
        <v>1871</v>
      </c>
      <c r="C751" s="13" t="s">
        <v>3061</v>
      </c>
      <c r="D751" s="13" t="s">
        <v>18</v>
      </c>
      <c r="E751" s="13" t="s">
        <v>3062</v>
      </c>
      <c r="F751" s="13" t="s">
        <v>3063</v>
      </c>
      <c r="G751" s="13" t="s">
        <v>166</v>
      </c>
      <c r="H751" s="13" t="s">
        <v>16</v>
      </c>
      <c r="I751" s="13">
        <v>10952.0</v>
      </c>
      <c r="J751" s="5" t="str">
        <f t="shared" si="1"/>
        <v>Romaine Salazar</v>
      </c>
    </row>
    <row r="752">
      <c r="A752" s="13">
        <v>751.0</v>
      </c>
      <c r="B752" s="13" t="s">
        <v>3064</v>
      </c>
      <c r="C752" s="13" t="s">
        <v>3065</v>
      </c>
      <c r="D752" s="13" t="s">
        <v>18</v>
      </c>
      <c r="E752" s="13" t="s">
        <v>3066</v>
      </c>
      <c r="F752" s="13" t="s">
        <v>3067</v>
      </c>
      <c r="G752" s="13" t="s">
        <v>80</v>
      </c>
      <c r="H752" s="13" t="s">
        <v>15</v>
      </c>
      <c r="I752" s="13">
        <v>92236.0</v>
      </c>
      <c r="J752" s="5" t="str">
        <f t="shared" si="1"/>
        <v>Hermila Mckay</v>
      </c>
    </row>
    <row r="753">
      <c r="A753" s="13">
        <v>752.0</v>
      </c>
      <c r="B753" s="13" t="s">
        <v>1329</v>
      </c>
      <c r="C753" s="13" t="s">
        <v>3068</v>
      </c>
      <c r="D753" s="13" t="s">
        <v>18</v>
      </c>
      <c r="E753" s="13" t="s">
        <v>3069</v>
      </c>
      <c r="F753" s="13" t="s">
        <v>3070</v>
      </c>
      <c r="G753" s="13" t="s">
        <v>110</v>
      </c>
      <c r="H753" s="13" t="s">
        <v>15</v>
      </c>
      <c r="I753" s="13">
        <v>91316.0</v>
      </c>
      <c r="J753" s="5" t="str">
        <f t="shared" si="1"/>
        <v>Lloyd Miranda</v>
      </c>
    </row>
    <row r="754">
      <c r="A754" s="13">
        <v>753.0</v>
      </c>
      <c r="B754" s="13" t="s">
        <v>3071</v>
      </c>
      <c r="C754" s="13" t="s">
        <v>3072</v>
      </c>
      <c r="D754" s="13" t="s">
        <v>18</v>
      </c>
      <c r="E754" s="13" t="s">
        <v>3073</v>
      </c>
      <c r="F754" s="13" t="s">
        <v>3074</v>
      </c>
      <c r="G754" s="13" t="s">
        <v>100</v>
      </c>
      <c r="H754" s="13" t="s">
        <v>16</v>
      </c>
      <c r="I754" s="13">
        <v>11369.0</v>
      </c>
      <c r="J754" s="5" t="str">
        <f t="shared" si="1"/>
        <v>Mandi Gibbs</v>
      </c>
    </row>
    <row r="755">
      <c r="A755" s="13">
        <v>754.0</v>
      </c>
      <c r="B755" s="13" t="s">
        <v>2987</v>
      </c>
      <c r="C755" s="13" t="s">
        <v>3075</v>
      </c>
      <c r="D755" s="13" t="s">
        <v>18</v>
      </c>
      <c r="E755" s="13" t="s">
        <v>3076</v>
      </c>
      <c r="F755" s="13" t="s">
        <v>3077</v>
      </c>
      <c r="G755" s="13" t="s">
        <v>244</v>
      </c>
      <c r="H755" s="13" t="s">
        <v>16</v>
      </c>
      <c r="I755" s="13">
        <v>11580.0</v>
      </c>
      <c r="J755" s="5" t="str">
        <f t="shared" si="1"/>
        <v>Hue May</v>
      </c>
    </row>
    <row r="756">
      <c r="A756" s="13">
        <v>755.0</v>
      </c>
      <c r="B756" s="13" t="s">
        <v>929</v>
      </c>
      <c r="C756" s="13" t="s">
        <v>922</v>
      </c>
      <c r="D756" s="13" t="s">
        <v>18</v>
      </c>
      <c r="E756" s="13" t="s">
        <v>3078</v>
      </c>
      <c r="F756" s="13" t="s">
        <v>3079</v>
      </c>
      <c r="G756" s="13" t="s">
        <v>171</v>
      </c>
      <c r="H756" s="13" t="s">
        <v>16</v>
      </c>
      <c r="I756" s="13">
        <v>11040.0</v>
      </c>
      <c r="J756" s="5" t="str">
        <f t="shared" si="1"/>
        <v>Tomika Wilder</v>
      </c>
    </row>
    <row r="757">
      <c r="A757" s="13">
        <v>756.0</v>
      </c>
      <c r="B757" s="13" t="s">
        <v>3080</v>
      </c>
      <c r="C757" s="13" t="s">
        <v>2689</v>
      </c>
      <c r="D757" s="13" t="s">
        <v>18</v>
      </c>
      <c r="E757" s="13" t="s">
        <v>3081</v>
      </c>
      <c r="F757" s="13" t="s">
        <v>3082</v>
      </c>
      <c r="G757" s="13" t="s">
        <v>250</v>
      </c>
      <c r="H757" s="13" t="s">
        <v>16</v>
      </c>
      <c r="I757" s="13">
        <v>11704.0</v>
      </c>
      <c r="J757" s="5" t="str">
        <f t="shared" si="1"/>
        <v>Graig Roth</v>
      </c>
    </row>
    <row r="758">
      <c r="A758" s="13">
        <v>757.0</v>
      </c>
      <c r="B758" s="13" t="s">
        <v>3083</v>
      </c>
      <c r="C758" s="13" t="s">
        <v>1649</v>
      </c>
      <c r="D758" s="13" t="s">
        <v>18</v>
      </c>
      <c r="E758" s="13" t="s">
        <v>3084</v>
      </c>
      <c r="F758" s="13" t="s">
        <v>3085</v>
      </c>
      <c r="G758" s="13" t="s">
        <v>150</v>
      </c>
      <c r="H758" s="13" t="s">
        <v>16</v>
      </c>
      <c r="I758" s="13">
        <v>11756.0</v>
      </c>
      <c r="J758" s="5" t="str">
        <f t="shared" si="1"/>
        <v>Lamar Greer</v>
      </c>
    </row>
    <row r="759">
      <c r="A759" s="13">
        <v>758.0</v>
      </c>
      <c r="B759" s="13" t="s">
        <v>3086</v>
      </c>
      <c r="C759" s="13" t="s">
        <v>3087</v>
      </c>
      <c r="D759" s="13" t="s">
        <v>18</v>
      </c>
      <c r="E759" s="13" t="s">
        <v>3088</v>
      </c>
      <c r="F759" s="13" t="s">
        <v>3089</v>
      </c>
      <c r="G759" s="13" t="s">
        <v>198</v>
      </c>
      <c r="H759" s="13" t="s">
        <v>16</v>
      </c>
      <c r="I759" s="13">
        <v>12804.0</v>
      </c>
      <c r="J759" s="5" t="str">
        <f t="shared" si="1"/>
        <v>Raymonde Garcia</v>
      </c>
    </row>
    <row r="760">
      <c r="A760" s="13">
        <v>759.0</v>
      </c>
      <c r="B760" s="13" t="s">
        <v>3090</v>
      </c>
      <c r="C760" s="13" t="s">
        <v>2862</v>
      </c>
      <c r="D760" s="13" t="s">
        <v>3091</v>
      </c>
      <c r="E760" s="13" t="s">
        <v>3092</v>
      </c>
      <c r="F760" s="13" t="s">
        <v>3093</v>
      </c>
      <c r="G760" s="13" t="s">
        <v>178</v>
      </c>
      <c r="H760" s="13" t="s">
        <v>15</v>
      </c>
      <c r="I760" s="13">
        <v>94603.0</v>
      </c>
      <c r="J760" s="5" t="str">
        <f t="shared" si="1"/>
        <v>Cira Downs</v>
      </c>
    </row>
    <row r="761">
      <c r="A761" s="13">
        <v>760.0</v>
      </c>
      <c r="B761" s="13" t="s">
        <v>3094</v>
      </c>
      <c r="C761" s="13" t="s">
        <v>3095</v>
      </c>
      <c r="D761" s="13" t="s">
        <v>18</v>
      </c>
      <c r="E761" s="13" t="s">
        <v>3096</v>
      </c>
      <c r="F761" s="13" t="s">
        <v>3097</v>
      </c>
      <c r="G761" s="13" t="s">
        <v>29</v>
      </c>
      <c r="H761" s="13" t="s">
        <v>16</v>
      </c>
      <c r="I761" s="13">
        <v>11701.0</v>
      </c>
      <c r="J761" s="5" t="str">
        <f t="shared" si="1"/>
        <v>Marisa Chambers</v>
      </c>
    </row>
    <row r="762">
      <c r="A762" s="13">
        <v>761.0</v>
      </c>
      <c r="B762" s="13" t="s">
        <v>3098</v>
      </c>
      <c r="C762" s="13" t="s">
        <v>3099</v>
      </c>
      <c r="D762" s="13" t="s">
        <v>18</v>
      </c>
      <c r="E762" s="13" t="s">
        <v>3100</v>
      </c>
      <c r="F762" s="13" t="s">
        <v>3101</v>
      </c>
      <c r="G762" s="13" t="s">
        <v>208</v>
      </c>
      <c r="H762" s="13" t="s">
        <v>16</v>
      </c>
      <c r="I762" s="13">
        <v>11779.0</v>
      </c>
      <c r="J762" s="5" t="str">
        <f t="shared" si="1"/>
        <v>Rod Hatfield</v>
      </c>
    </row>
    <row r="763">
      <c r="A763" s="13">
        <v>762.0</v>
      </c>
      <c r="B763" s="13" t="s">
        <v>3102</v>
      </c>
      <c r="C763" s="13" t="s">
        <v>138</v>
      </c>
      <c r="D763" s="13" t="s">
        <v>18</v>
      </c>
      <c r="E763" s="13" t="s">
        <v>3103</v>
      </c>
      <c r="F763" s="13" t="s">
        <v>3104</v>
      </c>
      <c r="G763" s="13" t="s">
        <v>76</v>
      </c>
      <c r="H763" s="13" t="s">
        <v>16</v>
      </c>
      <c r="I763" s="13">
        <v>11722.0</v>
      </c>
      <c r="J763" s="5" t="str">
        <f t="shared" si="1"/>
        <v>Quyen Houston</v>
      </c>
    </row>
    <row r="764">
      <c r="A764" s="13">
        <v>763.0</v>
      </c>
      <c r="B764" s="13" t="s">
        <v>3105</v>
      </c>
      <c r="C764" s="13" t="s">
        <v>1897</v>
      </c>
      <c r="D764" s="13" t="s">
        <v>18</v>
      </c>
      <c r="E764" s="13" t="s">
        <v>3106</v>
      </c>
      <c r="F764" s="13" t="s">
        <v>3107</v>
      </c>
      <c r="G764" s="13" t="s">
        <v>108</v>
      </c>
      <c r="H764" s="13" t="s">
        <v>16</v>
      </c>
      <c r="I764" s="13">
        <v>11373.0</v>
      </c>
      <c r="J764" s="5" t="str">
        <f t="shared" si="1"/>
        <v>Han Schneider</v>
      </c>
    </row>
    <row r="765">
      <c r="A765" s="13">
        <v>764.0</v>
      </c>
      <c r="B765" s="13" t="s">
        <v>3108</v>
      </c>
      <c r="C765" s="13" t="s">
        <v>1200</v>
      </c>
      <c r="D765" s="13" t="s">
        <v>18</v>
      </c>
      <c r="E765" s="13" t="s">
        <v>3109</v>
      </c>
      <c r="F765" s="13" t="s">
        <v>3110</v>
      </c>
      <c r="G765" s="13" t="s">
        <v>226</v>
      </c>
      <c r="H765" s="13" t="s">
        <v>16</v>
      </c>
      <c r="I765" s="13">
        <v>11784.0</v>
      </c>
      <c r="J765" s="5" t="str">
        <f t="shared" si="1"/>
        <v>Terrell Mathis</v>
      </c>
    </row>
    <row r="766">
      <c r="A766" s="13">
        <v>765.0</v>
      </c>
      <c r="B766" s="13" t="s">
        <v>3111</v>
      </c>
      <c r="C766" s="13" t="s">
        <v>563</v>
      </c>
      <c r="D766" s="13" t="s">
        <v>18</v>
      </c>
      <c r="E766" s="13" t="s">
        <v>3112</v>
      </c>
      <c r="F766" s="13" t="s">
        <v>3113</v>
      </c>
      <c r="G766" s="13" t="s">
        <v>183</v>
      </c>
      <c r="H766" s="13" t="s">
        <v>16</v>
      </c>
      <c r="I766" s="13">
        <v>10562.0</v>
      </c>
      <c r="J766" s="5" t="str">
        <f t="shared" si="1"/>
        <v>Spring Hayes</v>
      </c>
    </row>
    <row r="767">
      <c r="A767" s="13">
        <v>766.0</v>
      </c>
      <c r="B767" s="13" t="s">
        <v>3114</v>
      </c>
      <c r="C767" s="13" t="s">
        <v>3115</v>
      </c>
      <c r="D767" s="13" t="s">
        <v>18</v>
      </c>
      <c r="E767" s="13" t="s">
        <v>3116</v>
      </c>
      <c r="F767" s="13" t="s">
        <v>3117</v>
      </c>
      <c r="G767" s="13" t="s">
        <v>225</v>
      </c>
      <c r="H767" s="13" t="s">
        <v>16</v>
      </c>
      <c r="I767" s="13">
        <v>12302.0</v>
      </c>
      <c r="J767" s="5" t="str">
        <f t="shared" si="1"/>
        <v>Lecia Hancock</v>
      </c>
    </row>
    <row r="768">
      <c r="A768" s="13">
        <v>767.0</v>
      </c>
      <c r="B768" s="13" t="s">
        <v>3118</v>
      </c>
      <c r="C768" s="13" t="s">
        <v>2372</v>
      </c>
      <c r="D768" s="13" t="s">
        <v>3119</v>
      </c>
      <c r="E768" s="13" t="s">
        <v>3120</v>
      </c>
      <c r="F768" s="13" t="s">
        <v>3121</v>
      </c>
      <c r="G768" s="13" t="s">
        <v>32</v>
      </c>
      <c r="H768" s="13" t="s">
        <v>15</v>
      </c>
      <c r="I768" s="13">
        <v>92806.0</v>
      </c>
      <c r="J768" s="5" t="str">
        <f t="shared" si="1"/>
        <v>Twana Arnold</v>
      </c>
    </row>
    <row r="769">
      <c r="A769" s="13">
        <v>768.0</v>
      </c>
      <c r="B769" s="13" t="s">
        <v>3122</v>
      </c>
      <c r="C769" s="13" t="s">
        <v>1163</v>
      </c>
      <c r="D769" s="13" t="s">
        <v>18</v>
      </c>
      <c r="E769" s="13" t="s">
        <v>3123</v>
      </c>
      <c r="F769" s="13" t="s">
        <v>3124</v>
      </c>
      <c r="G769" s="13" t="s">
        <v>219</v>
      </c>
      <c r="H769" s="13" t="s">
        <v>15</v>
      </c>
      <c r="I769" s="13">
        <v>94806.0</v>
      </c>
      <c r="J769" s="5" t="str">
        <f t="shared" si="1"/>
        <v>Yvone Yates</v>
      </c>
    </row>
    <row r="770">
      <c r="A770" s="13">
        <v>769.0</v>
      </c>
      <c r="B770" s="13" t="s">
        <v>3125</v>
      </c>
      <c r="C770" s="13" t="s">
        <v>538</v>
      </c>
      <c r="D770" s="13" t="s">
        <v>18</v>
      </c>
      <c r="E770" s="13" t="s">
        <v>3126</v>
      </c>
      <c r="F770" s="13" t="s">
        <v>3127</v>
      </c>
      <c r="G770" s="13" t="s">
        <v>233</v>
      </c>
      <c r="H770" s="13" t="s">
        <v>16</v>
      </c>
      <c r="I770" s="13">
        <v>11413.0</v>
      </c>
      <c r="J770" s="5" t="str">
        <f t="shared" si="1"/>
        <v>Agatha Melton</v>
      </c>
    </row>
    <row r="771">
      <c r="A771" s="13">
        <v>770.0</v>
      </c>
      <c r="B771" s="13" t="s">
        <v>3128</v>
      </c>
      <c r="C771" s="13" t="s">
        <v>3129</v>
      </c>
      <c r="D771" s="13" t="s">
        <v>18</v>
      </c>
      <c r="E771" s="13" t="s">
        <v>3130</v>
      </c>
      <c r="F771" s="13" t="s">
        <v>3131</v>
      </c>
      <c r="G771" s="13" t="s">
        <v>50</v>
      </c>
      <c r="H771" s="13" t="s">
        <v>16</v>
      </c>
      <c r="I771" s="13">
        <v>11706.0</v>
      </c>
      <c r="J771" s="5" t="str">
        <f t="shared" si="1"/>
        <v>Lavonda Stephenson</v>
      </c>
    </row>
    <row r="772">
      <c r="A772" s="13">
        <v>771.0</v>
      </c>
      <c r="B772" s="13" t="s">
        <v>3132</v>
      </c>
      <c r="C772" s="13" t="s">
        <v>2124</v>
      </c>
      <c r="D772" s="13" t="s">
        <v>3133</v>
      </c>
      <c r="E772" s="13" t="s">
        <v>3134</v>
      </c>
      <c r="F772" s="13" t="s">
        <v>3135</v>
      </c>
      <c r="G772" s="13" t="s">
        <v>64</v>
      </c>
      <c r="H772" s="13" t="s">
        <v>16</v>
      </c>
      <c r="I772" s="13">
        <v>14215.0</v>
      </c>
      <c r="J772" s="5" t="str">
        <f t="shared" si="1"/>
        <v>Agnes Sims</v>
      </c>
    </row>
    <row r="773">
      <c r="A773" s="13">
        <v>772.0</v>
      </c>
      <c r="B773" s="13" t="s">
        <v>3136</v>
      </c>
      <c r="C773" s="13" t="s">
        <v>3137</v>
      </c>
      <c r="D773" s="13" t="s">
        <v>18</v>
      </c>
      <c r="E773" s="13" t="s">
        <v>3138</v>
      </c>
      <c r="F773" s="13" t="s">
        <v>3139</v>
      </c>
      <c r="G773" s="13" t="s">
        <v>258</v>
      </c>
      <c r="H773" s="13" t="s">
        <v>16</v>
      </c>
      <c r="I773" s="13">
        <v>10598.0</v>
      </c>
      <c r="J773" s="5" t="str">
        <f t="shared" si="1"/>
        <v>Latricia Lindsey</v>
      </c>
    </row>
    <row r="774">
      <c r="A774" s="13">
        <v>773.0</v>
      </c>
      <c r="B774" s="13" t="s">
        <v>3140</v>
      </c>
      <c r="C774" s="13" t="s">
        <v>3141</v>
      </c>
      <c r="D774" s="13" t="s">
        <v>18</v>
      </c>
      <c r="E774" s="13" t="s">
        <v>3142</v>
      </c>
      <c r="F774" s="13" t="s">
        <v>3143</v>
      </c>
      <c r="G774" s="13" t="s">
        <v>160</v>
      </c>
      <c r="H774" s="13" t="s">
        <v>16</v>
      </c>
      <c r="I774" s="13">
        <v>11758.0</v>
      </c>
      <c r="J774" s="5" t="str">
        <f t="shared" si="1"/>
        <v>Yolando Wade</v>
      </c>
    </row>
    <row r="775">
      <c r="A775" s="13">
        <v>774.0</v>
      </c>
      <c r="B775" s="13" t="s">
        <v>3144</v>
      </c>
      <c r="C775" s="13" t="s">
        <v>1155</v>
      </c>
      <c r="D775" s="13" t="s">
        <v>18</v>
      </c>
      <c r="E775" s="13" t="s">
        <v>3145</v>
      </c>
      <c r="F775" s="13" t="s">
        <v>3146</v>
      </c>
      <c r="G775" s="13" t="s">
        <v>149</v>
      </c>
      <c r="H775" s="13" t="s">
        <v>15</v>
      </c>
      <c r="I775" s="13">
        <v>90260.0</v>
      </c>
      <c r="J775" s="5" t="str">
        <f t="shared" si="1"/>
        <v>Nenita Mooney</v>
      </c>
    </row>
    <row r="776">
      <c r="A776" s="13">
        <v>775.0</v>
      </c>
      <c r="B776" s="13" t="s">
        <v>2802</v>
      </c>
      <c r="C776" s="13" t="s">
        <v>3147</v>
      </c>
      <c r="D776" s="13" t="s">
        <v>18</v>
      </c>
      <c r="E776" s="13" t="s">
        <v>3148</v>
      </c>
      <c r="F776" s="13" t="s">
        <v>3149</v>
      </c>
      <c r="G776" s="13" t="s">
        <v>188</v>
      </c>
      <c r="H776" s="13" t="s">
        <v>16</v>
      </c>
      <c r="I776" s="13">
        <v>11772.0</v>
      </c>
      <c r="J776" s="5" t="str">
        <f t="shared" si="1"/>
        <v>Kermit Hyde</v>
      </c>
    </row>
    <row r="777">
      <c r="A777" s="13">
        <v>776.0</v>
      </c>
      <c r="B777" s="13" t="s">
        <v>3150</v>
      </c>
      <c r="C777" s="13" t="s">
        <v>3151</v>
      </c>
      <c r="D777" s="13" t="s">
        <v>18</v>
      </c>
      <c r="E777" s="13" t="s">
        <v>3152</v>
      </c>
      <c r="F777" s="13" t="s">
        <v>3153</v>
      </c>
      <c r="G777" s="13" t="s">
        <v>229</v>
      </c>
      <c r="H777" s="13" t="s">
        <v>15</v>
      </c>
      <c r="I777" s="13">
        <v>91733.0</v>
      </c>
      <c r="J777" s="5" t="str">
        <f t="shared" si="1"/>
        <v>Angelique Merrill</v>
      </c>
    </row>
    <row r="778">
      <c r="A778" s="13">
        <v>777.0</v>
      </c>
      <c r="B778" s="13" t="s">
        <v>3154</v>
      </c>
      <c r="C778" s="13" t="s">
        <v>1048</v>
      </c>
      <c r="D778" s="13" t="s">
        <v>18</v>
      </c>
      <c r="E778" s="13" t="s">
        <v>3155</v>
      </c>
      <c r="F778" s="13" t="s">
        <v>3156</v>
      </c>
      <c r="G778" s="13" t="s">
        <v>146</v>
      </c>
      <c r="H778" s="13" t="s">
        <v>16</v>
      </c>
      <c r="I778" s="13">
        <v>12401.0</v>
      </c>
      <c r="J778" s="5" t="str">
        <f t="shared" si="1"/>
        <v>Ilda Roberson</v>
      </c>
    </row>
    <row r="779">
      <c r="A779" s="13">
        <v>778.0</v>
      </c>
      <c r="B779" s="13" t="s">
        <v>3157</v>
      </c>
      <c r="C779" s="13" t="s">
        <v>2778</v>
      </c>
      <c r="D779" s="13" t="s">
        <v>18</v>
      </c>
      <c r="E779" s="13" t="s">
        <v>3158</v>
      </c>
      <c r="F779" s="13" t="s">
        <v>3159</v>
      </c>
      <c r="G779" s="13" t="s">
        <v>245</v>
      </c>
      <c r="H779" s="13" t="s">
        <v>17</v>
      </c>
      <c r="I779" s="13">
        <v>77904.0</v>
      </c>
      <c r="J779" s="5" t="str">
        <f t="shared" si="1"/>
        <v>Corrinne Garrison</v>
      </c>
    </row>
    <row r="780">
      <c r="A780" s="13">
        <v>779.0</v>
      </c>
      <c r="B780" s="13" t="s">
        <v>3160</v>
      </c>
      <c r="C780" s="13" t="s">
        <v>3151</v>
      </c>
      <c r="D780" s="13" t="s">
        <v>18</v>
      </c>
      <c r="E780" s="13" t="s">
        <v>3161</v>
      </c>
      <c r="F780" s="13" t="s">
        <v>3162</v>
      </c>
      <c r="G780" s="13" t="s">
        <v>34</v>
      </c>
      <c r="H780" s="13" t="s">
        <v>16</v>
      </c>
      <c r="I780" s="13">
        <v>11102.0</v>
      </c>
      <c r="J780" s="5" t="str">
        <f t="shared" si="1"/>
        <v>Major Merrill</v>
      </c>
    </row>
    <row r="781">
      <c r="A781" s="13">
        <v>780.0</v>
      </c>
      <c r="B781" s="13" t="s">
        <v>3163</v>
      </c>
      <c r="C781" s="13" t="s">
        <v>3164</v>
      </c>
      <c r="D781" s="13" t="s">
        <v>18</v>
      </c>
      <c r="E781" s="13" t="s">
        <v>3165</v>
      </c>
      <c r="F781" s="13" t="s">
        <v>3166</v>
      </c>
      <c r="G781" s="13" t="s">
        <v>163</v>
      </c>
      <c r="H781" s="13" t="s">
        <v>16</v>
      </c>
      <c r="I781" s="13">
        <v>11566.0</v>
      </c>
      <c r="J781" s="5" t="str">
        <f t="shared" si="1"/>
        <v>Ouida Gregory</v>
      </c>
    </row>
    <row r="782">
      <c r="A782" s="13">
        <v>781.0</v>
      </c>
      <c r="B782" s="13" t="s">
        <v>2357</v>
      </c>
      <c r="C782" s="13" t="s">
        <v>1096</v>
      </c>
      <c r="D782" s="13" t="s">
        <v>18</v>
      </c>
      <c r="E782" s="13" t="s">
        <v>3167</v>
      </c>
      <c r="F782" s="13" t="s">
        <v>3168</v>
      </c>
      <c r="G782" s="13" t="s">
        <v>52</v>
      </c>
      <c r="H782" s="13" t="s">
        <v>16</v>
      </c>
      <c r="I782" s="13">
        <v>11361.0</v>
      </c>
      <c r="J782" s="5" t="str">
        <f t="shared" si="1"/>
        <v>Tajuana Riddle</v>
      </c>
    </row>
    <row r="783">
      <c r="A783" s="13">
        <v>782.0</v>
      </c>
      <c r="B783" s="13" t="s">
        <v>3169</v>
      </c>
      <c r="C783" s="13" t="s">
        <v>624</v>
      </c>
      <c r="D783" s="13" t="s">
        <v>18</v>
      </c>
      <c r="E783" s="13" t="s">
        <v>3170</v>
      </c>
      <c r="F783" s="13" t="s">
        <v>3171</v>
      </c>
      <c r="G783" s="13" t="s">
        <v>256</v>
      </c>
      <c r="H783" s="13" t="s">
        <v>16</v>
      </c>
      <c r="I783" s="13">
        <v>11377.0</v>
      </c>
      <c r="J783" s="5" t="str">
        <f t="shared" si="1"/>
        <v>Ricki Bullock</v>
      </c>
    </row>
    <row r="784">
      <c r="A784" s="13">
        <v>783.0</v>
      </c>
      <c r="B784" s="13" t="s">
        <v>2152</v>
      </c>
      <c r="C784" s="13" t="s">
        <v>3172</v>
      </c>
      <c r="D784" s="13" t="s">
        <v>3173</v>
      </c>
      <c r="E784" s="13" t="s">
        <v>3174</v>
      </c>
      <c r="F784" s="13" t="s">
        <v>3175</v>
      </c>
      <c r="G784" s="13" t="s">
        <v>148</v>
      </c>
      <c r="H784" s="13" t="s">
        <v>16</v>
      </c>
      <c r="I784" s="13">
        <v>14086.0</v>
      </c>
      <c r="J784" s="5" t="str">
        <f t="shared" si="1"/>
        <v>Celestine Kent</v>
      </c>
    </row>
    <row r="785">
      <c r="A785" s="13">
        <v>784.0</v>
      </c>
      <c r="B785" s="13" t="s">
        <v>3176</v>
      </c>
      <c r="C785" s="13" t="s">
        <v>3177</v>
      </c>
      <c r="D785" s="13" t="s">
        <v>18</v>
      </c>
      <c r="E785" s="13" t="s">
        <v>3178</v>
      </c>
      <c r="F785" s="13" t="s">
        <v>3179</v>
      </c>
      <c r="G785" s="13" t="s">
        <v>46</v>
      </c>
      <c r="H785" s="13" t="s">
        <v>16</v>
      </c>
      <c r="I785" s="13">
        <v>12020.0</v>
      </c>
      <c r="J785" s="5" t="str">
        <f t="shared" si="1"/>
        <v>Debbra Jacobson</v>
      </c>
    </row>
    <row r="786">
      <c r="A786" s="13">
        <v>785.0</v>
      </c>
      <c r="B786" s="13" t="s">
        <v>3180</v>
      </c>
      <c r="C786" s="13" t="s">
        <v>939</v>
      </c>
      <c r="D786" s="13" t="s">
        <v>18</v>
      </c>
      <c r="E786" s="13" t="s">
        <v>3181</v>
      </c>
      <c r="F786" s="13" t="s">
        <v>3182</v>
      </c>
      <c r="G786" s="13" t="s">
        <v>130</v>
      </c>
      <c r="H786" s="13" t="s">
        <v>16</v>
      </c>
      <c r="I786" s="13">
        <v>14075.0</v>
      </c>
      <c r="J786" s="5" t="str">
        <f t="shared" si="1"/>
        <v>Kandis Mills</v>
      </c>
    </row>
    <row r="787">
      <c r="A787" s="13">
        <v>786.0</v>
      </c>
      <c r="B787" s="13" t="s">
        <v>3183</v>
      </c>
      <c r="C787" s="13" t="s">
        <v>3184</v>
      </c>
      <c r="D787" s="13" t="s">
        <v>18</v>
      </c>
      <c r="E787" s="13" t="s">
        <v>3185</v>
      </c>
      <c r="F787" s="13" t="s">
        <v>3186</v>
      </c>
      <c r="G787" s="13" t="s">
        <v>231</v>
      </c>
      <c r="H787" s="13" t="s">
        <v>16</v>
      </c>
      <c r="I787" s="13">
        <v>11419.0</v>
      </c>
      <c r="J787" s="5" t="str">
        <f t="shared" si="1"/>
        <v>Wallace Lane</v>
      </c>
    </row>
    <row r="788">
      <c r="A788" s="13">
        <v>787.0</v>
      </c>
      <c r="B788" s="13" t="s">
        <v>3187</v>
      </c>
      <c r="C788" s="13" t="s">
        <v>3188</v>
      </c>
      <c r="D788" s="13" t="s">
        <v>18</v>
      </c>
      <c r="E788" s="13" t="s">
        <v>3189</v>
      </c>
      <c r="F788" s="13" t="s">
        <v>3190</v>
      </c>
      <c r="G788" s="13" t="s">
        <v>167</v>
      </c>
      <c r="H788" s="13" t="s">
        <v>16</v>
      </c>
      <c r="I788" s="13">
        <v>10550.0</v>
      </c>
      <c r="J788" s="5" t="str">
        <f t="shared" si="1"/>
        <v>Malisa Mitchell</v>
      </c>
    </row>
    <row r="789">
      <c r="A789" s="13">
        <v>788.0</v>
      </c>
      <c r="B789" s="13" t="s">
        <v>3191</v>
      </c>
      <c r="C789" s="13" t="s">
        <v>2682</v>
      </c>
      <c r="D789" s="13" t="s">
        <v>18</v>
      </c>
      <c r="E789" s="13" t="s">
        <v>3192</v>
      </c>
      <c r="F789" s="13" t="s">
        <v>3193</v>
      </c>
      <c r="G789" s="13" t="s">
        <v>84</v>
      </c>
      <c r="H789" s="13" t="s">
        <v>17</v>
      </c>
      <c r="I789" s="13">
        <v>76522.0</v>
      </c>
      <c r="J789" s="5" t="str">
        <f t="shared" si="1"/>
        <v>Lilliam Nolan</v>
      </c>
    </row>
    <row r="790">
      <c r="A790" s="13">
        <v>789.0</v>
      </c>
      <c r="B790" s="13" t="s">
        <v>3194</v>
      </c>
      <c r="C790" s="13" t="s">
        <v>3195</v>
      </c>
      <c r="D790" s="13" t="s">
        <v>18</v>
      </c>
      <c r="E790" s="13" t="s">
        <v>3196</v>
      </c>
      <c r="F790" s="13" t="s">
        <v>3197</v>
      </c>
      <c r="G790" s="13" t="s">
        <v>176</v>
      </c>
      <c r="H790" s="13" t="s">
        <v>16</v>
      </c>
      <c r="I790" s="13">
        <v>14304.0</v>
      </c>
      <c r="J790" s="5" t="str">
        <f t="shared" si="1"/>
        <v>Tad Gardner</v>
      </c>
    </row>
    <row r="791">
      <c r="A791" s="13">
        <v>790.0</v>
      </c>
      <c r="B791" s="13" t="s">
        <v>558</v>
      </c>
      <c r="C791" s="13" t="s">
        <v>1690</v>
      </c>
      <c r="D791" s="13" t="s">
        <v>18</v>
      </c>
      <c r="E791" s="13" t="s">
        <v>3198</v>
      </c>
      <c r="F791" s="13" t="s">
        <v>3199</v>
      </c>
      <c r="G791" s="13" t="s">
        <v>139</v>
      </c>
      <c r="H791" s="13" t="s">
        <v>16</v>
      </c>
      <c r="I791" s="13">
        <v>11414.0</v>
      </c>
      <c r="J791" s="5" t="str">
        <f t="shared" si="1"/>
        <v>Petronila Gallegos</v>
      </c>
    </row>
    <row r="792">
      <c r="A792" s="13">
        <v>791.0</v>
      </c>
      <c r="B792" s="13" t="s">
        <v>3200</v>
      </c>
      <c r="C792" s="13" t="s">
        <v>3201</v>
      </c>
      <c r="D792" s="13" t="s">
        <v>18</v>
      </c>
      <c r="E792" s="13" t="s">
        <v>3202</v>
      </c>
      <c r="F792" s="13" t="s">
        <v>3203</v>
      </c>
      <c r="G792" s="13" t="s">
        <v>46</v>
      </c>
      <c r="H792" s="13" t="s">
        <v>16</v>
      </c>
      <c r="I792" s="13">
        <v>12020.0</v>
      </c>
      <c r="J792" s="5" t="str">
        <f t="shared" si="1"/>
        <v>Yun Nelson</v>
      </c>
    </row>
    <row r="793">
      <c r="A793" s="13">
        <v>792.0</v>
      </c>
      <c r="B793" s="13" t="s">
        <v>3204</v>
      </c>
      <c r="C793" s="13" t="s">
        <v>2276</v>
      </c>
      <c r="D793" s="13" t="s">
        <v>18</v>
      </c>
      <c r="E793" s="13" t="s">
        <v>3205</v>
      </c>
      <c r="F793" s="13" t="s">
        <v>3206</v>
      </c>
      <c r="G793" s="13" t="s">
        <v>250</v>
      </c>
      <c r="H793" s="13" t="s">
        <v>16</v>
      </c>
      <c r="I793" s="13">
        <v>11704.0</v>
      </c>
      <c r="J793" s="5" t="str">
        <f t="shared" si="1"/>
        <v>Edgar Horn</v>
      </c>
    </row>
    <row r="794">
      <c r="A794" s="13">
        <v>793.0</v>
      </c>
      <c r="B794" s="13" t="s">
        <v>3207</v>
      </c>
      <c r="C794" s="13" t="s">
        <v>3208</v>
      </c>
      <c r="D794" s="13" t="s">
        <v>18</v>
      </c>
      <c r="E794" s="13" t="s">
        <v>3209</v>
      </c>
      <c r="F794" s="13" t="s">
        <v>3210</v>
      </c>
      <c r="G794" s="13" t="s">
        <v>108</v>
      </c>
      <c r="H794" s="13" t="s">
        <v>16</v>
      </c>
      <c r="I794" s="13">
        <v>11373.0</v>
      </c>
      <c r="J794" s="5" t="str">
        <f t="shared" si="1"/>
        <v>Chantay Maynard</v>
      </c>
    </row>
    <row r="795">
      <c r="A795" s="13">
        <v>794.0</v>
      </c>
      <c r="B795" s="13" t="s">
        <v>3211</v>
      </c>
      <c r="C795" s="13" t="s">
        <v>3212</v>
      </c>
      <c r="D795" s="13" t="s">
        <v>18</v>
      </c>
      <c r="E795" s="13" t="s">
        <v>3213</v>
      </c>
      <c r="F795" s="13" t="s">
        <v>3214</v>
      </c>
      <c r="G795" s="13" t="s">
        <v>199</v>
      </c>
      <c r="H795" s="13" t="s">
        <v>15</v>
      </c>
      <c r="I795" s="13">
        <v>90278.0</v>
      </c>
      <c r="J795" s="5" t="str">
        <f t="shared" si="1"/>
        <v>Donette Mccarthy</v>
      </c>
    </row>
    <row r="796">
      <c r="A796" s="13">
        <v>795.0</v>
      </c>
      <c r="B796" s="13" t="s">
        <v>3215</v>
      </c>
      <c r="C796" s="13" t="s">
        <v>3068</v>
      </c>
      <c r="D796" s="13" t="s">
        <v>18</v>
      </c>
      <c r="E796" s="13" t="s">
        <v>3216</v>
      </c>
      <c r="F796" s="13" t="s">
        <v>3217</v>
      </c>
      <c r="G796" s="13" t="s">
        <v>121</v>
      </c>
      <c r="H796" s="13" t="s">
        <v>16</v>
      </c>
      <c r="I796" s="13">
        <v>11010.0</v>
      </c>
      <c r="J796" s="5" t="str">
        <f t="shared" si="1"/>
        <v>Mariam Miranda</v>
      </c>
    </row>
    <row r="797">
      <c r="A797" s="13">
        <v>796.0</v>
      </c>
      <c r="B797" s="13" t="s">
        <v>3218</v>
      </c>
      <c r="C797" s="13" t="s">
        <v>1730</v>
      </c>
      <c r="D797" s="13" t="s">
        <v>18</v>
      </c>
      <c r="E797" s="13" t="s">
        <v>3219</v>
      </c>
      <c r="F797" s="13" t="s">
        <v>3220</v>
      </c>
      <c r="G797" s="13" t="s">
        <v>242</v>
      </c>
      <c r="H797" s="13" t="s">
        <v>15</v>
      </c>
      <c r="I797" s="13">
        <v>91784.0</v>
      </c>
      <c r="J797" s="5" t="str">
        <f t="shared" si="1"/>
        <v>Rosalie Coffey</v>
      </c>
    </row>
    <row r="798">
      <c r="A798" s="13">
        <v>797.0</v>
      </c>
      <c r="B798" s="13" t="s">
        <v>3221</v>
      </c>
      <c r="C798" s="13" t="s">
        <v>3222</v>
      </c>
      <c r="D798" s="13" t="s">
        <v>18</v>
      </c>
      <c r="E798" s="13" t="s">
        <v>3223</v>
      </c>
      <c r="F798" s="13" t="s">
        <v>3224</v>
      </c>
      <c r="G798" s="13" t="s">
        <v>52</v>
      </c>
      <c r="H798" s="13" t="s">
        <v>16</v>
      </c>
      <c r="I798" s="13">
        <v>11361.0</v>
      </c>
      <c r="J798" s="5" t="str">
        <f t="shared" si="1"/>
        <v>Cathey Lamb</v>
      </c>
    </row>
    <row r="799">
      <c r="A799" s="13">
        <v>798.0</v>
      </c>
      <c r="B799" s="13" t="s">
        <v>3225</v>
      </c>
      <c r="C799" s="13" t="s">
        <v>3177</v>
      </c>
      <c r="D799" s="13" t="s">
        <v>18</v>
      </c>
      <c r="E799" s="13" t="s">
        <v>3226</v>
      </c>
      <c r="F799" s="13" t="s">
        <v>3227</v>
      </c>
      <c r="G799" s="13" t="s">
        <v>161</v>
      </c>
      <c r="H799" s="13" t="s">
        <v>16</v>
      </c>
      <c r="I799" s="13">
        <v>11762.0</v>
      </c>
      <c r="J799" s="5" t="str">
        <f t="shared" si="1"/>
        <v>Alyse Jacobson</v>
      </c>
    </row>
    <row r="800">
      <c r="A800" s="13">
        <v>799.0</v>
      </c>
      <c r="B800" s="13" t="s">
        <v>3228</v>
      </c>
      <c r="C800" s="13" t="s">
        <v>2904</v>
      </c>
      <c r="D800" s="13" t="s">
        <v>18</v>
      </c>
      <c r="E800" s="13" t="s">
        <v>3229</v>
      </c>
      <c r="F800" s="13" t="s">
        <v>3230</v>
      </c>
      <c r="G800" s="13" t="s">
        <v>140</v>
      </c>
      <c r="H800" s="13" t="s">
        <v>16</v>
      </c>
      <c r="I800" s="13">
        <v>11743.0</v>
      </c>
      <c r="J800" s="5" t="str">
        <f t="shared" si="1"/>
        <v>India Barron</v>
      </c>
    </row>
    <row r="801">
      <c r="A801" s="13">
        <v>800.0</v>
      </c>
      <c r="B801" s="13" t="s">
        <v>3231</v>
      </c>
      <c r="C801" s="13" t="s">
        <v>2874</v>
      </c>
      <c r="D801" s="13" t="s">
        <v>18</v>
      </c>
      <c r="E801" s="13" t="s">
        <v>3232</v>
      </c>
      <c r="F801" s="13" t="s">
        <v>3233</v>
      </c>
      <c r="G801" s="13" t="s">
        <v>189</v>
      </c>
      <c r="H801" s="13" t="s">
        <v>16</v>
      </c>
      <c r="I801" s="13">
        <v>14534.0</v>
      </c>
      <c r="J801" s="5" t="str">
        <f t="shared" si="1"/>
        <v>Cris Dunn</v>
      </c>
    </row>
    <row r="802">
      <c r="A802" s="13">
        <v>801.0</v>
      </c>
      <c r="B802" s="13" t="s">
        <v>3234</v>
      </c>
      <c r="C802" s="13" t="s">
        <v>3235</v>
      </c>
      <c r="D802" s="13" t="s">
        <v>18</v>
      </c>
      <c r="E802" s="13" t="s">
        <v>3236</v>
      </c>
      <c r="F802" s="13" t="s">
        <v>3237</v>
      </c>
      <c r="G802" s="13" t="s">
        <v>137</v>
      </c>
      <c r="H802" s="13" t="s">
        <v>16</v>
      </c>
      <c r="I802" s="13">
        <v>12533.0</v>
      </c>
      <c r="J802" s="5" t="str">
        <f t="shared" si="1"/>
        <v>Ophelia Rodgers</v>
      </c>
    </row>
    <row r="803">
      <c r="A803" s="13">
        <v>802.0</v>
      </c>
      <c r="B803" s="13" t="s">
        <v>3238</v>
      </c>
      <c r="C803" s="13" t="s">
        <v>3239</v>
      </c>
      <c r="D803" s="13" t="s">
        <v>18</v>
      </c>
      <c r="E803" s="13" t="s">
        <v>3240</v>
      </c>
      <c r="F803" s="13" t="s">
        <v>3241</v>
      </c>
      <c r="G803" s="13" t="s">
        <v>155</v>
      </c>
      <c r="H803" s="13" t="s">
        <v>17</v>
      </c>
      <c r="I803" s="13">
        <v>75604.0</v>
      </c>
      <c r="J803" s="5" t="str">
        <f t="shared" si="1"/>
        <v>Barrett Sanders</v>
      </c>
    </row>
    <row r="804">
      <c r="A804" s="13">
        <v>803.0</v>
      </c>
      <c r="B804" s="13" t="s">
        <v>3242</v>
      </c>
      <c r="C804" s="13" t="s">
        <v>1715</v>
      </c>
      <c r="D804" s="13" t="s">
        <v>18</v>
      </c>
      <c r="E804" s="13" t="s">
        <v>3243</v>
      </c>
      <c r="F804" s="13" t="s">
        <v>3244</v>
      </c>
      <c r="G804" s="13" t="s">
        <v>254</v>
      </c>
      <c r="H804" s="13" t="s">
        <v>16</v>
      </c>
      <c r="I804" s="13">
        <v>11357.0</v>
      </c>
      <c r="J804" s="5" t="str">
        <f t="shared" si="1"/>
        <v>Bernardina Cooper</v>
      </c>
    </row>
    <row r="805">
      <c r="A805" s="13">
        <v>804.0</v>
      </c>
      <c r="B805" s="13" t="s">
        <v>3245</v>
      </c>
      <c r="C805" s="13" t="s">
        <v>3246</v>
      </c>
      <c r="D805" s="13" t="s">
        <v>18</v>
      </c>
      <c r="E805" s="13" t="s">
        <v>3247</v>
      </c>
      <c r="F805" s="13" t="s">
        <v>3248</v>
      </c>
      <c r="G805" s="13" t="s">
        <v>244</v>
      </c>
      <c r="H805" s="13" t="s">
        <v>16</v>
      </c>
      <c r="I805" s="13">
        <v>11580.0</v>
      </c>
      <c r="J805" s="5" t="str">
        <f t="shared" si="1"/>
        <v>Douglas Richards</v>
      </c>
    </row>
    <row r="806">
      <c r="A806" s="13">
        <v>805.0</v>
      </c>
      <c r="B806" s="13" t="s">
        <v>3249</v>
      </c>
      <c r="C806" s="13" t="s">
        <v>2176</v>
      </c>
      <c r="D806" s="13" t="s">
        <v>18</v>
      </c>
      <c r="E806" s="13" t="s">
        <v>3250</v>
      </c>
      <c r="F806" s="13" t="s">
        <v>3251</v>
      </c>
      <c r="G806" s="13" t="s">
        <v>78</v>
      </c>
      <c r="H806" s="13" t="s">
        <v>16</v>
      </c>
      <c r="I806" s="13">
        <v>12065.0</v>
      </c>
      <c r="J806" s="5" t="str">
        <f t="shared" si="1"/>
        <v>Phillis Fowler</v>
      </c>
    </row>
    <row r="807">
      <c r="A807" s="13">
        <v>806.0</v>
      </c>
      <c r="B807" s="13" t="s">
        <v>3252</v>
      </c>
      <c r="C807" s="13" t="s">
        <v>1763</v>
      </c>
      <c r="D807" s="13" t="s">
        <v>18</v>
      </c>
      <c r="E807" s="13" t="s">
        <v>3253</v>
      </c>
      <c r="F807" s="13" t="s">
        <v>3254</v>
      </c>
      <c r="G807" s="13" t="s">
        <v>234</v>
      </c>
      <c r="H807" s="13" t="s">
        <v>16</v>
      </c>
      <c r="I807" s="13">
        <v>10301.0</v>
      </c>
      <c r="J807" s="5" t="str">
        <f t="shared" si="1"/>
        <v>Reyes Merritt</v>
      </c>
    </row>
    <row r="808">
      <c r="A808" s="13">
        <v>807.0</v>
      </c>
      <c r="B808" s="13" t="s">
        <v>3255</v>
      </c>
      <c r="C808" s="13" t="s">
        <v>3256</v>
      </c>
      <c r="D808" s="13" t="s">
        <v>18</v>
      </c>
      <c r="E808" s="13" t="s">
        <v>3257</v>
      </c>
      <c r="F808" s="13" t="s">
        <v>3258</v>
      </c>
      <c r="G808" s="13" t="s">
        <v>252</v>
      </c>
      <c r="H808" s="13" t="s">
        <v>16</v>
      </c>
      <c r="I808" s="13">
        <v>11795.0</v>
      </c>
      <c r="J808" s="5" t="str">
        <f t="shared" si="1"/>
        <v>Nathalie Knowles</v>
      </c>
    </row>
    <row r="809">
      <c r="A809" s="13">
        <v>808.0</v>
      </c>
      <c r="B809" s="13" t="s">
        <v>3259</v>
      </c>
      <c r="C809" s="13" t="s">
        <v>1921</v>
      </c>
      <c r="D809" s="13" t="s">
        <v>18</v>
      </c>
      <c r="E809" s="13" t="s">
        <v>3260</v>
      </c>
      <c r="F809" s="13" t="s">
        <v>3261</v>
      </c>
      <c r="G809" s="13" t="s">
        <v>210</v>
      </c>
      <c r="H809" s="13" t="s">
        <v>17</v>
      </c>
      <c r="I809" s="13">
        <v>75088.0</v>
      </c>
      <c r="J809" s="5" t="str">
        <f t="shared" si="1"/>
        <v>Vallie Dixon</v>
      </c>
    </row>
    <row r="810">
      <c r="A810" s="13">
        <v>809.0</v>
      </c>
      <c r="B810" s="13" t="s">
        <v>3262</v>
      </c>
      <c r="C810" s="13" t="s">
        <v>3263</v>
      </c>
      <c r="D810" s="13" t="s">
        <v>18</v>
      </c>
      <c r="E810" s="13" t="s">
        <v>3264</v>
      </c>
      <c r="F810" s="13" t="s">
        <v>3265</v>
      </c>
      <c r="G810" s="13" t="s">
        <v>54</v>
      </c>
      <c r="H810" s="13" t="s">
        <v>16</v>
      </c>
      <c r="I810" s="13">
        <v>11710.0</v>
      </c>
      <c r="J810" s="5" t="str">
        <f t="shared" si="1"/>
        <v>Elnora Simpson</v>
      </c>
    </row>
    <row r="811">
      <c r="A811" s="13">
        <v>810.0</v>
      </c>
      <c r="B811" s="13" t="s">
        <v>3266</v>
      </c>
      <c r="C811" s="13" t="s">
        <v>3267</v>
      </c>
      <c r="D811" s="13" t="s">
        <v>3268</v>
      </c>
      <c r="E811" s="13" t="s">
        <v>3269</v>
      </c>
      <c r="F811" s="13" t="s">
        <v>3270</v>
      </c>
      <c r="G811" s="13" t="s">
        <v>138</v>
      </c>
      <c r="H811" s="13" t="s">
        <v>17</v>
      </c>
      <c r="I811" s="13">
        <v>77016.0</v>
      </c>
      <c r="J811" s="5" t="str">
        <f t="shared" si="1"/>
        <v>Ivelisse Nixon</v>
      </c>
    </row>
    <row r="812">
      <c r="A812" s="13">
        <v>811.0</v>
      </c>
      <c r="B812" s="13" t="s">
        <v>3271</v>
      </c>
      <c r="C812" s="13" t="s">
        <v>943</v>
      </c>
      <c r="D812" s="13" t="s">
        <v>18</v>
      </c>
      <c r="E812" s="13" t="s">
        <v>3272</v>
      </c>
      <c r="F812" s="13" t="s">
        <v>3273</v>
      </c>
      <c r="G812" s="13" t="s">
        <v>234</v>
      </c>
      <c r="H812" s="13" t="s">
        <v>16</v>
      </c>
      <c r="I812" s="13">
        <v>10301.0</v>
      </c>
      <c r="J812" s="5" t="str">
        <f t="shared" si="1"/>
        <v>Shanti Johnston</v>
      </c>
    </row>
    <row r="813">
      <c r="A813" s="13">
        <v>812.0</v>
      </c>
      <c r="B813" s="13" t="s">
        <v>3274</v>
      </c>
      <c r="C813" s="13" t="s">
        <v>1371</v>
      </c>
      <c r="D813" s="13" t="s">
        <v>18</v>
      </c>
      <c r="E813" s="13" t="s">
        <v>3275</v>
      </c>
      <c r="F813" s="13" t="s">
        <v>3276</v>
      </c>
      <c r="G813" s="13" t="s">
        <v>255</v>
      </c>
      <c r="H813" s="13" t="s">
        <v>16</v>
      </c>
      <c r="I813" s="13">
        <v>11421.0</v>
      </c>
      <c r="J813" s="5" t="str">
        <f t="shared" si="1"/>
        <v>Martha Burgess</v>
      </c>
    </row>
    <row r="814">
      <c r="A814" s="13">
        <v>813.0</v>
      </c>
      <c r="B814" s="13" t="s">
        <v>3277</v>
      </c>
      <c r="C814" s="13" t="s">
        <v>3278</v>
      </c>
      <c r="D814" s="13" t="s">
        <v>18</v>
      </c>
      <c r="E814" s="13" t="s">
        <v>3279</v>
      </c>
      <c r="F814" s="13" t="s">
        <v>3280</v>
      </c>
      <c r="G814" s="13" t="s">
        <v>251</v>
      </c>
      <c r="H814" s="13" t="s">
        <v>16</v>
      </c>
      <c r="I814" s="13">
        <v>11552.0</v>
      </c>
      <c r="J814" s="5" t="str">
        <f t="shared" si="1"/>
        <v>Neville Mcclain</v>
      </c>
    </row>
    <row r="815">
      <c r="A815" s="13">
        <v>814.0</v>
      </c>
      <c r="B815" s="13" t="s">
        <v>3281</v>
      </c>
      <c r="C815" s="13" t="s">
        <v>1984</v>
      </c>
      <c r="D815" s="13" t="s">
        <v>18</v>
      </c>
      <c r="E815" s="13" t="s">
        <v>3282</v>
      </c>
      <c r="F815" s="13" t="s">
        <v>3283</v>
      </c>
      <c r="G815" s="13" t="s">
        <v>151</v>
      </c>
      <c r="H815" s="13" t="s">
        <v>16</v>
      </c>
      <c r="I815" s="13">
        <v>11757.0</v>
      </c>
      <c r="J815" s="5" t="str">
        <f t="shared" si="1"/>
        <v>Ghislaine Compton</v>
      </c>
    </row>
    <row r="816">
      <c r="A816" s="13">
        <v>815.0</v>
      </c>
      <c r="B816" s="13" t="s">
        <v>3284</v>
      </c>
      <c r="C816" s="13" t="s">
        <v>3034</v>
      </c>
      <c r="D816" s="13" t="s">
        <v>18</v>
      </c>
      <c r="E816" s="13" t="s">
        <v>3285</v>
      </c>
      <c r="F816" s="13" t="s">
        <v>3286</v>
      </c>
      <c r="G816" s="13" t="s">
        <v>134</v>
      </c>
      <c r="H816" s="13" t="s">
        <v>16</v>
      </c>
      <c r="I816" s="13">
        <v>11801.0</v>
      </c>
      <c r="J816" s="5" t="str">
        <f t="shared" si="1"/>
        <v>Leanna Manning</v>
      </c>
    </row>
    <row r="817">
      <c r="A817" s="13">
        <v>816.0</v>
      </c>
      <c r="B817" s="13" t="s">
        <v>1893</v>
      </c>
      <c r="C817" s="13" t="s">
        <v>1586</v>
      </c>
      <c r="D817" s="13" t="s">
        <v>18</v>
      </c>
      <c r="E817" s="13" t="s">
        <v>3287</v>
      </c>
      <c r="F817" s="13" t="s">
        <v>3288</v>
      </c>
      <c r="G817" s="13" t="s">
        <v>246</v>
      </c>
      <c r="H817" s="13" t="s">
        <v>15</v>
      </c>
      <c r="I817" s="13">
        <v>92083.0</v>
      </c>
      <c r="J817" s="5" t="str">
        <f t="shared" si="1"/>
        <v>Marshall Johnson</v>
      </c>
    </row>
    <row r="818">
      <c r="A818" s="13">
        <v>817.0</v>
      </c>
      <c r="B818" s="13" t="s">
        <v>3289</v>
      </c>
      <c r="C818" s="13" t="s">
        <v>1031</v>
      </c>
      <c r="D818" s="13" t="s">
        <v>3290</v>
      </c>
      <c r="E818" s="13" t="s">
        <v>3291</v>
      </c>
      <c r="F818" s="13" t="s">
        <v>3292</v>
      </c>
      <c r="G818" s="13" t="s">
        <v>148</v>
      </c>
      <c r="H818" s="13" t="s">
        <v>16</v>
      </c>
      <c r="I818" s="13">
        <v>14086.0</v>
      </c>
      <c r="J818" s="5" t="str">
        <f t="shared" si="1"/>
        <v>Zelda Pratt</v>
      </c>
    </row>
    <row r="819">
      <c r="A819" s="13">
        <v>818.0</v>
      </c>
      <c r="B819" s="13" t="s">
        <v>3293</v>
      </c>
      <c r="C819" s="13" t="s">
        <v>1645</v>
      </c>
      <c r="D819" s="13" t="s">
        <v>3294</v>
      </c>
      <c r="E819" s="13" t="s">
        <v>3295</v>
      </c>
      <c r="F819" s="13" t="s">
        <v>3296</v>
      </c>
      <c r="G819" s="13" t="s">
        <v>216</v>
      </c>
      <c r="H819" s="13" t="s">
        <v>15</v>
      </c>
      <c r="I819" s="13">
        <v>92111.0</v>
      </c>
      <c r="J819" s="5" t="str">
        <f t="shared" si="1"/>
        <v>Joel Wynn</v>
      </c>
    </row>
    <row r="820">
      <c r="A820" s="13">
        <v>819.0</v>
      </c>
      <c r="B820" s="13" t="s">
        <v>3297</v>
      </c>
      <c r="C820" s="13" t="s">
        <v>2272</v>
      </c>
      <c r="D820" s="13" t="s">
        <v>18</v>
      </c>
      <c r="E820" s="13" t="s">
        <v>3298</v>
      </c>
      <c r="F820" s="13" t="s">
        <v>3299</v>
      </c>
      <c r="G820" s="13" t="s">
        <v>111</v>
      </c>
      <c r="H820" s="13" t="s">
        <v>16</v>
      </c>
      <c r="I820" s="13">
        <v>13760.0</v>
      </c>
      <c r="J820" s="5" t="str">
        <f t="shared" si="1"/>
        <v>Yahaira Robertson</v>
      </c>
    </row>
    <row r="821">
      <c r="A821" s="13">
        <v>820.0</v>
      </c>
      <c r="B821" s="13" t="s">
        <v>3300</v>
      </c>
      <c r="C821" s="13" t="s">
        <v>939</v>
      </c>
      <c r="D821" s="13" t="s">
        <v>18</v>
      </c>
      <c r="E821" s="13" t="s">
        <v>3301</v>
      </c>
      <c r="F821" s="13" t="s">
        <v>3302</v>
      </c>
      <c r="G821" s="13" t="s">
        <v>225</v>
      </c>
      <c r="H821" s="13" t="s">
        <v>16</v>
      </c>
      <c r="I821" s="13">
        <v>12302.0</v>
      </c>
      <c r="J821" s="5" t="str">
        <f t="shared" si="1"/>
        <v>Sandy Mills</v>
      </c>
    </row>
    <row r="822">
      <c r="A822" s="13">
        <v>821.0</v>
      </c>
      <c r="B822" s="13" t="s">
        <v>3303</v>
      </c>
      <c r="C822" s="13" t="s">
        <v>3304</v>
      </c>
      <c r="D822" s="13" t="s">
        <v>18</v>
      </c>
      <c r="E822" s="13" t="s">
        <v>3305</v>
      </c>
      <c r="F822" s="13" t="s">
        <v>3306</v>
      </c>
      <c r="G822" s="13" t="s">
        <v>34</v>
      </c>
      <c r="H822" s="13" t="s">
        <v>16</v>
      </c>
      <c r="I822" s="13">
        <v>11102.0</v>
      </c>
      <c r="J822" s="5" t="str">
        <f t="shared" si="1"/>
        <v>Cassidy Clark</v>
      </c>
    </row>
    <row r="823">
      <c r="A823" s="13">
        <v>822.0</v>
      </c>
      <c r="B823" s="13" t="s">
        <v>3307</v>
      </c>
      <c r="C823" s="13" t="s">
        <v>3308</v>
      </c>
      <c r="D823" s="13" t="s">
        <v>18</v>
      </c>
      <c r="E823" s="13" t="s">
        <v>3309</v>
      </c>
      <c r="F823" s="13" t="s">
        <v>3310</v>
      </c>
      <c r="G823" s="13" t="s">
        <v>139</v>
      </c>
      <c r="H823" s="13" t="s">
        <v>16</v>
      </c>
      <c r="I823" s="13">
        <v>11414.0</v>
      </c>
      <c r="J823" s="5" t="str">
        <f t="shared" si="1"/>
        <v>Kristy Watkins</v>
      </c>
    </row>
    <row r="824">
      <c r="A824" s="13">
        <v>823.0</v>
      </c>
      <c r="B824" s="13" t="s">
        <v>3311</v>
      </c>
      <c r="C824" s="13" t="s">
        <v>1792</v>
      </c>
      <c r="D824" s="13" t="s">
        <v>18</v>
      </c>
      <c r="E824" s="13" t="s">
        <v>3312</v>
      </c>
      <c r="F824" s="13" t="s">
        <v>3313</v>
      </c>
      <c r="G824" s="13" t="s">
        <v>159</v>
      </c>
      <c r="H824" s="13" t="s">
        <v>16</v>
      </c>
      <c r="I824" s="13">
        <v>11378.0</v>
      </c>
      <c r="J824" s="5" t="str">
        <f t="shared" si="1"/>
        <v>Tina Bush</v>
      </c>
    </row>
    <row r="825">
      <c r="A825" s="13">
        <v>824.0</v>
      </c>
      <c r="B825" s="13" t="s">
        <v>3314</v>
      </c>
      <c r="C825" s="13" t="s">
        <v>1618</v>
      </c>
      <c r="D825" s="13" t="s">
        <v>18</v>
      </c>
      <c r="E825" s="13" t="s">
        <v>3315</v>
      </c>
      <c r="F825" s="13" t="s">
        <v>3316</v>
      </c>
      <c r="G825" s="13" t="s">
        <v>249</v>
      </c>
      <c r="H825" s="13" t="s">
        <v>16</v>
      </c>
      <c r="I825" s="13">
        <v>14580.0</v>
      </c>
      <c r="J825" s="5" t="str">
        <f t="shared" si="1"/>
        <v>Veronika Rollins</v>
      </c>
    </row>
    <row r="826">
      <c r="A826" s="13">
        <v>825.0</v>
      </c>
      <c r="B826" s="13" t="s">
        <v>3317</v>
      </c>
      <c r="C826" s="13" t="s">
        <v>2644</v>
      </c>
      <c r="D826" s="13" t="s">
        <v>18</v>
      </c>
      <c r="E826" s="13" t="s">
        <v>3318</v>
      </c>
      <c r="F826" s="13" t="s">
        <v>3319</v>
      </c>
      <c r="G826" s="13" t="s">
        <v>134</v>
      </c>
      <c r="H826" s="13" t="s">
        <v>16</v>
      </c>
      <c r="I826" s="13">
        <v>11801.0</v>
      </c>
      <c r="J826" s="5" t="str">
        <f t="shared" si="1"/>
        <v>Kristel Byrd</v>
      </c>
    </row>
    <row r="827">
      <c r="A827" s="13">
        <v>826.0</v>
      </c>
      <c r="B827" s="13" t="s">
        <v>3320</v>
      </c>
      <c r="C827" s="13" t="s">
        <v>3129</v>
      </c>
      <c r="D827" s="13" t="s">
        <v>18</v>
      </c>
      <c r="E827" s="13" t="s">
        <v>3321</v>
      </c>
      <c r="F827" s="13" t="s">
        <v>3322</v>
      </c>
      <c r="G827" s="13" t="s">
        <v>228</v>
      </c>
      <c r="H827" s="13" t="s">
        <v>16</v>
      </c>
      <c r="I827" s="13">
        <v>11787.0</v>
      </c>
      <c r="J827" s="5" t="str">
        <f t="shared" si="1"/>
        <v>Shay Stephenson</v>
      </c>
    </row>
    <row r="828">
      <c r="A828" s="13">
        <v>827.0</v>
      </c>
      <c r="B828" s="13" t="s">
        <v>3323</v>
      </c>
      <c r="C828" s="13" t="s">
        <v>2223</v>
      </c>
      <c r="D828" s="13" t="s">
        <v>18</v>
      </c>
      <c r="E828" s="13" t="s">
        <v>3324</v>
      </c>
      <c r="F828" s="13" t="s">
        <v>3325</v>
      </c>
      <c r="G828" s="13" t="s">
        <v>236</v>
      </c>
      <c r="H828" s="13" t="s">
        <v>16</v>
      </c>
      <c r="I828" s="13">
        <v>11104.0</v>
      </c>
      <c r="J828" s="5" t="str">
        <f t="shared" si="1"/>
        <v>George Pickett</v>
      </c>
    </row>
    <row r="829">
      <c r="A829" s="13">
        <v>828.0</v>
      </c>
      <c r="B829" s="13" t="s">
        <v>3326</v>
      </c>
      <c r="C829" s="13" t="s">
        <v>1010</v>
      </c>
      <c r="D829" s="13" t="s">
        <v>18</v>
      </c>
      <c r="E829" s="13" t="s">
        <v>3327</v>
      </c>
      <c r="F829" s="13" t="s">
        <v>3328</v>
      </c>
      <c r="G829" s="13" t="s">
        <v>167</v>
      </c>
      <c r="H829" s="13" t="s">
        <v>16</v>
      </c>
      <c r="I829" s="13">
        <v>10550.0</v>
      </c>
      <c r="J829" s="5" t="str">
        <f t="shared" si="1"/>
        <v>Renato Morton</v>
      </c>
    </row>
    <row r="830">
      <c r="A830" s="13">
        <v>829.0</v>
      </c>
      <c r="B830" s="13" t="s">
        <v>3329</v>
      </c>
      <c r="C830" s="13" t="s">
        <v>3330</v>
      </c>
      <c r="D830" s="13" t="s">
        <v>18</v>
      </c>
      <c r="E830" s="13" t="s">
        <v>3331</v>
      </c>
      <c r="F830" s="13" t="s">
        <v>3332</v>
      </c>
      <c r="G830" s="13" t="s">
        <v>153</v>
      </c>
      <c r="H830" s="13" t="s">
        <v>16</v>
      </c>
      <c r="I830" s="13">
        <v>14094.0</v>
      </c>
      <c r="J830" s="5" t="str">
        <f t="shared" si="1"/>
        <v>Marcy Rodriguez</v>
      </c>
    </row>
    <row r="831">
      <c r="A831" s="13">
        <v>830.0</v>
      </c>
      <c r="B831" s="13" t="s">
        <v>3333</v>
      </c>
      <c r="C831" s="13" t="s">
        <v>2503</v>
      </c>
      <c r="D831" s="13" t="s">
        <v>18</v>
      </c>
      <c r="E831" s="13" t="s">
        <v>3334</v>
      </c>
      <c r="F831" s="13" t="s">
        <v>3335</v>
      </c>
      <c r="G831" s="13" t="s">
        <v>84</v>
      </c>
      <c r="H831" s="13" t="s">
        <v>17</v>
      </c>
      <c r="I831" s="13">
        <v>76522.0</v>
      </c>
      <c r="J831" s="5" t="str">
        <f t="shared" si="1"/>
        <v>Edmund Gaines</v>
      </c>
    </row>
    <row r="832">
      <c r="A832" s="13">
        <v>831.0</v>
      </c>
      <c r="B832" s="13" t="s">
        <v>894</v>
      </c>
      <c r="C832" s="13" t="s">
        <v>456</v>
      </c>
      <c r="D832" s="13" t="s">
        <v>18</v>
      </c>
      <c r="E832" s="13" t="s">
        <v>3336</v>
      </c>
      <c r="F832" s="13" t="s">
        <v>3337</v>
      </c>
      <c r="G832" s="13" t="s">
        <v>184</v>
      </c>
      <c r="H832" s="13" t="s">
        <v>16</v>
      </c>
      <c r="I832" s="13">
        <v>13126.0</v>
      </c>
      <c r="J832" s="5" t="str">
        <f t="shared" si="1"/>
        <v>Lory Berg</v>
      </c>
    </row>
    <row r="833">
      <c r="A833" s="13">
        <v>832.0</v>
      </c>
      <c r="B833" s="13" t="s">
        <v>498</v>
      </c>
      <c r="C833" s="13" t="s">
        <v>2176</v>
      </c>
      <c r="D833" s="13" t="s">
        <v>18</v>
      </c>
      <c r="E833" s="13" t="s">
        <v>3338</v>
      </c>
      <c r="F833" s="13" t="s">
        <v>3339</v>
      </c>
      <c r="G833" s="13" t="s">
        <v>46</v>
      </c>
      <c r="H833" s="13" t="s">
        <v>16</v>
      </c>
      <c r="I833" s="13">
        <v>12020.0</v>
      </c>
      <c r="J833" s="5" t="str">
        <f t="shared" si="1"/>
        <v>Pamala Fowler</v>
      </c>
    </row>
    <row r="834">
      <c r="A834" s="13">
        <v>833.0</v>
      </c>
      <c r="B834" s="13" t="s">
        <v>3340</v>
      </c>
      <c r="C834" s="13" t="s">
        <v>3341</v>
      </c>
      <c r="D834" s="13" t="s">
        <v>18</v>
      </c>
      <c r="E834" s="13" t="s">
        <v>3342</v>
      </c>
      <c r="F834" s="13" t="s">
        <v>3343</v>
      </c>
      <c r="G834" s="13" t="s">
        <v>254</v>
      </c>
      <c r="H834" s="13" t="s">
        <v>16</v>
      </c>
      <c r="I834" s="13">
        <v>11357.0</v>
      </c>
      <c r="J834" s="5" t="str">
        <f t="shared" si="1"/>
        <v>Leone Emerson</v>
      </c>
    </row>
    <row r="835">
      <c r="A835" s="13">
        <v>834.0</v>
      </c>
      <c r="B835" s="13" t="s">
        <v>3344</v>
      </c>
      <c r="C835" s="13" t="s">
        <v>3345</v>
      </c>
      <c r="D835" s="13" t="s">
        <v>18</v>
      </c>
      <c r="E835" s="13" t="s">
        <v>3346</v>
      </c>
      <c r="F835" s="13" t="s">
        <v>3347</v>
      </c>
      <c r="G835" s="13" t="s">
        <v>112</v>
      </c>
      <c r="H835" s="13" t="s">
        <v>17</v>
      </c>
      <c r="I835" s="13">
        <v>76039.0</v>
      </c>
      <c r="J835" s="5" t="str">
        <f t="shared" si="1"/>
        <v>Brain Skinner</v>
      </c>
    </row>
    <row r="836">
      <c r="A836" s="13">
        <v>835.0</v>
      </c>
      <c r="B836" s="13" t="s">
        <v>3348</v>
      </c>
      <c r="C836" s="13" t="s">
        <v>3208</v>
      </c>
      <c r="D836" s="13" t="s">
        <v>18</v>
      </c>
      <c r="E836" s="13" t="s">
        <v>3349</v>
      </c>
      <c r="F836" s="13" t="s">
        <v>3350</v>
      </c>
      <c r="G836" s="13" t="s">
        <v>112</v>
      </c>
      <c r="H836" s="13" t="s">
        <v>17</v>
      </c>
      <c r="I836" s="13">
        <v>76039.0</v>
      </c>
      <c r="J836" s="5" t="str">
        <f t="shared" si="1"/>
        <v>Roseanne Maynard</v>
      </c>
    </row>
    <row r="837">
      <c r="A837" s="13">
        <v>836.0</v>
      </c>
      <c r="B837" s="13" t="s">
        <v>3351</v>
      </c>
      <c r="C837" s="13" t="s">
        <v>3352</v>
      </c>
      <c r="D837" s="13" t="s">
        <v>18</v>
      </c>
      <c r="E837" s="13" t="s">
        <v>3353</v>
      </c>
      <c r="F837" s="13" t="s">
        <v>3354</v>
      </c>
      <c r="G837" s="13" t="s">
        <v>209</v>
      </c>
      <c r="H837" s="13" t="s">
        <v>16</v>
      </c>
      <c r="I837" s="13">
        <v>11422.0</v>
      </c>
      <c r="J837" s="5" t="str">
        <f t="shared" si="1"/>
        <v>Corinna Adams</v>
      </c>
    </row>
    <row r="838">
      <c r="A838" s="13">
        <v>837.0</v>
      </c>
      <c r="B838" s="13" t="s">
        <v>3355</v>
      </c>
      <c r="C838" s="13" t="s">
        <v>66</v>
      </c>
      <c r="D838" s="13" t="s">
        <v>18</v>
      </c>
      <c r="E838" s="13" t="s">
        <v>3356</v>
      </c>
      <c r="F838" s="13" t="s">
        <v>3357</v>
      </c>
      <c r="G838" s="13" t="s">
        <v>44</v>
      </c>
      <c r="H838" s="13" t="s">
        <v>16</v>
      </c>
      <c r="I838" s="13">
        <v>13027.0</v>
      </c>
      <c r="J838" s="5" t="str">
        <f t="shared" si="1"/>
        <v>Kellye Campbell</v>
      </c>
    </row>
    <row r="839">
      <c r="A839" s="13">
        <v>838.0</v>
      </c>
      <c r="B839" s="13" t="s">
        <v>3358</v>
      </c>
      <c r="C839" s="13" t="s">
        <v>3359</v>
      </c>
      <c r="D839" s="13" t="s">
        <v>18</v>
      </c>
      <c r="E839" s="13" t="s">
        <v>3360</v>
      </c>
      <c r="F839" s="13" t="s">
        <v>3361</v>
      </c>
      <c r="G839" s="13" t="s">
        <v>139</v>
      </c>
      <c r="H839" s="13" t="s">
        <v>16</v>
      </c>
      <c r="I839" s="13">
        <v>11414.0</v>
      </c>
      <c r="J839" s="5" t="str">
        <f t="shared" si="1"/>
        <v>Erna Sloan</v>
      </c>
    </row>
    <row r="840">
      <c r="A840" s="13">
        <v>839.0</v>
      </c>
      <c r="B840" s="13" t="s">
        <v>3362</v>
      </c>
      <c r="C840" s="13" t="s">
        <v>3363</v>
      </c>
      <c r="D840" s="13" t="s">
        <v>18</v>
      </c>
      <c r="E840" s="13" t="s">
        <v>3364</v>
      </c>
      <c r="F840" s="13" t="s">
        <v>3365</v>
      </c>
      <c r="G840" s="13" t="s">
        <v>128</v>
      </c>
      <c r="H840" s="13" t="s">
        <v>16</v>
      </c>
      <c r="I840" s="13">
        <v>11542.0</v>
      </c>
      <c r="J840" s="5" t="str">
        <f t="shared" si="1"/>
        <v>Carolann Russell</v>
      </c>
    </row>
    <row r="841">
      <c r="A841" s="13">
        <v>840.0</v>
      </c>
      <c r="B841" s="13" t="s">
        <v>2252</v>
      </c>
      <c r="C841" s="13" t="s">
        <v>3366</v>
      </c>
      <c r="D841" s="13" t="s">
        <v>18</v>
      </c>
      <c r="E841" s="13" t="s">
        <v>3367</v>
      </c>
      <c r="F841" s="13" t="s">
        <v>3368</v>
      </c>
      <c r="G841" s="13" t="s">
        <v>100</v>
      </c>
      <c r="H841" s="13" t="s">
        <v>16</v>
      </c>
      <c r="I841" s="13">
        <v>11369.0</v>
      </c>
      <c r="J841" s="5" t="str">
        <f t="shared" si="1"/>
        <v>Gilbert Calhoun</v>
      </c>
    </row>
    <row r="842">
      <c r="A842" s="13">
        <v>841.0</v>
      </c>
      <c r="B842" s="13" t="s">
        <v>1230</v>
      </c>
      <c r="C842" s="13" t="s">
        <v>3369</v>
      </c>
      <c r="D842" s="13" t="s">
        <v>18</v>
      </c>
      <c r="E842" s="13" t="s">
        <v>3370</v>
      </c>
      <c r="F842" s="13" t="s">
        <v>3371</v>
      </c>
      <c r="G842" s="13" t="s">
        <v>208</v>
      </c>
      <c r="H842" s="13" t="s">
        <v>16</v>
      </c>
      <c r="I842" s="13">
        <v>11779.0</v>
      </c>
      <c r="J842" s="5" t="str">
        <f t="shared" si="1"/>
        <v>Manie Maxwell</v>
      </c>
    </row>
    <row r="843">
      <c r="A843" s="13">
        <v>842.0</v>
      </c>
      <c r="B843" s="13" t="s">
        <v>3372</v>
      </c>
      <c r="C843" s="13" t="s">
        <v>3373</v>
      </c>
      <c r="D843" s="13" t="s">
        <v>18</v>
      </c>
      <c r="E843" s="13" t="s">
        <v>3374</v>
      </c>
      <c r="F843" s="13" t="s">
        <v>3375</v>
      </c>
      <c r="G843" s="13" t="s">
        <v>213</v>
      </c>
      <c r="H843" s="13" t="s">
        <v>17</v>
      </c>
      <c r="I843" s="13">
        <v>76901.0</v>
      </c>
      <c r="J843" s="5" t="str">
        <f t="shared" si="1"/>
        <v>Giselle Robles</v>
      </c>
    </row>
    <row r="844">
      <c r="A844" s="13">
        <v>843.0</v>
      </c>
      <c r="B844" s="13" t="s">
        <v>3376</v>
      </c>
      <c r="C844" s="13" t="s">
        <v>3377</v>
      </c>
      <c r="D844" s="13" t="s">
        <v>18</v>
      </c>
      <c r="E844" s="13" t="s">
        <v>3378</v>
      </c>
      <c r="F844" s="13" t="s">
        <v>3379</v>
      </c>
      <c r="G844" s="13" t="s">
        <v>191</v>
      </c>
      <c r="H844" s="13" t="s">
        <v>16</v>
      </c>
      <c r="I844" s="13">
        <v>12901.0</v>
      </c>
      <c r="J844" s="5" t="str">
        <f t="shared" si="1"/>
        <v>Tessie Farmer</v>
      </c>
    </row>
    <row r="845">
      <c r="A845" s="13">
        <v>844.0</v>
      </c>
      <c r="B845" s="13" t="s">
        <v>3380</v>
      </c>
      <c r="C845" s="13" t="s">
        <v>1974</v>
      </c>
      <c r="D845" s="13" t="s">
        <v>18</v>
      </c>
      <c r="E845" s="13" t="s">
        <v>3381</v>
      </c>
      <c r="F845" s="13" t="s">
        <v>3382</v>
      </c>
      <c r="G845" s="13" t="s">
        <v>230</v>
      </c>
      <c r="H845" s="13" t="s">
        <v>16</v>
      </c>
      <c r="I845" s="13">
        <v>11420.0</v>
      </c>
      <c r="J845" s="5" t="str">
        <f t="shared" si="1"/>
        <v>Felica Munoz</v>
      </c>
    </row>
    <row r="846">
      <c r="A846" s="13">
        <v>845.0</v>
      </c>
      <c r="B846" s="13" t="s">
        <v>3383</v>
      </c>
      <c r="C846" s="13" t="s">
        <v>1792</v>
      </c>
      <c r="D846" s="13" t="s">
        <v>18</v>
      </c>
      <c r="E846" s="13" t="s">
        <v>3384</v>
      </c>
      <c r="F846" s="13" t="s">
        <v>3385</v>
      </c>
      <c r="G846" s="13" t="s">
        <v>60</v>
      </c>
      <c r="H846" s="13" t="s">
        <v>16</v>
      </c>
      <c r="I846" s="13">
        <v>10451.0</v>
      </c>
      <c r="J846" s="5" t="str">
        <f t="shared" si="1"/>
        <v>Kathyrn Bush</v>
      </c>
    </row>
    <row r="847">
      <c r="A847" s="13">
        <v>846.0</v>
      </c>
      <c r="B847" s="13" t="s">
        <v>3386</v>
      </c>
      <c r="C847" s="13" t="s">
        <v>2920</v>
      </c>
      <c r="D847" s="13" t="s">
        <v>18</v>
      </c>
      <c r="E847" s="13" t="s">
        <v>3387</v>
      </c>
      <c r="F847" s="13" t="s">
        <v>3388</v>
      </c>
      <c r="G847" s="13" t="s">
        <v>205</v>
      </c>
      <c r="H847" s="13" t="s">
        <v>15</v>
      </c>
      <c r="I847" s="13">
        <v>95677.0</v>
      </c>
      <c r="J847" s="5" t="str">
        <f t="shared" si="1"/>
        <v>Sylvester Chan</v>
      </c>
    </row>
    <row r="848">
      <c r="A848" s="13">
        <v>847.0</v>
      </c>
      <c r="B848" s="13" t="s">
        <v>3389</v>
      </c>
      <c r="C848" s="13" t="s">
        <v>3390</v>
      </c>
      <c r="D848" s="13" t="s">
        <v>18</v>
      </c>
      <c r="E848" s="13" t="s">
        <v>3391</v>
      </c>
      <c r="F848" s="13" t="s">
        <v>3392</v>
      </c>
      <c r="G848" s="13" t="s">
        <v>196</v>
      </c>
      <c r="H848" s="13" t="s">
        <v>16</v>
      </c>
      <c r="I848" s="13">
        <v>11050.0</v>
      </c>
      <c r="J848" s="5" t="str">
        <f t="shared" si="1"/>
        <v>Lizette Ellison</v>
      </c>
    </row>
    <row r="849">
      <c r="A849" s="13">
        <v>848.0</v>
      </c>
      <c r="B849" s="13" t="s">
        <v>3393</v>
      </c>
      <c r="C849" s="13" t="s">
        <v>3345</v>
      </c>
      <c r="D849" s="13" t="s">
        <v>18</v>
      </c>
      <c r="E849" s="13" t="s">
        <v>3394</v>
      </c>
      <c r="F849" s="13" t="s">
        <v>3395</v>
      </c>
      <c r="G849" s="13" t="s">
        <v>108</v>
      </c>
      <c r="H849" s="13" t="s">
        <v>16</v>
      </c>
      <c r="I849" s="13">
        <v>11373.0</v>
      </c>
      <c r="J849" s="5" t="str">
        <f t="shared" si="1"/>
        <v>Ernestina Skinner</v>
      </c>
    </row>
    <row r="850">
      <c r="A850" s="13">
        <v>849.0</v>
      </c>
      <c r="B850" s="13" t="s">
        <v>3396</v>
      </c>
      <c r="C850" s="13" t="s">
        <v>765</v>
      </c>
      <c r="D850" s="13" t="s">
        <v>18</v>
      </c>
      <c r="E850" s="13" t="s">
        <v>3397</v>
      </c>
      <c r="F850" s="13" t="s">
        <v>3398</v>
      </c>
      <c r="G850" s="13" t="s">
        <v>237</v>
      </c>
      <c r="H850" s="13" t="s">
        <v>16</v>
      </c>
      <c r="I850" s="13">
        <v>11791.0</v>
      </c>
      <c r="J850" s="5" t="str">
        <f t="shared" si="1"/>
        <v>Phyllis Hill</v>
      </c>
    </row>
    <row r="851">
      <c r="A851" s="13">
        <v>850.0</v>
      </c>
      <c r="B851" s="13" t="s">
        <v>3399</v>
      </c>
      <c r="C851" s="13" t="s">
        <v>422</v>
      </c>
      <c r="D851" s="13" t="s">
        <v>18</v>
      </c>
      <c r="E851" s="13" t="s">
        <v>3400</v>
      </c>
      <c r="F851" s="13" t="s">
        <v>3401</v>
      </c>
      <c r="G851" s="13" t="s">
        <v>210</v>
      </c>
      <c r="H851" s="13" t="s">
        <v>17</v>
      </c>
      <c r="I851" s="13">
        <v>75088.0</v>
      </c>
      <c r="J851" s="5" t="str">
        <f t="shared" si="1"/>
        <v>Stephanie Browning</v>
      </c>
    </row>
    <row r="852">
      <c r="A852" s="13">
        <v>851.0</v>
      </c>
      <c r="B852" s="13" t="s">
        <v>3402</v>
      </c>
      <c r="C852" s="13" t="s">
        <v>1417</v>
      </c>
      <c r="D852" s="13" t="s">
        <v>18</v>
      </c>
      <c r="E852" s="13" t="s">
        <v>3403</v>
      </c>
      <c r="F852" s="13" t="s">
        <v>3404</v>
      </c>
      <c r="G852" s="13" t="s">
        <v>171</v>
      </c>
      <c r="H852" s="13" t="s">
        <v>16</v>
      </c>
      <c r="I852" s="13">
        <v>11040.0</v>
      </c>
      <c r="J852" s="5" t="str">
        <f t="shared" si="1"/>
        <v>Arlena Buckner</v>
      </c>
    </row>
    <row r="853">
      <c r="A853" s="13">
        <v>852.0</v>
      </c>
      <c r="B853" s="13" t="s">
        <v>3405</v>
      </c>
      <c r="C853" s="13" t="s">
        <v>2157</v>
      </c>
      <c r="D853" s="13" t="s">
        <v>18</v>
      </c>
      <c r="E853" s="13" t="s">
        <v>3406</v>
      </c>
      <c r="F853" s="13" t="s">
        <v>3407</v>
      </c>
      <c r="G853" s="13" t="s">
        <v>122</v>
      </c>
      <c r="H853" s="13" t="s">
        <v>16</v>
      </c>
      <c r="I853" s="13">
        <v>11520.0</v>
      </c>
      <c r="J853" s="5" t="str">
        <f t="shared" si="1"/>
        <v>Lezlie Thompson</v>
      </c>
    </row>
    <row r="854">
      <c r="A854" s="13">
        <v>853.0</v>
      </c>
      <c r="B854" s="13" t="s">
        <v>405</v>
      </c>
      <c r="C854" s="13" t="s">
        <v>1698</v>
      </c>
      <c r="D854" s="13" t="s">
        <v>18</v>
      </c>
      <c r="E854" s="13" t="s">
        <v>3408</v>
      </c>
      <c r="F854" s="13" t="s">
        <v>3409</v>
      </c>
      <c r="G854" s="13" t="s">
        <v>146</v>
      </c>
      <c r="H854" s="13" t="s">
        <v>16</v>
      </c>
      <c r="I854" s="13">
        <v>12401.0</v>
      </c>
      <c r="J854" s="5" t="str">
        <f t="shared" si="1"/>
        <v>Brittney Rojas</v>
      </c>
    </row>
    <row r="855">
      <c r="A855" s="13">
        <v>854.0</v>
      </c>
      <c r="B855" s="13" t="s">
        <v>3410</v>
      </c>
      <c r="C855" s="13" t="s">
        <v>3411</v>
      </c>
      <c r="D855" s="13" t="s">
        <v>3412</v>
      </c>
      <c r="E855" s="13" t="s">
        <v>3413</v>
      </c>
      <c r="F855" s="13" t="s">
        <v>3414</v>
      </c>
      <c r="G855" s="13" t="s">
        <v>174</v>
      </c>
      <c r="H855" s="13" t="s">
        <v>16</v>
      </c>
      <c r="I855" s="13">
        <v>10002.0</v>
      </c>
      <c r="J855" s="5" t="str">
        <f t="shared" si="1"/>
        <v>Phylis Adkins</v>
      </c>
    </row>
    <row r="856">
      <c r="A856" s="13">
        <v>855.0</v>
      </c>
      <c r="B856" s="13" t="s">
        <v>3415</v>
      </c>
      <c r="C856" s="13" t="s">
        <v>3416</v>
      </c>
      <c r="D856" s="13" t="s">
        <v>18</v>
      </c>
      <c r="E856" s="13" t="s">
        <v>3417</v>
      </c>
      <c r="F856" s="13" t="s">
        <v>3418</v>
      </c>
      <c r="G856" s="13" t="s">
        <v>242</v>
      </c>
      <c r="H856" s="13" t="s">
        <v>15</v>
      </c>
      <c r="I856" s="13">
        <v>91784.0</v>
      </c>
      <c r="J856" s="5" t="str">
        <f t="shared" si="1"/>
        <v>Lean Stark</v>
      </c>
    </row>
    <row r="857">
      <c r="A857" s="13">
        <v>856.0</v>
      </c>
      <c r="B857" s="13" t="s">
        <v>3419</v>
      </c>
      <c r="C857" s="13" t="s">
        <v>3420</v>
      </c>
      <c r="D857" s="13" t="s">
        <v>18</v>
      </c>
      <c r="E857" s="13" t="s">
        <v>3421</v>
      </c>
      <c r="F857" s="13" t="s">
        <v>3422</v>
      </c>
      <c r="G857" s="13" t="s">
        <v>208</v>
      </c>
      <c r="H857" s="13" t="s">
        <v>16</v>
      </c>
      <c r="I857" s="13">
        <v>11779.0</v>
      </c>
      <c r="J857" s="5" t="str">
        <f t="shared" si="1"/>
        <v>Lara Guy</v>
      </c>
    </row>
    <row r="858">
      <c r="A858" s="13">
        <v>857.0</v>
      </c>
      <c r="B858" s="13" t="s">
        <v>3423</v>
      </c>
      <c r="C858" s="13" t="s">
        <v>3424</v>
      </c>
      <c r="D858" s="13" t="s">
        <v>18</v>
      </c>
      <c r="E858" s="13" t="s">
        <v>3425</v>
      </c>
      <c r="F858" s="13" t="s">
        <v>3426</v>
      </c>
      <c r="G858" s="13" t="s">
        <v>173</v>
      </c>
      <c r="H858" s="13" t="s">
        <v>16</v>
      </c>
      <c r="I858" s="13">
        <v>12553.0</v>
      </c>
      <c r="J858" s="5" t="str">
        <f t="shared" si="1"/>
        <v>Inga Koch</v>
      </c>
    </row>
    <row r="859">
      <c r="A859" s="13">
        <v>858.0</v>
      </c>
      <c r="B859" s="13" t="s">
        <v>1007</v>
      </c>
      <c r="C859" s="13" t="s">
        <v>1436</v>
      </c>
      <c r="D859" s="13" t="s">
        <v>18</v>
      </c>
      <c r="E859" s="13" t="s">
        <v>3427</v>
      </c>
      <c r="F859" s="13" t="s">
        <v>3428</v>
      </c>
      <c r="G859" s="13" t="s">
        <v>207</v>
      </c>
      <c r="H859" s="13" t="s">
        <v>16</v>
      </c>
      <c r="I859" s="13">
        <v>13440.0</v>
      </c>
      <c r="J859" s="5" t="str">
        <f t="shared" si="1"/>
        <v>Klara Kim</v>
      </c>
    </row>
    <row r="860">
      <c r="A860" s="13">
        <v>859.0</v>
      </c>
      <c r="B860" s="13" t="s">
        <v>3429</v>
      </c>
      <c r="C860" s="13" t="s">
        <v>3430</v>
      </c>
      <c r="D860" s="13" t="s">
        <v>18</v>
      </c>
      <c r="E860" s="13" t="s">
        <v>3431</v>
      </c>
      <c r="F860" s="13" t="s">
        <v>3432</v>
      </c>
      <c r="G860" s="13" t="s">
        <v>235</v>
      </c>
      <c r="H860" s="13" t="s">
        <v>17</v>
      </c>
      <c r="I860" s="13">
        <v>77478.0</v>
      </c>
      <c r="J860" s="5" t="str">
        <f t="shared" si="1"/>
        <v>Julianne Shannon</v>
      </c>
    </row>
    <row r="861">
      <c r="A861" s="13">
        <v>860.0</v>
      </c>
      <c r="B861" s="13" t="s">
        <v>1718</v>
      </c>
      <c r="C861" s="13" t="s">
        <v>3433</v>
      </c>
      <c r="D861" s="13" t="s">
        <v>18</v>
      </c>
      <c r="E861" s="13" t="s">
        <v>3434</v>
      </c>
      <c r="F861" s="13" t="s">
        <v>3435</v>
      </c>
      <c r="G861" s="13" t="s">
        <v>230</v>
      </c>
      <c r="H861" s="13" t="s">
        <v>16</v>
      </c>
      <c r="I861" s="13">
        <v>11420.0</v>
      </c>
      <c r="J861" s="5" t="str">
        <f t="shared" si="1"/>
        <v>Loni Mullen</v>
      </c>
    </row>
    <row r="862">
      <c r="A862" s="13">
        <v>861.0</v>
      </c>
      <c r="B862" s="13" t="s">
        <v>3436</v>
      </c>
      <c r="C862" s="13" t="s">
        <v>3437</v>
      </c>
      <c r="D862" s="13" t="s">
        <v>18</v>
      </c>
      <c r="E862" s="13" t="s">
        <v>3438</v>
      </c>
      <c r="F862" s="13" t="s">
        <v>3439</v>
      </c>
      <c r="G862" s="13" t="s">
        <v>137</v>
      </c>
      <c r="H862" s="13" t="s">
        <v>16</v>
      </c>
      <c r="I862" s="13">
        <v>12533.0</v>
      </c>
      <c r="J862" s="5" t="str">
        <f t="shared" si="1"/>
        <v>Olympia Figueroa</v>
      </c>
    </row>
    <row r="863">
      <c r="A863" s="13">
        <v>862.0</v>
      </c>
      <c r="B863" s="13" t="s">
        <v>3440</v>
      </c>
      <c r="C863" s="13" t="s">
        <v>1405</v>
      </c>
      <c r="D863" s="13" t="s">
        <v>18</v>
      </c>
      <c r="E863" s="13" t="s">
        <v>3441</v>
      </c>
      <c r="F863" s="13" t="s">
        <v>3442</v>
      </c>
      <c r="G863" s="13" t="s">
        <v>123</v>
      </c>
      <c r="H863" s="13" t="s">
        <v>16</v>
      </c>
      <c r="I863" s="13">
        <v>11365.0</v>
      </c>
      <c r="J863" s="5" t="str">
        <f t="shared" si="1"/>
        <v>Mellie Puckett</v>
      </c>
    </row>
    <row r="864">
      <c r="A864" s="13">
        <v>863.0</v>
      </c>
      <c r="B864" s="13" t="s">
        <v>821</v>
      </c>
      <c r="C864" s="13" t="s">
        <v>891</v>
      </c>
      <c r="D864" s="13" t="s">
        <v>18</v>
      </c>
      <c r="E864" s="13" t="s">
        <v>3443</v>
      </c>
      <c r="F864" s="13" t="s">
        <v>3444</v>
      </c>
      <c r="G864" s="13" t="s">
        <v>243</v>
      </c>
      <c r="H864" s="13" t="s">
        <v>16</v>
      </c>
      <c r="I864" s="13">
        <v>13501.0</v>
      </c>
      <c r="J864" s="5" t="str">
        <f t="shared" si="1"/>
        <v>Shonta Preston</v>
      </c>
    </row>
    <row r="865">
      <c r="A865" s="13">
        <v>864.0</v>
      </c>
      <c r="B865" s="13" t="s">
        <v>3445</v>
      </c>
      <c r="C865" s="13" t="s">
        <v>314</v>
      </c>
      <c r="D865" s="13" t="s">
        <v>3446</v>
      </c>
      <c r="E865" s="13" t="s">
        <v>3447</v>
      </c>
      <c r="F865" s="13" t="s">
        <v>3448</v>
      </c>
      <c r="G865" s="13" t="s">
        <v>64</v>
      </c>
      <c r="H865" s="13" t="s">
        <v>16</v>
      </c>
      <c r="I865" s="13">
        <v>14215.0</v>
      </c>
      <c r="J865" s="5" t="str">
        <f t="shared" si="1"/>
        <v>Lore Sykes</v>
      </c>
    </row>
    <row r="866">
      <c r="A866" s="13">
        <v>865.0</v>
      </c>
      <c r="B866" s="13" t="s">
        <v>3449</v>
      </c>
      <c r="C866" s="13" t="s">
        <v>600</v>
      </c>
      <c r="D866" s="13" t="s">
        <v>18</v>
      </c>
      <c r="E866" s="13" t="s">
        <v>3450</v>
      </c>
      <c r="F866" s="13" t="s">
        <v>3451</v>
      </c>
      <c r="G866" s="13" t="s">
        <v>34</v>
      </c>
      <c r="H866" s="13" t="s">
        <v>16</v>
      </c>
      <c r="I866" s="13">
        <v>11102.0</v>
      </c>
      <c r="J866" s="5" t="str">
        <f t="shared" si="1"/>
        <v>Julia Joyner</v>
      </c>
    </row>
    <row r="867">
      <c r="A867" s="13">
        <v>866.0</v>
      </c>
      <c r="B867" s="13" t="s">
        <v>3452</v>
      </c>
      <c r="C867" s="13" t="s">
        <v>464</v>
      </c>
      <c r="D867" s="13" t="s">
        <v>18</v>
      </c>
      <c r="E867" s="13" t="s">
        <v>3453</v>
      </c>
      <c r="F867" s="13" t="s">
        <v>3454</v>
      </c>
      <c r="G867" s="13" t="s">
        <v>155</v>
      </c>
      <c r="H867" s="13" t="s">
        <v>17</v>
      </c>
      <c r="I867" s="13">
        <v>75604.0</v>
      </c>
      <c r="J867" s="5" t="str">
        <f t="shared" si="1"/>
        <v>Lynwood Jackson</v>
      </c>
    </row>
    <row r="868">
      <c r="A868" s="13">
        <v>867.0</v>
      </c>
      <c r="B868" s="13" t="s">
        <v>3455</v>
      </c>
      <c r="C868" s="13" t="s">
        <v>1245</v>
      </c>
      <c r="D868" s="13" t="s">
        <v>18</v>
      </c>
      <c r="E868" s="13" t="s">
        <v>3456</v>
      </c>
      <c r="F868" s="13" t="s">
        <v>3457</v>
      </c>
      <c r="G868" s="13" t="s">
        <v>66</v>
      </c>
      <c r="H868" s="13" t="s">
        <v>15</v>
      </c>
      <c r="I868" s="13">
        <v>95008.0</v>
      </c>
      <c r="J868" s="5" t="str">
        <f t="shared" si="1"/>
        <v>Rosalva Hamilton</v>
      </c>
    </row>
    <row r="869">
      <c r="A869" s="13">
        <v>868.0</v>
      </c>
      <c r="B869" s="13" t="s">
        <v>3458</v>
      </c>
      <c r="C869" s="13" t="s">
        <v>555</v>
      </c>
      <c r="D869" s="13" t="s">
        <v>3459</v>
      </c>
      <c r="E869" s="13" t="s">
        <v>3460</v>
      </c>
      <c r="F869" s="13" t="s">
        <v>3461</v>
      </c>
      <c r="G869" s="13" t="s">
        <v>217</v>
      </c>
      <c r="H869" s="13" t="s">
        <v>15</v>
      </c>
      <c r="I869" s="13">
        <v>95127.0</v>
      </c>
      <c r="J869" s="5" t="str">
        <f t="shared" si="1"/>
        <v>Domingo Casey</v>
      </c>
    </row>
    <row r="870">
      <c r="A870" s="13">
        <v>869.0</v>
      </c>
      <c r="B870" s="13" t="s">
        <v>3462</v>
      </c>
      <c r="C870" s="13" t="s">
        <v>3463</v>
      </c>
      <c r="D870" s="13" t="s">
        <v>18</v>
      </c>
      <c r="E870" s="13" t="s">
        <v>3464</v>
      </c>
      <c r="F870" s="13" t="s">
        <v>3465</v>
      </c>
      <c r="G870" s="13" t="s">
        <v>202</v>
      </c>
      <c r="H870" s="13" t="s">
        <v>16</v>
      </c>
      <c r="I870" s="13">
        <v>11418.0</v>
      </c>
      <c r="J870" s="5" t="str">
        <f t="shared" si="1"/>
        <v>Rodrigo Durham</v>
      </c>
    </row>
    <row r="871">
      <c r="A871" s="13">
        <v>870.0</v>
      </c>
      <c r="B871" s="13" t="s">
        <v>3466</v>
      </c>
      <c r="C871" s="13" t="s">
        <v>3467</v>
      </c>
      <c r="D871" s="13" t="s">
        <v>18</v>
      </c>
      <c r="E871" s="13" t="s">
        <v>3468</v>
      </c>
      <c r="F871" s="13" t="s">
        <v>3469</v>
      </c>
      <c r="G871" s="13" t="s">
        <v>228</v>
      </c>
      <c r="H871" s="13" t="s">
        <v>16</v>
      </c>
      <c r="I871" s="13">
        <v>11787.0</v>
      </c>
      <c r="J871" s="5" t="str">
        <f t="shared" si="1"/>
        <v>Dwain Carlson</v>
      </c>
    </row>
    <row r="872">
      <c r="A872" s="13">
        <v>871.0</v>
      </c>
      <c r="B872" s="13" t="s">
        <v>781</v>
      </c>
      <c r="C872" s="13" t="s">
        <v>3470</v>
      </c>
      <c r="D872" s="13" t="s">
        <v>18</v>
      </c>
      <c r="E872" s="13" t="s">
        <v>3471</v>
      </c>
      <c r="F872" s="13" t="s">
        <v>3472</v>
      </c>
      <c r="G872" s="13" t="s">
        <v>173</v>
      </c>
      <c r="H872" s="13" t="s">
        <v>16</v>
      </c>
      <c r="I872" s="13">
        <v>12553.0</v>
      </c>
      <c r="J872" s="5" t="str">
        <f t="shared" si="1"/>
        <v>Erlinda Humphrey</v>
      </c>
    </row>
    <row r="873">
      <c r="A873" s="13">
        <v>872.0</v>
      </c>
      <c r="B873" s="13" t="s">
        <v>3473</v>
      </c>
      <c r="C873" s="13" t="s">
        <v>835</v>
      </c>
      <c r="D873" s="13" t="s">
        <v>3474</v>
      </c>
      <c r="E873" s="13" t="s">
        <v>3475</v>
      </c>
      <c r="F873" s="13" t="s">
        <v>3476</v>
      </c>
      <c r="G873" s="13" t="s">
        <v>90</v>
      </c>
      <c r="H873" s="13" t="s">
        <v>17</v>
      </c>
      <c r="I873" s="13">
        <v>78418.0</v>
      </c>
      <c r="J873" s="5" t="str">
        <f t="shared" si="1"/>
        <v>Silas Tate</v>
      </c>
    </row>
    <row r="874">
      <c r="A874" s="13">
        <v>873.0</v>
      </c>
      <c r="B874" s="13" t="s">
        <v>3477</v>
      </c>
      <c r="C874" s="13" t="s">
        <v>3478</v>
      </c>
      <c r="D874" s="13" t="s">
        <v>18</v>
      </c>
      <c r="E874" s="13" t="s">
        <v>3479</v>
      </c>
      <c r="F874" s="13" t="s">
        <v>3480</v>
      </c>
      <c r="G874" s="13" t="s">
        <v>176</v>
      </c>
      <c r="H874" s="13" t="s">
        <v>16</v>
      </c>
      <c r="I874" s="13">
        <v>14304.0</v>
      </c>
      <c r="J874" s="5" t="str">
        <f t="shared" si="1"/>
        <v>Patience Clayton</v>
      </c>
    </row>
    <row r="875">
      <c r="A875" s="13">
        <v>874.0</v>
      </c>
      <c r="B875" s="13" t="s">
        <v>3481</v>
      </c>
      <c r="C875" s="13" t="s">
        <v>3482</v>
      </c>
      <c r="D875" s="13" t="s">
        <v>18</v>
      </c>
      <c r="E875" s="13" t="s">
        <v>3483</v>
      </c>
      <c r="F875" s="13" t="s">
        <v>3484</v>
      </c>
      <c r="G875" s="13" t="s">
        <v>191</v>
      </c>
      <c r="H875" s="13" t="s">
        <v>16</v>
      </c>
      <c r="I875" s="13">
        <v>12901.0</v>
      </c>
      <c r="J875" s="5" t="str">
        <f t="shared" si="1"/>
        <v>Mila Good</v>
      </c>
    </row>
    <row r="876">
      <c r="A876" s="13">
        <v>875.0</v>
      </c>
      <c r="B876" s="13" t="s">
        <v>797</v>
      </c>
      <c r="C876" s="13" t="s">
        <v>645</v>
      </c>
      <c r="D876" s="13" t="s">
        <v>18</v>
      </c>
      <c r="E876" s="13" t="s">
        <v>3485</v>
      </c>
      <c r="F876" s="13" t="s">
        <v>3486</v>
      </c>
      <c r="G876" s="13" t="s">
        <v>209</v>
      </c>
      <c r="H876" s="13" t="s">
        <v>16</v>
      </c>
      <c r="I876" s="13">
        <v>11422.0</v>
      </c>
      <c r="J876" s="5" t="str">
        <f t="shared" si="1"/>
        <v>Tanesha Sawyer</v>
      </c>
    </row>
    <row r="877">
      <c r="A877" s="13">
        <v>876.0</v>
      </c>
      <c r="B877" s="13" t="s">
        <v>447</v>
      </c>
      <c r="C877" s="13" t="s">
        <v>3487</v>
      </c>
      <c r="D877" s="13" t="s">
        <v>18</v>
      </c>
      <c r="E877" s="13" t="s">
        <v>3488</v>
      </c>
      <c r="F877" s="13" t="s">
        <v>3489</v>
      </c>
      <c r="G877" s="13" t="s">
        <v>128</v>
      </c>
      <c r="H877" s="13" t="s">
        <v>16</v>
      </c>
      <c r="I877" s="13">
        <v>11542.0</v>
      </c>
      <c r="J877" s="5" t="str">
        <f t="shared" si="1"/>
        <v>Onita Macdonald</v>
      </c>
    </row>
    <row r="878">
      <c r="A878" s="13">
        <v>877.0</v>
      </c>
      <c r="B878" s="13" t="s">
        <v>3490</v>
      </c>
      <c r="C878" s="13" t="s">
        <v>3034</v>
      </c>
      <c r="D878" s="13" t="s">
        <v>18</v>
      </c>
      <c r="E878" s="13" t="s">
        <v>3491</v>
      </c>
      <c r="F878" s="13" t="s">
        <v>3492</v>
      </c>
      <c r="G878" s="13" t="s">
        <v>139</v>
      </c>
      <c r="H878" s="13" t="s">
        <v>16</v>
      </c>
      <c r="I878" s="13">
        <v>11414.0</v>
      </c>
      <c r="J878" s="5" t="str">
        <f t="shared" si="1"/>
        <v>Janine Manning</v>
      </c>
    </row>
    <row r="879">
      <c r="A879" s="13">
        <v>878.0</v>
      </c>
      <c r="B879" s="13" t="s">
        <v>3493</v>
      </c>
      <c r="C879" s="13" t="s">
        <v>538</v>
      </c>
      <c r="D879" s="13" t="s">
        <v>18</v>
      </c>
      <c r="E879" s="13" t="s">
        <v>3494</v>
      </c>
      <c r="F879" s="13" t="s">
        <v>3495</v>
      </c>
      <c r="G879" s="13" t="s">
        <v>228</v>
      </c>
      <c r="H879" s="13" t="s">
        <v>16</v>
      </c>
      <c r="I879" s="13">
        <v>11787.0</v>
      </c>
      <c r="J879" s="5" t="str">
        <f t="shared" si="1"/>
        <v>Melodie Melton</v>
      </c>
    </row>
    <row r="880">
      <c r="A880" s="13">
        <v>879.0</v>
      </c>
      <c r="B880" s="13" t="s">
        <v>3496</v>
      </c>
      <c r="C880" s="13" t="s">
        <v>3497</v>
      </c>
      <c r="D880" s="13" t="s">
        <v>18</v>
      </c>
      <c r="E880" s="13" t="s">
        <v>3498</v>
      </c>
      <c r="F880" s="13" t="s">
        <v>3499</v>
      </c>
      <c r="G880" s="13" t="s">
        <v>126</v>
      </c>
      <c r="H880" s="13" t="s">
        <v>16</v>
      </c>
      <c r="I880" s="13">
        <v>11530.0</v>
      </c>
      <c r="J880" s="5" t="str">
        <f t="shared" si="1"/>
        <v>Ethelyn Ray</v>
      </c>
    </row>
    <row r="881">
      <c r="A881" s="13">
        <v>880.0</v>
      </c>
      <c r="B881" s="13" t="s">
        <v>3500</v>
      </c>
      <c r="C881" s="13" t="s">
        <v>2492</v>
      </c>
      <c r="D881" s="13" t="s">
        <v>18</v>
      </c>
      <c r="E881" s="13" t="s">
        <v>3501</v>
      </c>
      <c r="F881" s="13" t="s">
        <v>3502</v>
      </c>
      <c r="G881" s="13" t="s">
        <v>236</v>
      </c>
      <c r="H881" s="13" t="s">
        <v>16</v>
      </c>
      <c r="I881" s="13">
        <v>11104.0</v>
      </c>
      <c r="J881" s="5" t="str">
        <f t="shared" si="1"/>
        <v>Phebe Turner</v>
      </c>
    </row>
    <row r="882">
      <c r="A882" s="13">
        <v>881.0</v>
      </c>
      <c r="B882" s="13" t="s">
        <v>3503</v>
      </c>
      <c r="C882" s="13" t="s">
        <v>3504</v>
      </c>
      <c r="D882" s="13" t="s">
        <v>18</v>
      </c>
      <c r="E882" s="13" t="s">
        <v>3505</v>
      </c>
      <c r="F882" s="13" t="s">
        <v>3506</v>
      </c>
      <c r="G882" s="13" t="s">
        <v>222</v>
      </c>
      <c r="H882" s="13" t="s">
        <v>15</v>
      </c>
      <c r="I882" s="13">
        <v>90403.0</v>
      </c>
      <c r="J882" s="5" t="str">
        <f t="shared" si="1"/>
        <v>Chloe Patel</v>
      </c>
    </row>
    <row r="883">
      <c r="A883" s="13">
        <v>882.0</v>
      </c>
      <c r="B883" s="13" t="s">
        <v>3507</v>
      </c>
      <c r="C883" s="13" t="s">
        <v>2909</v>
      </c>
      <c r="D883" s="13" t="s">
        <v>18</v>
      </c>
      <c r="E883" s="13" t="s">
        <v>3508</v>
      </c>
      <c r="F883" s="13" t="s">
        <v>3509</v>
      </c>
      <c r="G883" s="13" t="s">
        <v>46</v>
      </c>
      <c r="H883" s="13" t="s">
        <v>16</v>
      </c>
      <c r="I883" s="13">
        <v>12020.0</v>
      </c>
      <c r="J883" s="5" t="str">
        <f t="shared" si="1"/>
        <v>Hilda Harvey</v>
      </c>
    </row>
    <row r="884">
      <c r="A884" s="13">
        <v>883.0</v>
      </c>
      <c r="B884" s="13" t="s">
        <v>3510</v>
      </c>
      <c r="C884" s="13" t="s">
        <v>3511</v>
      </c>
      <c r="D884" s="13" t="s">
        <v>3512</v>
      </c>
      <c r="E884" s="13" t="s">
        <v>3513</v>
      </c>
      <c r="F884" s="13" t="s">
        <v>3514</v>
      </c>
      <c r="G884" s="13" t="s">
        <v>106</v>
      </c>
      <c r="H884" s="13" t="s">
        <v>17</v>
      </c>
      <c r="I884" s="13">
        <v>79930.0</v>
      </c>
      <c r="J884" s="5" t="str">
        <f t="shared" si="1"/>
        <v>Gilberte Duke</v>
      </c>
    </row>
    <row r="885">
      <c r="A885" s="13">
        <v>884.0</v>
      </c>
      <c r="B885" s="13" t="s">
        <v>3515</v>
      </c>
      <c r="C885" s="13" t="s">
        <v>340</v>
      </c>
      <c r="D885" s="13" t="s">
        <v>18</v>
      </c>
      <c r="E885" s="13" t="s">
        <v>3516</v>
      </c>
      <c r="F885" s="13" t="s">
        <v>3517</v>
      </c>
      <c r="G885" s="13" t="s">
        <v>184</v>
      </c>
      <c r="H885" s="13" t="s">
        <v>16</v>
      </c>
      <c r="I885" s="13">
        <v>13126.0</v>
      </c>
      <c r="J885" s="5" t="str">
        <f t="shared" si="1"/>
        <v>Willian Hardin</v>
      </c>
    </row>
    <row r="886">
      <c r="A886" s="13">
        <v>885.0</v>
      </c>
      <c r="B886" s="13" t="s">
        <v>3518</v>
      </c>
      <c r="C886" s="13" t="s">
        <v>1460</v>
      </c>
      <c r="D886" s="13" t="s">
        <v>18</v>
      </c>
      <c r="E886" s="13" t="s">
        <v>3519</v>
      </c>
      <c r="F886" s="13" t="s">
        <v>3520</v>
      </c>
      <c r="G886" s="13" t="s">
        <v>155</v>
      </c>
      <c r="H886" s="13" t="s">
        <v>17</v>
      </c>
      <c r="I886" s="13">
        <v>75604.0</v>
      </c>
      <c r="J886" s="5" t="str">
        <f t="shared" si="1"/>
        <v>Janna Hayden</v>
      </c>
    </row>
    <row r="887">
      <c r="A887" s="13">
        <v>886.0</v>
      </c>
      <c r="B887" s="13" t="s">
        <v>3521</v>
      </c>
      <c r="C887" s="13" t="s">
        <v>3075</v>
      </c>
      <c r="D887" s="13" t="s">
        <v>18</v>
      </c>
      <c r="E887" s="13" t="s">
        <v>3522</v>
      </c>
      <c r="F887" s="13" t="s">
        <v>3523</v>
      </c>
      <c r="G887" s="13" t="s">
        <v>177</v>
      </c>
      <c r="H887" s="13" t="s">
        <v>16</v>
      </c>
      <c r="I887" s="13">
        <v>14120.0</v>
      </c>
      <c r="J887" s="5" t="str">
        <f t="shared" si="1"/>
        <v>Letisha May</v>
      </c>
    </row>
    <row r="888">
      <c r="A888" s="13">
        <v>887.0</v>
      </c>
      <c r="B888" s="13" t="s">
        <v>3080</v>
      </c>
      <c r="C888" s="13" t="s">
        <v>3524</v>
      </c>
      <c r="D888" s="13" t="s">
        <v>18</v>
      </c>
      <c r="E888" s="13" t="s">
        <v>3525</v>
      </c>
      <c r="F888" s="13" t="s">
        <v>3526</v>
      </c>
      <c r="G888" s="13" t="s">
        <v>237</v>
      </c>
      <c r="H888" s="13" t="s">
        <v>16</v>
      </c>
      <c r="I888" s="13">
        <v>11791.0</v>
      </c>
      <c r="J888" s="5" t="str">
        <f t="shared" si="1"/>
        <v>Graig Cannon</v>
      </c>
    </row>
    <row r="889">
      <c r="A889" s="13">
        <v>888.0</v>
      </c>
      <c r="B889" s="13" t="s">
        <v>3527</v>
      </c>
      <c r="C889" s="13" t="s">
        <v>3528</v>
      </c>
      <c r="D889" s="13" t="s">
        <v>18</v>
      </c>
      <c r="E889" s="13" t="s">
        <v>3529</v>
      </c>
      <c r="F889" s="13" t="s">
        <v>3530</v>
      </c>
      <c r="G889" s="13" t="s">
        <v>249</v>
      </c>
      <c r="H889" s="13" t="s">
        <v>16</v>
      </c>
      <c r="I889" s="13">
        <v>14580.0</v>
      </c>
      <c r="J889" s="5" t="str">
        <f t="shared" si="1"/>
        <v>Coleen Navarro</v>
      </c>
    </row>
    <row r="890">
      <c r="A890" s="13">
        <v>889.0</v>
      </c>
      <c r="B890" s="13" t="s">
        <v>3531</v>
      </c>
      <c r="C890" s="13" t="s">
        <v>3532</v>
      </c>
      <c r="D890" s="13" t="s">
        <v>18</v>
      </c>
      <c r="E890" s="13" t="s">
        <v>3533</v>
      </c>
      <c r="F890" s="13" t="s">
        <v>3534</v>
      </c>
      <c r="G890" s="13" t="s">
        <v>215</v>
      </c>
      <c r="H890" s="13" t="s">
        <v>15</v>
      </c>
      <c r="I890" s="13">
        <v>94070.0</v>
      </c>
      <c r="J890" s="5" t="str">
        <f t="shared" si="1"/>
        <v>Lucilla Williams</v>
      </c>
    </row>
    <row r="891">
      <c r="A891" s="13">
        <v>890.0</v>
      </c>
      <c r="B891" s="13" t="s">
        <v>3535</v>
      </c>
      <c r="C891" s="13" t="s">
        <v>3323</v>
      </c>
      <c r="D891" s="13" t="s">
        <v>18</v>
      </c>
      <c r="E891" s="13" t="s">
        <v>3536</v>
      </c>
      <c r="F891" s="13" t="s">
        <v>3537</v>
      </c>
      <c r="G891" s="13" t="s">
        <v>183</v>
      </c>
      <c r="H891" s="13" t="s">
        <v>16</v>
      </c>
      <c r="I891" s="13">
        <v>10562.0</v>
      </c>
      <c r="J891" s="5" t="str">
        <f t="shared" si="1"/>
        <v>Rosanne George</v>
      </c>
    </row>
    <row r="892">
      <c r="A892" s="13">
        <v>891.0</v>
      </c>
      <c r="B892" s="13" t="s">
        <v>3538</v>
      </c>
      <c r="C892" s="13" t="s">
        <v>3539</v>
      </c>
      <c r="D892" s="13" t="s">
        <v>18</v>
      </c>
      <c r="E892" s="13" t="s">
        <v>3540</v>
      </c>
      <c r="F892" s="13" t="s">
        <v>3541</v>
      </c>
      <c r="G892" s="13" t="s">
        <v>166</v>
      </c>
      <c r="H892" s="13" t="s">
        <v>16</v>
      </c>
      <c r="I892" s="13">
        <v>10952.0</v>
      </c>
      <c r="J892" s="5" t="str">
        <f t="shared" si="1"/>
        <v>Ashlie Parrish</v>
      </c>
    </row>
    <row r="893">
      <c r="A893" s="13">
        <v>892.0</v>
      </c>
      <c r="B893" s="13" t="s">
        <v>2762</v>
      </c>
      <c r="C893" s="13" t="s">
        <v>2841</v>
      </c>
      <c r="D893" s="13" t="s">
        <v>18</v>
      </c>
      <c r="E893" s="13" t="s">
        <v>3542</v>
      </c>
      <c r="F893" s="13" t="s">
        <v>3543</v>
      </c>
      <c r="G893" s="13" t="s">
        <v>183</v>
      </c>
      <c r="H893" s="13" t="s">
        <v>16</v>
      </c>
      <c r="I893" s="13">
        <v>10562.0</v>
      </c>
      <c r="J893" s="5" t="str">
        <f t="shared" si="1"/>
        <v>Alissa Craft</v>
      </c>
    </row>
    <row r="894">
      <c r="A894" s="13">
        <v>893.0</v>
      </c>
      <c r="B894" s="13" t="s">
        <v>3544</v>
      </c>
      <c r="C894" s="13" t="s">
        <v>2640</v>
      </c>
      <c r="D894" s="13" t="s">
        <v>18</v>
      </c>
      <c r="E894" s="13" t="s">
        <v>3545</v>
      </c>
      <c r="F894" s="13" t="s">
        <v>3546</v>
      </c>
      <c r="G894" s="13" t="s">
        <v>94</v>
      </c>
      <c r="H894" s="13" t="s">
        <v>16</v>
      </c>
      <c r="I894" s="13">
        <v>14043.0</v>
      </c>
      <c r="J894" s="5" t="str">
        <f t="shared" si="1"/>
        <v>Letty Cobb</v>
      </c>
    </row>
    <row r="895">
      <c r="A895" s="13">
        <v>894.0</v>
      </c>
      <c r="B895" s="13" t="s">
        <v>3547</v>
      </c>
      <c r="C895" s="13" t="s">
        <v>3548</v>
      </c>
      <c r="D895" s="13" t="s">
        <v>18</v>
      </c>
      <c r="E895" s="13" t="s">
        <v>3549</v>
      </c>
      <c r="F895" s="13" t="s">
        <v>3550</v>
      </c>
      <c r="G895" s="13" t="s">
        <v>173</v>
      </c>
      <c r="H895" s="13" t="s">
        <v>16</v>
      </c>
      <c r="I895" s="13">
        <v>12553.0</v>
      </c>
      <c r="J895" s="5" t="str">
        <f t="shared" si="1"/>
        <v>Nathaniel Richard</v>
      </c>
    </row>
    <row r="896">
      <c r="A896" s="13">
        <v>895.0</v>
      </c>
      <c r="B896" s="13" t="s">
        <v>3551</v>
      </c>
      <c r="C896" s="13" t="s">
        <v>2385</v>
      </c>
      <c r="D896" s="13" t="s">
        <v>18</v>
      </c>
      <c r="E896" s="13" t="s">
        <v>3552</v>
      </c>
      <c r="F896" s="13" t="s">
        <v>3553</v>
      </c>
      <c r="G896" s="13" t="s">
        <v>190</v>
      </c>
      <c r="H896" s="13" t="s">
        <v>16</v>
      </c>
      <c r="I896" s="13">
        <v>11803.0</v>
      </c>
      <c r="J896" s="5" t="str">
        <f t="shared" si="1"/>
        <v>Elaina Key</v>
      </c>
    </row>
    <row r="897">
      <c r="A897" s="13">
        <v>896.0</v>
      </c>
      <c r="B897" s="13" t="s">
        <v>3554</v>
      </c>
      <c r="C897" s="13" t="s">
        <v>571</v>
      </c>
      <c r="D897" s="13" t="s">
        <v>3555</v>
      </c>
      <c r="E897" s="13" t="s">
        <v>3556</v>
      </c>
      <c r="F897" s="13" t="s">
        <v>3557</v>
      </c>
      <c r="G897" s="13" t="s">
        <v>170</v>
      </c>
      <c r="H897" s="13" t="s">
        <v>16</v>
      </c>
      <c r="I897" s="13">
        <v>10956.0</v>
      </c>
      <c r="J897" s="5" t="str">
        <f t="shared" si="1"/>
        <v>Stefani Gamble</v>
      </c>
    </row>
    <row r="898">
      <c r="A898" s="13">
        <v>897.0</v>
      </c>
      <c r="B898" s="13" t="s">
        <v>3558</v>
      </c>
      <c r="C898" s="13" t="s">
        <v>2601</v>
      </c>
      <c r="D898" s="13" t="s">
        <v>3559</v>
      </c>
      <c r="E898" s="13" t="s">
        <v>3560</v>
      </c>
      <c r="F898" s="13" t="s">
        <v>3561</v>
      </c>
      <c r="G898" s="13" t="s">
        <v>148</v>
      </c>
      <c r="H898" s="13" t="s">
        <v>16</v>
      </c>
      <c r="I898" s="13">
        <v>14086.0</v>
      </c>
      <c r="J898" s="5" t="str">
        <f t="shared" si="1"/>
        <v>Bettyann Acosta</v>
      </c>
    </row>
    <row r="899">
      <c r="A899" s="13">
        <v>898.0</v>
      </c>
      <c r="B899" s="13" t="s">
        <v>3562</v>
      </c>
      <c r="C899" s="13" t="s">
        <v>3563</v>
      </c>
      <c r="D899" s="13" t="s">
        <v>3564</v>
      </c>
      <c r="E899" s="13" t="s">
        <v>3565</v>
      </c>
      <c r="F899" s="13" t="s">
        <v>3566</v>
      </c>
      <c r="G899" s="13" t="s">
        <v>138</v>
      </c>
      <c r="H899" s="13" t="s">
        <v>17</v>
      </c>
      <c r="I899" s="13">
        <v>77016.0</v>
      </c>
      <c r="J899" s="5" t="str">
        <f t="shared" si="1"/>
        <v>Crysta Velez</v>
      </c>
    </row>
    <row r="900">
      <c r="A900" s="13">
        <v>899.0</v>
      </c>
      <c r="B900" s="13" t="s">
        <v>3567</v>
      </c>
      <c r="C900" s="13" t="s">
        <v>3568</v>
      </c>
      <c r="D900" s="13" t="s">
        <v>18</v>
      </c>
      <c r="E900" s="13" t="s">
        <v>3569</v>
      </c>
      <c r="F900" s="13" t="s">
        <v>3570</v>
      </c>
      <c r="G900" s="13" t="s">
        <v>245</v>
      </c>
      <c r="H900" s="13" t="s">
        <v>17</v>
      </c>
      <c r="I900" s="13">
        <v>77904.0</v>
      </c>
      <c r="J900" s="5" t="str">
        <f t="shared" si="1"/>
        <v>Carisa Carpenter</v>
      </c>
    </row>
    <row r="901">
      <c r="A901" s="13">
        <v>900.0</v>
      </c>
      <c r="B901" s="13" t="s">
        <v>3571</v>
      </c>
      <c r="C901" s="13" t="s">
        <v>831</v>
      </c>
      <c r="D901" s="13" t="s">
        <v>18</v>
      </c>
      <c r="E901" s="13" t="s">
        <v>3572</v>
      </c>
      <c r="F901" s="13" t="s">
        <v>3573</v>
      </c>
      <c r="G901" s="13" t="s">
        <v>215</v>
      </c>
      <c r="H901" s="13" t="s">
        <v>15</v>
      </c>
      <c r="I901" s="13">
        <v>94070.0</v>
      </c>
      <c r="J901" s="5" t="str">
        <f t="shared" si="1"/>
        <v>Jule Davenport</v>
      </c>
    </row>
    <row r="902">
      <c r="A902" s="13">
        <v>901.0</v>
      </c>
      <c r="B902" s="13" t="s">
        <v>3574</v>
      </c>
      <c r="C902" s="13" t="s">
        <v>3575</v>
      </c>
      <c r="D902" s="13" t="s">
        <v>18</v>
      </c>
      <c r="E902" s="13" t="s">
        <v>3576</v>
      </c>
      <c r="F902" s="13" t="s">
        <v>3577</v>
      </c>
      <c r="G902" s="13" t="s">
        <v>181</v>
      </c>
      <c r="H902" s="13" t="s">
        <v>15</v>
      </c>
      <c r="I902" s="13">
        <v>91762.0</v>
      </c>
      <c r="J902" s="5" t="str">
        <f t="shared" si="1"/>
        <v>Lonna Franks</v>
      </c>
    </row>
    <row r="903">
      <c r="A903" s="13">
        <v>902.0</v>
      </c>
      <c r="B903" s="13" t="s">
        <v>3578</v>
      </c>
      <c r="C903" s="13" t="s">
        <v>778</v>
      </c>
      <c r="D903" s="13" t="s">
        <v>18</v>
      </c>
      <c r="E903" s="13" t="s">
        <v>3579</v>
      </c>
      <c r="F903" s="13" t="s">
        <v>3580</v>
      </c>
      <c r="G903" s="13" t="s">
        <v>184</v>
      </c>
      <c r="H903" s="13" t="s">
        <v>16</v>
      </c>
      <c r="I903" s="13">
        <v>13126.0</v>
      </c>
      <c r="J903" s="5" t="str">
        <f t="shared" si="1"/>
        <v>Elease Dejesus</v>
      </c>
    </row>
    <row r="904">
      <c r="A904" s="13">
        <v>903.0</v>
      </c>
      <c r="B904" s="13" t="s">
        <v>3581</v>
      </c>
      <c r="C904" s="13" t="s">
        <v>1375</v>
      </c>
      <c r="D904" s="13" t="s">
        <v>18</v>
      </c>
      <c r="E904" s="13" t="s">
        <v>3582</v>
      </c>
      <c r="F904" s="13" t="s">
        <v>3583</v>
      </c>
      <c r="G904" s="13" t="s">
        <v>134</v>
      </c>
      <c r="H904" s="13" t="s">
        <v>16</v>
      </c>
      <c r="I904" s="13">
        <v>11801.0</v>
      </c>
      <c r="J904" s="5" t="str">
        <f t="shared" si="1"/>
        <v>Maira Long</v>
      </c>
    </row>
    <row r="905">
      <c r="A905" s="13">
        <v>904.0</v>
      </c>
      <c r="B905" s="13" t="s">
        <v>3584</v>
      </c>
      <c r="C905" s="13" t="s">
        <v>2830</v>
      </c>
      <c r="D905" s="13" t="s">
        <v>3585</v>
      </c>
      <c r="E905" s="13" t="s">
        <v>3586</v>
      </c>
      <c r="F905" s="13" t="s">
        <v>3587</v>
      </c>
      <c r="G905" s="13" t="s">
        <v>217</v>
      </c>
      <c r="H905" s="13" t="s">
        <v>15</v>
      </c>
      <c r="I905" s="13">
        <v>95127.0</v>
      </c>
      <c r="J905" s="5" t="str">
        <f t="shared" si="1"/>
        <v>Jana Thomas</v>
      </c>
    </row>
    <row r="906">
      <c r="A906" s="13">
        <v>905.0</v>
      </c>
      <c r="B906" s="13" t="s">
        <v>3588</v>
      </c>
      <c r="C906" s="13" t="s">
        <v>479</v>
      </c>
      <c r="D906" s="13" t="s">
        <v>18</v>
      </c>
      <c r="E906" s="13" t="s">
        <v>3589</v>
      </c>
      <c r="F906" s="13" t="s">
        <v>3590</v>
      </c>
      <c r="G906" s="13" t="s">
        <v>44</v>
      </c>
      <c r="H906" s="13" t="s">
        <v>16</v>
      </c>
      <c r="I906" s="13">
        <v>13027.0</v>
      </c>
      <c r="J906" s="5" t="str">
        <f t="shared" si="1"/>
        <v>Hae Ramirez</v>
      </c>
    </row>
    <row r="907">
      <c r="A907" s="13">
        <v>906.0</v>
      </c>
      <c r="B907" s="13" t="s">
        <v>3591</v>
      </c>
      <c r="C907" s="13" t="s">
        <v>3592</v>
      </c>
      <c r="D907" s="13" t="s">
        <v>18</v>
      </c>
      <c r="E907" s="13" t="s">
        <v>3593</v>
      </c>
      <c r="F907" s="13" t="s">
        <v>3594</v>
      </c>
      <c r="G907" s="13" t="s">
        <v>235</v>
      </c>
      <c r="H907" s="13" t="s">
        <v>17</v>
      </c>
      <c r="I907" s="13">
        <v>77478.0</v>
      </c>
      <c r="J907" s="5" t="str">
        <f t="shared" si="1"/>
        <v>Erik Leblanc</v>
      </c>
    </row>
    <row r="908">
      <c r="A908" s="13">
        <v>907.0</v>
      </c>
      <c r="B908" s="13" t="s">
        <v>3595</v>
      </c>
      <c r="C908" s="13" t="s">
        <v>3596</v>
      </c>
      <c r="D908" s="13" t="s">
        <v>18</v>
      </c>
      <c r="E908" s="13" t="s">
        <v>3597</v>
      </c>
      <c r="F908" s="13" t="s">
        <v>3598</v>
      </c>
      <c r="G908" s="13" t="s">
        <v>155</v>
      </c>
      <c r="H908" s="13" t="s">
        <v>17</v>
      </c>
      <c r="I908" s="13">
        <v>75604.0</v>
      </c>
      <c r="J908" s="5" t="str">
        <f t="shared" si="1"/>
        <v>Daina Sampson</v>
      </c>
    </row>
    <row r="909">
      <c r="A909" s="13">
        <v>908.0</v>
      </c>
      <c r="B909" s="13" t="s">
        <v>3599</v>
      </c>
      <c r="C909" s="13" t="s">
        <v>1340</v>
      </c>
      <c r="D909" s="13" t="s">
        <v>18</v>
      </c>
      <c r="E909" s="13" t="s">
        <v>3600</v>
      </c>
      <c r="F909" s="13" t="s">
        <v>3601</v>
      </c>
      <c r="G909" s="13" t="s">
        <v>153</v>
      </c>
      <c r="H909" s="13" t="s">
        <v>16</v>
      </c>
      <c r="I909" s="13">
        <v>14094.0</v>
      </c>
      <c r="J909" s="5" t="str">
        <f t="shared" si="1"/>
        <v>Delmar Wise</v>
      </c>
    </row>
    <row r="910">
      <c r="A910" s="13">
        <v>909.0</v>
      </c>
      <c r="B910" s="13" t="s">
        <v>3602</v>
      </c>
      <c r="C910" s="13" t="s">
        <v>1286</v>
      </c>
      <c r="D910" s="13" t="s">
        <v>18</v>
      </c>
      <c r="E910" s="13" t="s">
        <v>3603</v>
      </c>
      <c r="F910" s="13" t="s">
        <v>3604</v>
      </c>
      <c r="G910" s="13" t="s">
        <v>241</v>
      </c>
      <c r="H910" s="13" t="s">
        <v>16</v>
      </c>
      <c r="I910" s="13">
        <v>11553.0</v>
      </c>
      <c r="J910" s="5" t="str">
        <f t="shared" si="1"/>
        <v>Alita Salinas</v>
      </c>
    </row>
    <row r="911">
      <c r="A911" s="13">
        <v>910.0</v>
      </c>
      <c r="B911" s="13" t="s">
        <v>1121</v>
      </c>
      <c r="C911" s="13" t="s">
        <v>742</v>
      </c>
      <c r="D911" s="13" t="s">
        <v>18</v>
      </c>
      <c r="E911" s="13" t="s">
        <v>3605</v>
      </c>
      <c r="F911" s="13" t="s">
        <v>3606</v>
      </c>
      <c r="G911" s="13" t="s">
        <v>162</v>
      </c>
      <c r="H911" s="13" t="s">
        <v>17</v>
      </c>
      <c r="I911" s="13">
        <v>78501.0</v>
      </c>
      <c r="J911" s="5" t="str">
        <f t="shared" si="1"/>
        <v>Elenore William</v>
      </c>
    </row>
    <row r="912">
      <c r="A912" s="13">
        <v>911.0</v>
      </c>
      <c r="B912" s="13" t="s">
        <v>3607</v>
      </c>
      <c r="C912" s="13" t="s">
        <v>3608</v>
      </c>
      <c r="D912" s="13" t="s">
        <v>18</v>
      </c>
      <c r="E912" s="13" t="s">
        <v>3609</v>
      </c>
      <c r="F912" s="13" t="s">
        <v>3610</v>
      </c>
      <c r="G912" s="13" t="s">
        <v>189</v>
      </c>
      <c r="H912" s="13" t="s">
        <v>16</v>
      </c>
      <c r="I912" s="13">
        <v>14534.0</v>
      </c>
      <c r="J912" s="5" t="str">
        <f t="shared" si="1"/>
        <v>Nikita Roy</v>
      </c>
    </row>
    <row r="913">
      <c r="A913" s="13">
        <v>912.0</v>
      </c>
      <c r="B913" s="13" t="s">
        <v>3611</v>
      </c>
      <c r="C913" s="13" t="s">
        <v>2385</v>
      </c>
      <c r="D913" s="13" t="s">
        <v>18</v>
      </c>
      <c r="E913" s="13" t="s">
        <v>3612</v>
      </c>
      <c r="F913" s="13" t="s">
        <v>3613</v>
      </c>
      <c r="G913" s="13" t="s">
        <v>161</v>
      </c>
      <c r="H913" s="13" t="s">
        <v>16</v>
      </c>
      <c r="I913" s="13">
        <v>11762.0</v>
      </c>
      <c r="J913" s="5" t="str">
        <f t="shared" si="1"/>
        <v>Inocencia Key</v>
      </c>
    </row>
    <row r="914">
      <c r="A914" s="13">
        <v>913.0</v>
      </c>
      <c r="B914" s="13" t="s">
        <v>3614</v>
      </c>
      <c r="C914" s="13" t="s">
        <v>3615</v>
      </c>
      <c r="D914" s="13" t="s">
        <v>18</v>
      </c>
      <c r="E914" s="13" t="s">
        <v>3616</v>
      </c>
      <c r="F914" s="13" t="s">
        <v>3617</v>
      </c>
      <c r="G914" s="13" t="s">
        <v>96</v>
      </c>
      <c r="H914" s="13" t="s">
        <v>17</v>
      </c>
      <c r="I914" s="13">
        <v>75115.0</v>
      </c>
      <c r="J914" s="5" t="str">
        <f t="shared" si="1"/>
        <v>Liliana Kerr</v>
      </c>
    </row>
    <row r="915">
      <c r="A915" s="13">
        <v>914.0</v>
      </c>
      <c r="B915" s="13" t="s">
        <v>1513</v>
      </c>
      <c r="C915" s="13" t="s">
        <v>3618</v>
      </c>
      <c r="D915" s="13" t="s">
        <v>18</v>
      </c>
      <c r="E915" s="13" t="s">
        <v>3619</v>
      </c>
      <c r="F915" s="13" t="s">
        <v>3620</v>
      </c>
      <c r="G915" s="13" t="s">
        <v>206</v>
      </c>
      <c r="H915" s="13" t="s">
        <v>16</v>
      </c>
      <c r="I915" s="13">
        <v>11570.0</v>
      </c>
      <c r="J915" s="5" t="str">
        <f t="shared" si="1"/>
        <v>Hortencia O'neil</v>
      </c>
    </row>
    <row r="916">
      <c r="A916" s="13">
        <v>915.0</v>
      </c>
      <c r="B916" s="13" t="s">
        <v>3621</v>
      </c>
      <c r="C916" s="13" t="s">
        <v>451</v>
      </c>
      <c r="D916" s="13" t="s">
        <v>3622</v>
      </c>
      <c r="E916" s="13" t="s">
        <v>3623</v>
      </c>
      <c r="F916" s="13" t="s">
        <v>3624</v>
      </c>
      <c r="G916" s="13" t="s">
        <v>211</v>
      </c>
      <c r="H916" s="13" t="s">
        <v>15</v>
      </c>
      <c r="I916" s="13">
        <v>95820.0</v>
      </c>
      <c r="J916" s="5" t="str">
        <f t="shared" si="1"/>
        <v>Beryl Bennett</v>
      </c>
    </row>
    <row r="917">
      <c r="A917" s="13">
        <v>916.0</v>
      </c>
      <c r="B917" s="13" t="s">
        <v>3625</v>
      </c>
      <c r="C917" s="13" t="s">
        <v>1210</v>
      </c>
      <c r="D917" s="13" t="s">
        <v>18</v>
      </c>
      <c r="E917" s="13" t="s">
        <v>3626</v>
      </c>
      <c r="F917" s="13" t="s">
        <v>3627</v>
      </c>
      <c r="G917" s="13" t="s">
        <v>167</v>
      </c>
      <c r="H917" s="13" t="s">
        <v>16</v>
      </c>
      <c r="I917" s="13">
        <v>10550.0</v>
      </c>
      <c r="J917" s="5" t="str">
        <f t="shared" si="1"/>
        <v>Alishia Elliott</v>
      </c>
    </row>
    <row r="918">
      <c r="A918" s="13">
        <v>917.0</v>
      </c>
      <c r="B918" s="13" t="s">
        <v>3628</v>
      </c>
      <c r="C918" s="13" t="s">
        <v>2137</v>
      </c>
      <c r="D918" s="13" t="s">
        <v>3629</v>
      </c>
      <c r="E918" s="13" t="s">
        <v>3630</v>
      </c>
      <c r="F918" s="13" t="s">
        <v>3631</v>
      </c>
      <c r="G918" s="13" t="s">
        <v>240</v>
      </c>
      <c r="H918" s="13" t="s">
        <v>16</v>
      </c>
      <c r="I918" s="13">
        <v>12180.0</v>
      </c>
      <c r="J918" s="5" t="str">
        <f t="shared" si="1"/>
        <v>Vernia Madden</v>
      </c>
    </row>
    <row r="919">
      <c r="A919" s="13">
        <v>918.0</v>
      </c>
      <c r="B919" s="13" t="s">
        <v>3317</v>
      </c>
      <c r="C919" s="13" t="s">
        <v>624</v>
      </c>
      <c r="D919" s="13" t="s">
        <v>18</v>
      </c>
      <c r="E919" s="13" t="s">
        <v>3632</v>
      </c>
      <c r="F919" s="13" t="s">
        <v>3633</v>
      </c>
      <c r="G919" s="13" t="s">
        <v>228</v>
      </c>
      <c r="H919" s="13" t="s">
        <v>16</v>
      </c>
      <c r="I919" s="13">
        <v>11787.0</v>
      </c>
      <c r="J919" s="5" t="str">
        <f t="shared" si="1"/>
        <v>Kristel Bullock</v>
      </c>
    </row>
    <row r="920">
      <c r="A920" s="13">
        <v>919.0</v>
      </c>
      <c r="B920" s="13" t="s">
        <v>3634</v>
      </c>
      <c r="C920" s="13" t="s">
        <v>3635</v>
      </c>
      <c r="D920" s="13" t="s">
        <v>18</v>
      </c>
      <c r="E920" s="13" t="s">
        <v>3636</v>
      </c>
      <c r="F920" s="13" t="s">
        <v>3637</v>
      </c>
      <c r="G920" s="13" t="s">
        <v>239</v>
      </c>
      <c r="H920" s="13" t="s">
        <v>15</v>
      </c>
      <c r="I920" s="13">
        <v>90505.0</v>
      </c>
      <c r="J920" s="5" t="str">
        <f t="shared" si="1"/>
        <v>Ruthanne Hoover</v>
      </c>
    </row>
    <row r="921">
      <c r="A921" s="13">
        <v>920.0</v>
      </c>
      <c r="B921" s="13" t="s">
        <v>2665</v>
      </c>
      <c r="C921" s="13" t="s">
        <v>3373</v>
      </c>
      <c r="D921" s="13" t="s">
        <v>18</v>
      </c>
      <c r="E921" s="13" t="s">
        <v>3638</v>
      </c>
      <c r="F921" s="13" t="s">
        <v>3639</v>
      </c>
      <c r="G921" s="13" t="s">
        <v>177</v>
      </c>
      <c r="H921" s="13" t="s">
        <v>16</v>
      </c>
      <c r="I921" s="13">
        <v>14120.0</v>
      </c>
      <c r="J921" s="5" t="str">
        <f t="shared" si="1"/>
        <v>James Robles</v>
      </c>
    </row>
    <row r="922">
      <c r="A922" s="13">
        <v>921.0</v>
      </c>
      <c r="B922" s="13" t="s">
        <v>3640</v>
      </c>
      <c r="C922" s="13" t="s">
        <v>616</v>
      </c>
      <c r="D922" s="13" t="s">
        <v>18</v>
      </c>
      <c r="E922" s="13" t="s">
        <v>3641</v>
      </c>
      <c r="F922" s="13" t="s">
        <v>3642</v>
      </c>
      <c r="G922" s="13" t="s">
        <v>249</v>
      </c>
      <c r="H922" s="13" t="s">
        <v>16</v>
      </c>
      <c r="I922" s="13">
        <v>14580.0</v>
      </c>
      <c r="J922" s="5" t="str">
        <f t="shared" si="1"/>
        <v>Evelin Vargas</v>
      </c>
    </row>
    <row r="923">
      <c r="A923" s="13">
        <v>922.0</v>
      </c>
      <c r="B923" s="13" t="s">
        <v>3643</v>
      </c>
      <c r="C923" s="13" t="s">
        <v>2596</v>
      </c>
      <c r="D923" s="13" t="s">
        <v>18</v>
      </c>
      <c r="E923" s="13" t="s">
        <v>3644</v>
      </c>
      <c r="F923" s="13" t="s">
        <v>3645</v>
      </c>
      <c r="G923" s="13" t="s">
        <v>160</v>
      </c>
      <c r="H923" s="13" t="s">
        <v>16</v>
      </c>
      <c r="I923" s="13">
        <v>11758.0</v>
      </c>
      <c r="J923" s="5" t="str">
        <f t="shared" si="1"/>
        <v>Elvia Cardenas</v>
      </c>
    </row>
    <row r="924">
      <c r="A924" s="13">
        <v>923.0</v>
      </c>
      <c r="B924" s="13" t="s">
        <v>3646</v>
      </c>
      <c r="C924" s="13" t="s">
        <v>997</v>
      </c>
      <c r="D924" s="13" t="s">
        <v>18</v>
      </c>
      <c r="E924" s="13" t="s">
        <v>3647</v>
      </c>
      <c r="F924" s="13" t="s">
        <v>3648</v>
      </c>
      <c r="G924" s="13" t="s">
        <v>70</v>
      </c>
      <c r="H924" s="13" t="s">
        <v>15</v>
      </c>
      <c r="I924" s="13">
        <v>91387.0</v>
      </c>
      <c r="J924" s="5" t="str">
        <f t="shared" si="1"/>
        <v>Randee Pitts</v>
      </c>
    </row>
    <row r="925">
      <c r="A925" s="13">
        <v>924.0</v>
      </c>
      <c r="B925" s="13" t="s">
        <v>2384</v>
      </c>
      <c r="C925" s="13" t="s">
        <v>802</v>
      </c>
      <c r="D925" s="13" t="s">
        <v>18</v>
      </c>
      <c r="E925" s="13" t="s">
        <v>3649</v>
      </c>
      <c r="F925" s="13" t="s">
        <v>3650</v>
      </c>
      <c r="G925" s="13" t="s">
        <v>173</v>
      </c>
      <c r="H925" s="13" t="s">
        <v>16</v>
      </c>
      <c r="I925" s="13">
        <v>12553.0</v>
      </c>
      <c r="J925" s="5" t="str">
        <f t="shared" si="1"/>
        <v>Lea Irwin</v>
      </c>
    </row>
    <row r="926">
      <c r="A926" s="13">
        <v>925.0</v>
      </c>
      <c r="B926" s="13" t="s">
        <v>3651</v>
      </c>
      <c r="C926" s="13" t="s">
        <v>165</v>
      </c>
      <c r="D926" s="13" t="s">
        <v>18</v>
      </c>
      <c r="E926" s="13" t="s">
        <v>3652</v>
      </c>
      <c r="F926" s="13" t="s">
        <v>3653</v>
      </c>
      <c r="G926" s="13" t="s">
        <v>146</v>
      </c>
      <c r="H926" s="13" t="s">
        <v>16</v>
      </c>
      <c r="I926" s="13">
        <v>12401.0</v>
      </c>
      <c r="J926" s="5" t="str">
        <f t="shared" si="1"/>
        <v>Bryce Monroe</v>
      </c>
    </row>
    <row r="927">
      <c r="A927" s="13">
        <v>926.0</v>
      </c>
      <c r="B927" s="13" t="s">
        <v>3654</v>
      </c>
      <c r="C927" s="13" t="s">
        <v>3655</v>
      </c>
      <c r="D927" s="13" t="s">
        <v>3656</v>
      </c>
      <c r="E927" s="13" t="s">
        <v>3657</v>
      </c>
      <c r="F927" s="13" t="s">
        <v>3658</v>
      </c>
      <c r="G927" s="13" t="s">
        <v>40</v>
      </c>
      <c r="H927" s="13" t="s">
        <v>15</v>
      </c>
      <c r="I927" s="13">
        <v>93306.0</v>
      </c>
      <c r="J927" s="5" t="str">
        <f t="shared" si="1"/>
        <v>Katina Mcintosh</v>
      </c>
    </row>
    <row r="928">
      <c r="A928" s="13">
        <v>927.0</v>
      </c>
      <c r="B928" s="13" t="s">
        <v>3659</v>
      </c>
      <c r="C928" s="13" t="s">
        <v>2944</v>
      </c>
      <c r="D928" s="13" t="s">
        <v>3660</v>
      </c>
      <c r="E928" s="13" t="s">
        <v>3661</v>
      </c>
      <c r="F928" s="13" t="s">
        <v>3662</v>
      </c>
      <c r="G928" s="13" t="s">
        <v>174</v>
      </c>
      <c r="H928" s="13" t="s">
        <v>16</v>
      </c>
      <c r="I928" s="13">
        <v>10002.0</v>
      </c>
      <c r="J928" s="5" t="str">
        <f t="shared" si="1"/>
        <v>Guillermo Hart</v>
      </c>
    </row>
    <row r="929">
      <c r="A929" s="13">
        <v>928.0</v>
      </c>
      <c r="B929" s="13" t="s">
        <v>3663</v>
      </c>
      <c r="C929" s="13" t="s">
        <v>1036</v>
      </c>
      <c r="D929" s="13" t="s">
        <v>18</v>
      </c>
      <c r="E929" s="13" t="s">
        <v>3664</v>
      </c>
      <c r="F929" s="13" t="s">
        <v>3665</v>
      </c>
      <c r="G929" s="13" t="s">
        <v>222</v>
      </c>
      <c r="H929" s="13" t="s">
        <v>15</v>
      </c>
      <c r="I929" s="13">
        <v>90403.0</v>
      </c>
      <c r="J929" s="5" t="str">
        <f t="shared" si="1"/>
        <v>Joann Barber</v>
      </c>
    </row>
    <row r="930">
      <c r="A930" s="13">
        <v>929.0</v>
      </c>
      <c r="B930" s="13" t="s">
        <v>3666</v>
      </c>
      <c r="C930" s="13" t="s">
        <v>3667</v>
      </c>
      <c r="D930" s="13" t="s">
        <v>18</v>
      </c>
      <c r="E930" s="13" t="s">
        <v>3668</v>
      </c>
      <c r="F930" s="13" t="s">
        <v>3669</v>
      </c>
      <c r="G930" s="13" t="s">
        <v>192</v>
      </c>
      <c r="H930" s="13" t="s">
        <v>15</v>
      </c>
      <c r="I930" s="13">
        <v>94566.0</v>
      </c>
      <c r="J930" s="5" t="str">
        <f t="shared" si="1"/>
        <v>Thurman Ellis</v>
      </c>
    </row>
    <row r="931">
      <c r="A931" s="13">
        <v>930.0</v>
      </c>
      <c r="B931" s="13" t="s">
        <v>1605</v>
      </c>
      <c r="C931" s="13" t="s">
        <v>2589</v>
      </c>
      <c r="D931" s="13" t="s">
        <v>18</v>
      </c>
      <c r="E931" s="13" t="s">
        <v>3670</v>
      </c>
      <c r="F931" s="13" t="s">
        <v>3671</v>
      </c>
      <c r="G931" s="13" t="s">
        <v>78</v>
      </c>
      <c r="H931" s="13" t="s">
        <v>16</v>
      </c>
      <c r="I931" s="13">
        <v>12065.0</v>
      </c>
      <c r="J931" s="5" t="str">
        <f t="shared" si="1"/>
        <v>Delana Wagner</v>
      </c>
    </row>
    <row r="932">
      <c r="A932" s="13">
        <v>931.0</v>
      </c>
      <c r="B932" s="13" t="s">
        <v>3672</v>
      </c>
      <c r="C932" s="13" t="s">
        <v>1394</v>
      </c>
      <c r="D932" s="13" t="s">
        <v>18</v>
      </c>
      <c r="E932" s="13" t="s">
        <v>3673</v>
      </c>
      <c r="F932" s="13" t="s">
        <v>3674</v>
      </c>
      <c r="G932" s="13" t="s">
        <v>213</v>
      </c>
      <c r="H932" s="13" t="s">
        <v>17</v>
      </c>
      <c r="I932" s="13">
        <v>76901.0</v>
      </c>
      <c r="J932" s="5" t="str">
        <f t="shared" si="1"/>
        <v>Porter Bass</v>
      </c>
    </row>
    <row r="933">
      <c r="A933" s="13">
        <v>932.0</v>
      </c>
      <c r="B933" s="13" t="s">
        <v>3675</v>
      </c>
      <c r="C933" s="13" t="s">
        <v>290</v>
      </c>
      <c r="D933" s="13" t="s">
        <v>18</v>
      </c>
      <c r="E933" s="13" t="s">
        <v>3676</v>
      </c>
      <c r="F933" s="13" t="s">
        <v>3677</v>
      </c>
      <c r="G933" s="13" t="s">
        <v>248</v>
      </c>
      <c r="H933" s="13" t="s">
        <v>16</v>
      </c>
      <c r="I933" s="13">
        <v>12590.0</v>
      </c>
      <c r="J933" s="5" t="str">
        <f t="shared" si="1"/>
        <v>Yvonne Bean</v>
      </c>
    </row>
    <row r="934">
      <c r="A934" s="13">
        <v>933.0</v>
      </c>
      <c r="B934" s="13" t="s">
        <v>3678</v>
      </c>
      <c r="C934" s="13" t="s">
        <v>2991</v>
      </c>
      <c r="D934" s="13" t="s">
        <v>18</v>
      </c>
      <c r="E934" s="13" t="s">
        <v>3679</v>
      </c>
      <c r="F934" s="13" t="s">
        <v>3680</v>
      </c>
      <c r="G934" s="13" t="s">
        <v>139</v>
      </c>
      <c r="H934" s="13" t="s">
        <v>16</v>
      </c>
      <c r="I934" s="13">
        <v>11414.0</v>
      </c>
      <c r="J934" s="5" t="str">
        <f t="shared" si="1"/>
        <v>Lurline Rivers</v>
      </c>
    </row>
    <row r="935">
      <c r="A935" s="13">
        <v>934.0</v>
      </c>
      <c r="B935" s="13" t="s">
        <v>3681</v>
      </c>
      <c r="C935" s="13" t="s">
        <v>1537</v>
      </c>
      <c r="D935" s="13" t="s">
        <v>18</v>
      </c>
      <c r="E935" s="13" t="s">
        <v>3682</v>
      </c>
      <c r="F935" s="13" t="s">
        <v>3683</v>
      </c>
      <c r="G935" s="13" t="s">
        <v>130</v>
      </c>
      <c r="H935" s="13" t="s">
        <v>16</v>
      </c>
      <c r="I935" s="13">
        <v>14075.0</v>
      </c>
      <c r="J935" s="5" t="str">
        <f t="shared" si="1"/>
        <v>Ocie Slater</v>
      </c>
    </row>
    <row r="936">
      <c r="A936" s="13">
        <v>935.0</v>
      </c>
      <c r="B936" s="13" t="s">
        <v>3684</v>
      </c>
      <c r="C936" s="13" t="s">
        <v>2130</v>
      </c>
      <c r="D936" s="13" t="s">
        <v>18</v>
      </c>
      <c r="E936" s="13" t="s">
        <v>3685</v>
      </c>
      <c r="F936" s="13" t="s">
        <v>3686</v>
      </c>
      <c r="G936" s="13" t="s">
        <v>165</v>
      </c>
      <c r="H936" s="13" t="s">
        <v>16</v>
      </c>
      <c r="I936" s="13">
        <v>10950.0</v>
      </c>
      <c r="J936" s="5" t="str">
        <f t="shared" si="1"/>
        <v>Genevie Miles</v>
      </c>
    </row>
    <row r="937">
      <c r="A937" s="13">
        <v>936.0</v>
      </c>
      <c r="B937" s="13" t="s">
        <v>3687</v>
      </c>
      <c r="C937" s="13" t="s">
        <v>1812</v>
      </c>
      <c r="D937" s="13" t="s">
        <v>18</v>
      </c>
      <c r="E937" s="13" t="s">
        <v>3688</v>
      </c>
      <c r="F937" s="13" t="s">
        <v>3689</v>
      </c>
      <c r="G937" s="13" t="s">
        <v>183</v>
      </c>
      <c r="H937" s="13" t="s">
        <v>16</v>
      </c>
      <c r="I937" s="13">
        <v>10562.0</v>
      </c>
      <c r="J937" s="5" t="str">
        <f t="shared" si="1"/>
        <v>Sherilyn Wilcox</v>
      </c>
    </row>
    <row r="938">
      <c r="A938" s="13">
        <v>937.0</v>
      </c>
      <c r="B938" s="13" t="s">
        <v>3690</v>
      </c>
      <c r="C938" s="13" t="s">
        <v>3424</v>
      </c>
      <c r="D938" s="13" t="s">
        <v>18</v>
      </c>
      <c r="E938" s="13" t="s">
        <v>3691</v>
      </c>
      <c r="F938" s="13" t="s">
        <v>3692</v>
      </c>
      <c r="G938" s="13" t="s">
        <v>251</v>
      </c>
      <c r="H938" s="13" t="s">
        <v>16</v>
      </c>
      <c r="I938" s="13">
        <v>11552.0</v>
      </c>
      <c r="J938" s="5" t="str">
        <f t="shared" si="1"/>
        <v>Aida Koch</v>
      </c>
    </row>
    <row r="939">
      <c r="A939" s="13">
        <v>938.0</v>
      </c>
      <c r="B939" s="13" t="s">
        <v>3693</v>
      </c>
      <c r="C939" s="13" t="s">
        <v>3694</v>
      </c>
      <c r="D939" s="13" t="s">
        <v>3695</v>
      </c>
      <c r="E939" s="13" t="s">
        <v>3696</v>
      </c>
      <c r="F939" s="13" t="s">
        <v>3697</v>
      </c>
      <c r="G939" s="13" t="s">
        <v>204</v>
      </c>
      <c r="H939" s="13" t="s">
        <v>16</v>
      </c>
      <c r="I939" s="13">
        <v>14606.0</v>
      </c>
      <c r="J939" s="5" t="str">
        <f t="shared" si="1"/>
        <v>Emory O'connor</v>
      </c>
    </row>
    <row r="940">
      <c r="A940" s="13">
        <v>939.0</v>
      </c>
      <c r="B940" s="13" t="s">
        <v>3698</v>
      </c>
      <c r="C940" s="13" t="s">
        <v>1278</v>
      </c>
      <c r="D940" s="13" t="s">
        <v>3699</v>
      </c>
      <c r="E940" s="13" t="s">
        <v>3700</v>
      </c>
      <c r="F940" s="13" t="s">
        <v>3701</v>
      </c>
      <c r="G940" s="13" t="s">
        <v>90</v>
      </c>
      <c r="H940" s="13" t="s">
        <v>17</v>
      </c>
      <c r="I940" s="13">
        <v>78418.0</v>
      </c>
      <c r="J940" s="5" t="str">
        <f t="shared" si="1"/>
        <v>Maximina Hutchinson</v>
      </c>
    </row>
    <row r="941">
      <c r="A941" s="13">
        <v>940.0</v>
      </c>
      <c r="B941" s="13" t="s">
        <v>3702</v>
      </c>
      <c r="C941" s="13" t="s">
        <v>3703</v>
      </c>
      <c r="D941" s="13" t="s">
        <v>18</v>
      </c>
      <c r="E941" s="13" t="s">
        <v>3704</v>
      </c>
      <c r="F941" s="13" t="s">
        <v>3705</v>
      </c>
      <c r="G941" s="13" t="s">
        <v>110</v>
      </c>
      <c r="H941" s="13" t="s">
        <v>15</v>
      </c>
      <c r="I941" s="13">
        <v>91316.0</v>
      </c>
      <c r="J941" s="5" t="str">
        <f t="shared" si="1"/>
        <v>Marina Hinton</v>
      </c>
    </row>
    <row r="942">
      <c r="A942" s="13">
        <v>941.0</v>
      </c>
      <c r="B942" s="13" t="s">
        <v>3706</v>
      </c>
      <c r="C942" s="13" t="s">
        <v>2537</v>
      </c>
      <c r="D942" s="13" t="s">
        <v>18</v>
      </c>
      <c r="E942" s="13" t="s">
        <v>3707</v>
      </c>
      <c r="F942" s="13" t="s">
        <v>3708</v>
      </c>
      <c r="G942" s="13" t="s">
        <v>76</v>
      </c>
      <c r="H942" s="13" t="s">
        <v>16</v>
      </c>
      <c r="I942" s="13">
        <v>11722.0</v>
      </c>
      <c r="J942" s="5" t="str">
        <f t="shared" si="1"/>
        <v>Danyell Dickerson</v>
      </c>
    </row>
    <row r="943">
      <c r="A943" s="13">
        <v>942.0</v>
      </c>
      <c r="B943" s="13" t="s">
        <v>3709</v>
      </c>
      <c r="C943" s="13" t="s">
        <v>1375</v>
      </c>
      <c r="D943" s="13" t="s">
        <v>3710</v>
      </c>
      <c r="E943" s="13" t="s">
        <v>3711</v>
      </c>
      <c r="F943" s="13" t="s">
        <v>3712</v>
      </c>
      <c r="G943" s="13" t="s">
        <v>148</v>
      </c>
      <c r="H943" s="13" t="s">
        <v>16</v>
      </c>
      <c r="I943" s="13">
        <v>14086.0</v>
      </c>
      <c r="J943" s="5" t="str">
        <f t="shared" si="1"/>
        <v>Davis Long</v>
      </c>
    </row>
    <row r="944">
      <c r="A944" s="13">
        <v>943.0</v>
      </c>
      <c r="B944" s="13" t="s">
        <v>786</v>
      </c>
      <c r="C944" s="13" t="s">
        <v>1575</v>
      </c>
      <c r="D944" s="13" t="s">
        <v>18</v>
      </c>
      <c r="E944" s="13" t="s">
        <v>3713</v>
      </c>
      <c r="F944" s="13" t="s">
        <v>3714</v>
      </c>
      <c r="G944" s="13" t="s">
        <v>224</v>
      </c>
      <c r="H944" s="13" t="s">
        <v>16</v>
      </c>
      <c r="I944" s="13">
        <v>10583.0</v>
      </c>
      <c r="J944" s="5" t="str">
        <f t="shared" si="1"/>
        <v>Lynn Mcmahon</v>
      </c>
    </row>
    <row r="945">
      <c r="A945" s="13">
        <v>944.0</v>
      </c>
      <c r="B945" s="13" t="s">
        <v>3715</v>
      </c>
      <c r="C945" s="13" t="s">
        <v>2205</v>
      </c>
      <c r="D945" s="13" t="s">
        <v>18</v>
      </c>
      <c r="E945" s="13" t="s">
        <v>3716</v>
      </c>
      <c r="F945" s="13" t="s">
        <v>3717</v>
      </c>
      <c r="G945" s="13" t="s">
        <v>224</v>
      </c>
      <c r="H945" s="13" t="s">
        <v>16</v>
      </c>
      <c r="I945" s="13">
        <v>10583.0</v>
      </c>
      <c r="J945" s="5" t="str">
        <f t="shared" si="1"/>
        <v>Tonja Henderson</v>
      </c>
    </row>
    <row r="946">
      <c r="A946" s="13">
        <v>945.0</v>
      </c>
      <c r="B946" s="13" t="s">
        <v>3718</v>
      </c>
      <c r="C946" s="13" t="s">
        <v>970</v>
      </c>
      <c r="D946" s="13" t="s">
        <v>18</v>
      </c>
      <c r="E946" s="13" t="s">
        <v>3719</v>
      </c>
      <c r="F946" s="13" t="s">
        <v>3720</v>
      </c>
      <c r="G946" s="13" t="s">
        <v>196</v>
      </c>
      <c r="H946" s="13" t="s">
        <v>16</v>
      </c>
      <c r="I946" s="13">
        <v>11050.0</v>
      </c>
      <c r="J946" s="5" t="str">
        <f t="shared" si="1"/>
        <v>Krissy Ochoa</v>
      </c>
    </row>
    <row r="947">
      <c r="A947" s="13">
        <v>946.0</v>
      </c>
      <c r="B947" s="13" t="s">
        <v>3721</v>
      </c>
      <c r="C947" s="13" t="s">
        <v>579</v>
      </c>
      <c r="D947" s="13" t="s">
        <v>18</v>
      </c>
      <c r="E947" s="13" t="s">
        <v>3722</v>
      </c>
      <c r="F947" s="13" t="s">
        <v>3723</v>
      </c>
      <c r="G947" s="13" t="s">
        <v>189</v>
      </c>
      <c r="H947" s="13" t="s">
        <v>16</v>
      </c>
      <c r="I947" s="13">
        <v>14534.0</v>
      </c>
      <c r="J947" s="5" t="str">
        <f t="shared" si="1"/>
        <v>Angella Bridges</v>
      </c>
    </row>
    <row r="948">
      <c r="A948" s="13">
        <v>947.0</v>
      </c>
      <c r="B948" s="13" t="s">
        <v>2289</v>
      </c>
      <c r="C948" s="13" t="s">
        <v>2361</v>
      </c>
      <c r="D948" s="13" t="s">
        <v>18</v>
      </c>
      <c r="E948" s="13" t="s">
        <v>3724</v>
      </c>
      <c r="F948" s="13" t="s">
        <v>3725</v>
      </c>
      <c r="G948" s="13" t="s">
        <v>187</v>
      </c>
      <c r="H948" s="13" t="s">
        <v>15</v>
      </c>
      <c r="I948" s="13">
        <v>90274.0</v>
      </c>
      <c r="J948" s="5" t="str">
        <f t="shared" si="1"/>
        <v>Angele Castro</v>
      </c>
    </row>
    <row r="949">
      <c r="A949" s="13">
        <v>948.0</v>
      </c>
      <c r="B949" s="13" t="s">
        <v>3726</v>
      </c>
      <c r="C949" s="13" t="s">
        <v>3727</v>
      </c>
      <c r="D949" s="13" t="s">
        <v>18</v>
      </c>
      <c r="E949" s="13" t="s">
        <v>3728</v>
      </c>
      <c r="F949" s="13" t="s">
        <v>3729</v>
      </c>
      <c r="G949" s="13" t="s">
        <v>150</v>
      </c>
      <c r="H949" s="13" t="s">
        <v>16</v>
      </c>
      <c r="I949" s="13">
        <v>11756.0</v>
      </c>
      <c r="J949" s="5" t="str">
        <f t="shared" si="1"/>
        <v>Siobhan Lang</v>
      </c>
    </row>
    <row r="950">
      <c r="A950" s="13">
        <v>949.0</v>
      </c>
      <c r="B950" s="13" t="s">
        <v>3730</v>
      </c>
      <c r="C950" s="13" t="s">
        <v>381</v>
      </c>
      <c r="D950" s="13" t="s">
        <v>18</v>
      </c>
      <c r="E950" s="13" t="s">
        <v>3731</v>
      </c>
      <c r="F950" s="13" t="s">
        <v>3732</v>
      </c>
      <c r="G950" s="13" t="s">
        <v>224</v>
      </c>
      <c r="H950" s="13" t="s">
        <v>16</v>
      </c>
      <c r="I950" s="13">
        <v>10583.0</v>
      </c>
      <c r="J950" s="5" t="str">
        <f t="shared" si="1"/>
        <v>Venessa Frost</v>
      </c>
    </row>
    <row r="951">
      <c r="A951" s="13">
        <v>950.0</v>
      </c>
      <c r="B951" s="13" t="s">
        <v>3733</v>
      </c>
      <c r="C951" s="13" t="s">
        <v>3734</v>
      </c>
      <c r="D951" s="13" t="s">
        <v>3735</v>
      </c>
      <c r="E951" s="13" t="s">
        <v>3736</v>
      </c>
      <c r="F951" s="13" t="s">
        <v>3737</v>
      </c>
      <c r="G951" s="13" t="s">
        <v>204</v>
      </c>
      <c r="H951" s="13" t="s">
        <v>16</v>
      </c>
      <c r="I951" s="13">
        <v>14606.0</v>
      </c>
      <c r="J951" s="5" t="str">
        <f t="shared" si="1"/>
        <v>Verna Solis</v>
      </c>
    </row>
    <row r="952">
      <c r="A952" s="13">
        <v>951.0</v>
      </c>
      <c r="B952" s="13" t="s">
        <v>3738</v>
      </c>
      <c r="C952" s="13" t="s">
        <v>3739</v>
      </c>
      <c r="D952" s="13" t="s">
        <v>18</v>
      </c>
      <c r="E952" s="13" t="s">
        <v>3740</v>
      </c>
      <c r="F952" s="13" t="s">
        <v>3741</v>
      </c>
      <c r="G952" s="13" t="s">
        <v>224</v>
      </c>
      <c r="H952" s="13" t="s">
        <v>16</v>
      </c>
      <c r="I952" s="13">
        <v>10583.0</v>
      </c>
      <c r="J952" s="5" t="str">
        <f t="shared" si="1"/>
        <v>Steve Bender</v>
      </c>
    </row>
    <row r="953">
      <c r="A953" s="13">
        <v>952.0</v>
      </c>
      <c r="B953" s="13" t="s">
        <v>3742</v>
      </c>
      <c r="C953" s="13" t="s">
        <v>863</v>
      </c>
      <c r="D953" s="13" t="s">
        <v>18</v>
      </c>
      <c r="E953" s="13" t="s">
        <v>3743</v>
      </c>
      <c r="F953" s="13" t="s">
        <v>3744</v>
      </c>
      <c r="G953" s="13" t="s">
        <v>239</v>
      </c>
      <c r="H953" s="13" t="s">
        <v>15</v>
      </c>
      <c r="I953" s="13">
        <v>90505.0</v>
      </c>
      <c r="J953" s="5" t="str">
        <f t="shared" si="1"/>
        <v>Aileen Marquez</v>
      </c>
    </row>
    <row r="954">
      <c r="A954" s="13">
        <v>953.0</v>
      </c>
      <c r="B954" s="13" t="s">
        <v>3745</v>
      </c>
      <c r="C954" s="13" t="s">
        <v>3746</v>
      </c>
      <c r="D954" s="13" t="s">
        <v>18</v>
      </c>
      <c r="E954" s="13" t="s">
        <v>3747</v>
      </c>
      <c r="F954" s="13" t="s">
        <v>3748</v>
      </c>
      <c r="G954" s="13" t="s">
        <v>132</v>
      </c>
      <c r="H954" s="13" t="s">
        <v>17</v>
      </c>
      <c r="I954" s="13">
        <v>78023.0</v>
      </c>
      <c r="J954" s="5" t="str">
        <f t="shared" si="1"/>
        <v>Kattie Stevenson</v>
      </c>
    </row>
    <row r="955">
      <c r="A955" s="13">
        <v>954.0</v>
      </c>
      <c r="B955" s="13" t="s">
        <v>3749</v>
      </c>
      <c r="C955" s="13" t="s">
        <v>3750</v>
      </c>
      <c r="D955" s="13" t="s">
        <v>18</v>
      </c>
      <c r="E955" s="13" t="s">
        <v>3751</v>
      </c>
      <c r="F955" s="13" t="s">
        <v>3752</v>
      </c>
      <c r="G955" s="13" t="s">
        <v>134</v>
      </c>
      <c r="H955" s="13" t="s">
        <v>16</v>
      </c>
      <c r="I955" s="13">
        <v>11801.0</v>
      </c>
      <c r="J955" s="5" t="str">
        <f t="shared" si="1"/>
        <v>Hassan Nash</v>
      </c>
    </row>
    <row r="956">
      <c r="A956" s="13">
        <v>955.0</v>
      </c>
      <c r="B956" s="13" t="s">
        <v>3753</v>
      </c>
      <c r="C956" s="13" t="s">
        <v>918</v>
      </c>
      <c r="D956" s="13" t="s">
        <v>18</v>
      </c>
      <c r="E956" s="13" t="s">
        <v>3754</v>
      </c>
      <c r="F956" s="13" t="s">
        <v>3755</v>
      </c>
      <c r="G956" s="13" t="s">
        <v>250</v>
      </c>
      <c r="H956" s="13" t="s">
        <v>16</v>
      </c>
      <c r="I956" s="13">
        <v>11704.0</v>
      </c>
      <c r="J956" s="5" t="str">
        <f t="shared" si="1"/>
        <v>Delfina Gilliam</v>
      </c>
    </row>
    <row r="957">
      <c r="A957" s="13">
        <v>956.0</v>
      </c>
      <c r="B957" s="13" t="s">
        <v>3756</v>
      </c>
      <c r="C957" s="13" t="s">
        <v>3757</v>
      </c>
      <c r="D957" s="13" t="s">
        <v>18</v>
      </c>
      <c r="E957" s="13" t="s">
        <v>3758</v>
      </c>
      <c r="F957" s="13" t="s">
        <v>3759</v>
      </c>
      <c r="G957" s="13" t="s">
        <v>115</v>
      </c>
      <c r="H957" s="13" t="s">
        <v>16</v>
      </c>
      <c r="I957" s="13">
        <v>11735.0</v>
      </c>
      <c r="J957" s="5" t="str">
        <f t="shared" si="1"/>
        <v>Venus Hewitt</v>
      </c>
    </row>
    <row r="958">
      <c r="A958" s="13">
        <v>957.0</v>
      </c>
      <c r="B958" s="13" t="s">
        <v>3760</v>
      </c>
      <c r="C958" s="13" t="s">
        <v>530</v>
      </c>
      <c r="D958" s="13" t="s">
        <v>3761</v>
      </c>
      <c r="E958" s="13" t="s">
        <v>3762</v>
      </c>
      <c r="F958" s="13" t="s">
        <v>3763</v>
      </c>
      <c r="G958" s="13" t="s">
        <v>32</v>
      </c>
      <c r="H958" s="13" t="s">
        <v>15</v>
      </c>
      <c r="I958" s="13">
        <v>92806.0</v>
      </c>
      <c r="J958" s="5" t="str">
        <f t="shared" si="1"/>
        <v>Stephen Vega</v>
      </c>
    </row>
    <row r="959">
      <c r="A959" s="13">
        <v>958.0</v>
      </c>
      <c r="B959" s="13" t="s">
        <v>3764</v>
      </c>
      <c r="C959" s="13" t="s">
        <v>3424</v>
      </c>
      <c r="D959" s="13" t="s">
        <v>18</v>
      </c>
      <c r="E959" s="13" t="s">
        <v>3765</v>
      </c>
      <c r="F959" s="13" t="s">
        <v>3766</v>
      </c>
      <c r="G959" s="13" t="s">
        <v>112</v>
      </c>
      <c r="H959" s="13" t="s">
        <v>17</v>
      </c>
      <c r="I959" s="13">
        <v>76039.0</v>
      </c>
      <c r="J959" s="5" t="str">
        <f t="shared" si="1"/>
        <v>Ciera Koch</v>
      </c>
    </row>
    <row r="960">
      <c r="A960" s="13">
        <v>959.0</v>
      </c>
      <c r="B960" s="13" t="s">
        <v>3767</v>
      </c>
      <c r="C960" s="13" t="s">
        <v>1036</v>
      </c>
      <c r="D960" s="13" t="s">
        <v>3768</v>
      </c>
      <c r="E960" s="13" t="s">
        <v>3769</v>
      </c>
      <c r="F960" s="13" t="s">
        <v>3770</v>
      </c>
      <c r="G960" s="13" t="s">
        <v>211</v>
      </c>
      <c r="H960" s="13" t="s">
        <v>15</v>
      </c>
      <c r="I960" s="13">
        <v>95820.0</v>
      </c>
      <c r="J960" s="5" t="str">
        <f t="shared" si="1"/>
        <v>Christel Barber</v>
      </c>
    </row>
    <row r="961">
      <c r="A961" s="13">
        <v>960.0</v>
      </c>
      <c r="B961" s="13" t="s">
        <v>3771</v>
      </c>
      <c r="C961" s="13" t="s">
        <v>3772</v>
      </c>
      <c r="D961" s="13" t="s">
        <v>3773</v>
      </c>
      <c r="E961" s="13" t="s">
        <v>3774</v>
      </c>
      <c r="F961" s="13" t="s">
        <v>3775</v>
      </c>
      <c r="G961" s="13" t="s">
        <v>133</v>
      </c>
      <c r="H961" s="13" t="s">
        <v>16</v>
      </c>
      <c r="I961" s="13">
        <v>11550.0</v>
      </c>
      <c r="J961" s="5" t="str">
        <f t="shared" si="1"/>
        <v>Arline Lawson</v>
      </c>
    </row>
    <row r="962">
      <c r="A962" s="13">
        <v>961.0</v>
      </c>
      <c r="B962" s="13" t="s">
        <v>3776</v>
      </c>
      <c r="C962" s="13" t="s">
        <v>1812</v>
      </c>
      <c r="D962" s="13" t="s">
        <v>18</v>
      </c>
      <c r="E962" s="13" t="s">
        <v>3777</v>
      </c>
      <c r="F962" s="13" t="s">
        <v>3778</v>
      </c>
      <c r="G962" s="13" t="s">
        <v>146</v>
      </c>
      <c r="H962" s="13" t="s">
        <v>16</v>
      </c>
      <c r="I962" s="13">
        <v>12401.0</v>
      </c>
      <c r="J962" s="5" t="str">
        <f t="shared" si="1"/>
        <v>Iva Wilcox</v>
      </c>
    </row>
    <row r="963">
      <c r="A963" s="13">
        <v>962.0</v>
      </c>
      <c r="B963" s="13" t="s">
        <v>3779</v>
      </c>
      <c r="C963" s="13" t="s">
        <v>3780</v>
      </c>
      <c r="D963" s="13" t="s">
        <v>18</v>
      </c>
      <c r="E963" s="13" t="s">
        <v>3781</v>
      </c>
      <c r="F963" s="13" t="s">
        <v>3782</v>
      </c>
      <c r="G963" s="13" t="s">
        <v>84</v>
      </c>
      <c r="H963" s="13" t="s">
        <v>17</v>
      </c>
      <c r="I963" s="13">
        <v>76522.0</v>
      </c>
      <c r="J963" s="5" t="str">
        <f t="shared" si="1"/>
        <v>Maple Griffin</v>
      </c>
    </row>
    <row r="964">
      <c r="A964" s="13">
        <v>963.0</v>
      </c>
      <c r="B964" s="13" t="s">
        <v>3783</v>
      </c>
      <c r="C964" s="13" t="s">
        <v>3727</v>
      </c>
      <c r="D964" s="13" t="s">
        <v>18</v>
      </c>
      <c r="E964" s="13" t="s">
        <v>3784</v>
      </c>
      <c r="F964" s="13" t="s">
        <v>3785</v>
      </c>
      <c r="G964" s="13" t="s">
        <v>207</v>
      </c>
      <c r="H964" s="13" t="s">
        <v>16</v>
      </c>
      <c r="I964" s="13">
        <v>13440.0</v>
      </c>
      <c r="J964" s="5" t="str">
        <f t="shared" si="1"/>
        <v>Anisha Lang</v>
      </c>
    </row>
    <row r="965">
      <c r="A965" s="13">
        <v>964.0</v>
      </c>
      <c r="B965" s="13" t="s">
        <v>3786</v>
      </c>
      <c r="C965" s="13" t="s">
        <v>1548</v>
      </c>
      <c r="D965" s="13" t="s">
        <v>3787</v>
      </c>
      <c r="E965" s="13" t="s">
        <v>3788</v>
      </c>
      <c r="F965" s="13" t="s">
        <v>3789</v>
      </c>
      <c r="G965" s="13" t="s">
        <v>90</v>
      </c>
      <c r="H965" s="13" t="s">
        <v>17</v>
      </c>
      <c r="I965" s="13">
        <v>78418.0</v>
      </c>
      <c r="J965" s="5" t="str">
        <f t="shared" si="1"/>
        <v>Brent Calderon</v>
      </c>
    </row>
    <row r="966">
      <c r="A966" s="13">
        <v>965.0</v>
      </c>
      <c r="B966" s="13" t="s">
        <v>3790</v>
      </c>
      <c r="C966" s="13" t="s">
        <v>628</v>
      </c>
      <c r="D966" s="13" t="s">
        <v>18</v>
      </c>
      <c r="E966" s="13" t="s">
        <v>3791</v>
      </c>
      <c r="F966" s="13" t="s">
        <v>3792</v>
      </c>
      <c r="G966" s="13" t="s">
        <v>190</v>
      </c>
      <c r="H966" s="13" t="s">
        <v>16</v>
      </c>
      <c r="I966" s="13">
        <v>11803.0</v>
      </c>
      <c r="J966" s="5" t="str">
        <f t="shared" si="1"/>
        <v>Margit Osborn</v>
      </c>
    </row>
    <row r="967">
      <c r="A967" s="13">
        <v>966.0</v>
      </c>
      <c r="B967" s="13" t="s">
        <v>3793</v>
      </c>
      <c r="C967" s="13" t="s">
        <v>3504</v>
      </c>
      <c r="D967" s="13" t="s">
        <v>18</v>
      </c>
      <c r="E967" s="13" t="s">
        <v>3794</v>
      </c>
      <c r="F967" s="13" t="s">
        <v>3795</v>
      </c>
      <c r="G967" s="13" t="s">
        <v>128</v>
      </c>
      <c r="H967" s="13" t="s">
        <v>16</v>
      </c>
      <c r="I967" s="13">
        <v>11542.0</v>
      </c>
      <c r="J967" s="5" t="str">
        <f t="shared" si="1"/>
        <v>Novella Patel</v>
      </c>
    </row>
    <row r="968">
      <c r="A968" s="13">
        <v>967.0</v>
      </c>
      <c r="B968" s="13" t="s">
        <v>3796</v>
      </c>
      <c r="C968" s="13" t="s">
        <v>1041</v>
      </c>
      <c r="D968" s="13" t="s">
        <v>18</v>
      </c>
      <c r="E968" s="13" t="s">
        <v>3797</v>
      </c>
      <c r="F968" s="13" t="s">
        <v>3798</v>
      </c>
      <c r="G968" s="13" t="s">
        <v>68</v>
      </c>
      <c r="H968" s="13" t="s">
        <v>16</v>
      </c>
      <c r="I968" s="13">
        <v>14424.0</v>
      </c>
      <c r="J968" s="5" t="str">
        <f t="shared" si="1"/>
        <v>Laurette Hebert</v>
      </c>
    </row>
    <row r="969">
      <c r="A969" s="13">
        <v>968.0</v>
      </c>
      <c r="B969" s="13" t="s">
        <v>3799</v>
      </c>
      <c r="C969" s="13" t="s">
        <v>3800</v>
      </c>
      <c r="D969" s="13" t="s">
        <v>18</v>
      </c>
      <c r="E969" s="13" t="s">
        <v>3801</v>
      </c>
      <c r="F969" s="13" t="s">
        <v>3802</v>
      </c>
      <c r="G969" s="13" t="s">
        <v>158</v>
      </c>
      <c r="H969" s="13" t="s">
        <v>16</v>
      </c>
      <c r="I969" s="13">
        <v>10541.0</v>
      </c>
      <c r="J969" s="5" t="str">
        <f t="shared" si="1"/>
        <v>Jonna Brown</v>
      </c>
    </row>
    <row r="970">
      <c r="A970" s="13">
        <v>969.0</v>
      </c>
      <c r="B970" s="13" t="s">
        <v>3803</v>
      </c>
      <c r="C970" s="13" t="s">
        <v>3734</v>
      </c>
      <c r="D970" s="13" t="s">
        <v>3804</v>
      </c>
      <c r="E970" s="13" t="s">
        <v>3805</v>
      </c>
      <c r="F970" s="13" t="s">
        <v>3806</v>
      </c>
      <c r="G970" s="13" t="s">
        <v>204</v>
      </c>
      <c r="H970" s="13" t="s">
        <v>16</v>
      </c>
      <c r="I970" s="13">
        <v>14606.0</v>
      </c>
      <c r="J970" s="5" t="str">
        <f t="shared" si="1"/>
        <v>Jennell Solis</v>
      </c>
    </row>
    <row r="971">
      <c r="A971" s="13">
        <v>970.0</v>
      </c>
      <c r="B971" s="13" t="s">
        <v>3807</v>
      </c>
      <c r="C971" s="13" t="s">
        <v>3808</v>
      </c>
      <c r="D971" s="13" t="s">
        <v>18</v>
      </c>
      <c r="E971" s="13" t="s">
        <v>3809</v>
      </c>
      <c r="F971" s="13" t="s">
        <v>3810</v>
      </c>
      <c r="G971" s="13" t="s">
        <v>136</v>
      </c>
      <c r="H971" s="13" t="s">
        <v>16</v>
      </c>
      <c r="I971" s="13">
        <v>11423.0</v>
      </c>
      <c r="J971" s="5" t="str">
        <f t="shared" si="1"/>
        <v>Ruth Horton</v>
      </c>
    </row>
    <row r="972">
      <c r="A972" s="13">
        <v>971.0</v>
      </c>
      <c r="B972" s="13" t="s">
        <v>3811</v>
      </c>
      <c r="C972" s="13" t="s">
        <v>3812</v>
      </c>
      <c r="D972" s="13" t="s">
        <v>3813</v>
      </c>
      <c r="E972" s="13" t="s">
        <v>3814</v>
      </c>
      <c r="F972" s="13" t="s">
        <v>3815</v>
      </c>
      <c r="G972" s="13" t="s">
        <v>58</v>
      </c>
      <c r="H972" s="13" t="s">
        <v>16</v>
      </c>
      <c r="I972" s="13">
        <v>11717.0</v>
      </c>
      <c r="J972" s="5" t="str">
        <f t="shared" si="1"/>
        <v>Samual Warner</v>
      </c>
    </row>
    <row r="973">
      <c r="A973" s="13">
        <v>972.0</v>
      </c>
      <c r="B973" s="13" t="s">
        <v>1027</v>
      </c>
      <c r="C973" s="13" t="s">
        <v>939</v>
      </c>
      <c r="D973" s="13" t="s">
        <v>3816</v>
      </c>
      <c r="E973" s="13" t="s">
        <v>3817</v>
      </c>
      <c r="F973" s="13" t="s">
        <v>3818</v>
      </c>
      <c r="G973" s="13" t="s">
        <v>154</v>
      </c>
      <c r="H973" s="13" t="s">
        <v>16</v>
      </c>
      <c r="I973" s="13">
        <v>11561.0</v>
      </c>
      <c r="J973" s="5" t="str">
        <f t="shared" si="1"/>
        <v>Damian Mills</v>
      </c>
    </row>
    <row r="974">
      <c r="A974" s="13">
        <v>973.0</v>
      </c>
      <c r="B974" s="13" t="s">
        <v>3819</v>
      </c>
      <c r="C974" s="13" t="s">
        <v>3478</v>
      </c>
      <c r="D974" s="13" t="s">
        <v>18</v>
      </c>
      <c r="E974" s="13" t="s">
        <v>3820</v>
      </c>
      <c r="F974" s="13" t="s">
        <v>3821</v>
      </c>
      <c r="G974" s="13" t="s">
        <v>203</v>
      </c>
      <c r="H974" s="13" t="s">
        <v>15</v>
      </c>
      <c r="I974" s="13">
        <v>93555.0</v>
      </c>
      <c r="J974" s="5" t="str">
        <f t="shared" si="1"/>
        <v>Margaretta Clayton</v>
      </c>
    </row>
    <row r="975">
      <c r="A975" s="13">
        <v>974.0</v>
      </c>
      <c r="B975" s="13" t="s">
        <v>3822</v>
      </c>
      <c r="C975" s="13" t="s">
        <v>3238</v>
      </c>
      <c r="D975" s="13" t="s">
        <v>18</v>
      </c>
      <c r="E975" s="13" t="s">
        <v>3823</v>
      </c>
      <c r="F975" s="13" t="s">
        <v>3824</v>
      </c>
      <c r="G975" s="13" t="s">
        <v>34</v>
      </c>
      <c r="H975" s="13" t="s">
        <v>16</v>
      </c>
      <c r="I975" s="13">
        <v>11102.0</v>
      </c>
      <c r="J975" s="5" t="str">
        <f t="shared" si="1"/>
        <v>Marcell Barrett</v>
      </c>
    </row>
    <row r="976">
      <c r="A976" s="13">
        <v>975.0</v>
      </c>
      <c r="B976" s="13" t="s">
        <v>3825</v>
      </c>
      <c r="C976" s="13" t="s">
        <v>331</v>
      </c>
      <c r="D976" s="13" t="s">
        <v>3826</v>
      </c>
      <c r="E976" s="13" t="s">
        <v>3827</v>
      </c>
      <c r="F976" s="13" t="s">
        <v>3828</v>
      </c>
      <c r="G976" s="13" t="s">
        <v>156</v>
      </c>
      <c r="H976" s="13" t="s">
        <v>15</v>
      </c>
      <c r="I976" s="13">
        <v>90008.0</v>
      </c>
      <c r="J976" s="5" t="str">
        <f t="shared" si="1"/>
        <v>Annis Sanchez</v>
      </c>
    </row>
    <row r="977">
      <c r="A977" s="13">
        <v>976.0</v>
      </c>
      <c r="B977" s="13" t="s">
        <v>1044</v>
      </c>
      <c r="C977" s="13" t="s">
        <v>2026</v>
      </c>
      <c r="D977" s="13" t="s">
        <v>18</v>
      </c>
      <c r="E977" s="13" t="s">
        <v>3829</v>
      </c>
      <c r="F977" s="13" t="s">
        <v>3830</v>
      </c>
      <c r="G977" s="13" t="s">
        <v>228</v>
      </c>
      <c r="H977" s="13" t="s">
        <v>16</v>
      </c>
      <c r="I977" s="13">
        <v>11787.0</v>
      </c>
      <c r="J977" s="5" t="str">
        <f t="shared" si="1"/>
        <v>Ayanna Cherry</v>
      </c>
    </row>
    <row r="978">
      <c r="A978" s="13">
        <v>977.0</v>
      </c>
      <c r="B978" s="13" t="s">
        <v>1335</v>
      </c>
      <c r="C978" s="13" t="s">
        <v>3831</v>
      </c>
      <c r="D978" s="13" t="s">
        <v>18</v>
      </c>
      <c r="E978" s="13" t="s">
        <v>3832</v>
      </c>
      <c r="F978" s="13" t="s">
        <v>3833</v>
      </c>
      <c r="G978" s="13" t="s">
        <v>29</v>
      </c>
      <c r="H978" s="13" t="s">
        <v>16</v>
      </c>
      <c r="I978" s="13">
        <v>11701.0</v>
      </c>
      <c r="J978" s="5" t="str">
        <f t="shared" si="1"/>
        <v>Barton Cox</v>
      </c>
    </row>
    <row r="979">
      <c r="A979" s="13">
        <v>978.0</v>
      </c>
      <c r="B979" s="13" t="s">
        <v>490</v>
      </c>
      <c r="C979" s="13" t="s">
        <v>3252</v>
      </c>
      <c r="D979" s="13" t="s">
        <v>18</v>
      </c>
      <c r="E979" s="13" t="s">
        <v>3834</v>
      </c>
      <c r="F979" s="13" t="s">
        <v>3835</v>
      </c>
      <c r="G979" s="13" t="s">
        <v>60</v>
      </c>
      <c r="H979" s="13" t="s">
        <v>16</v>
      </c>
      <c r="I979" s="13">
        <v>10451.0</v>
      </c>
      <c r="J979" s="5" t="str">
        <f t="shared" si="1"/>
        <v>Diana Reyes</v>
      </c>
    </row>
    <row r="980">
      <c r="A980" s="13">
        <v>979.0</v>
      </c>
      <c r="B980" s="13" t="s">
        <v>3836</v>
      </c>
      <c r="C980" s="13" t="s">
        <v>3390</v>
      </c>
      <c r="D980" s="13" t="s">
        <v>18</v>
      </c>
      <c r="E980" s="13" t="s">
        <v>3837</v>
      </c>
      <c r="F980" s="13" t="s">
        <v>3838</v>
      </c>
      <c r="G980" s="13" t="s">
        <v>142</v>
      </c>
      <c r="H980" s="13" t="s">
        <v>16</v>
      </c>
      <c r="I980" s="13">
        <v>14850.0</v>
      </c>
      <c r="J980" s="5" t="str">
        <f t="shared" si="1"/>
        <v>Ingeborg Ellison</v>
      </c>
    </row>
    <row r="981">
      <c r="A981" s="13">
        <v>980.0</v>
      </c>
      <c r="B981" s="13" t="s">
        <v>443</v>
      </c>
      <c r="C981" s="13" t="s">
        <v>471</v>
      </c>
      <c r="D981" s="13" t="s">
        <v>18</v>
      </c>
      <c r="E981" s="13" t="s">
        <v>3839</v>
      </c>
      <c r="F981" s="13" t="s">
        <v>3840</v>
      </c>
      <c r="G981" s="13" t="s">
        <v>194</v>
      </c>
      <c r="H981" s="13" t="s">
        <v>16</v>
      </c>
      <c r="I981" s="13">
        <v>10573.0</v>
      </c>
      <c r="J981" s="5" t="str">
        <f t="shared" si="1"/>
        <v>Carter Booth</v>
      </c>
    </row>
    <row r="982">
      <c r="A982" s="13">
        <v>981.0</v>
      </c>
      <c r="B982" s="13" t="s">
        <v>3767</v>
      </c>
      <c r="C982" s="13" t="s">
        <v>2596</v>
      </c>
      <c r="D982" s="13" t="s">
        <v>3841</v>
      </c>
      <c r="E982" s="13" t="s">
        <v>3842</v>
      </c>
      <c r="F982" s="13" t="s">
        <v>3843</v>
      </c>
      <c r="G982" s="13" t="s">
        <v>154</v>
      </c>
      <c r="H982" s="13" t="s">
        <v>16</v>
      </c>
      <c r="I982" s="13">
        <v>11561.0</v>
      </c>
      <c r="J982" s="5" t="str">
        <f t="shared" si="1"/>
        <v>Christel Cardenas</v>
      </c>
    </row>
    <row r="983">
      <c r="A983" s="13">
        <v>982.0</v>
      </c>
      <c r="B983" s="13" t="s">
        <v>3844</v>
      </c>
      <c r="C983" s="13" t="s">
        <v>518</v>
      </c>
      <c r="D983" s="13" t="s">
        <v>18</v>
      </c>
      <c r="E983" s="13" t="s">
        <v>3845</v>
      </c>
      <c r="F983" s="13" t="s">
        <v>3846</v>
      </c>
      <c r="G983" s="13" t="s">
        <v>213</v>
      </c>
      <c r="H983" s="13" t="s">
        <v>17</v>
      </c>
      <c r="I983" s="13">
        <v>76901.0</v>
      </c>
      <c r="J983" s="5" t="str">
        <f t="shared" si="1"/>
        <v>Orval Hunter</v>
      </c>
    </row>
    <row r="984">
      <c r="A984" s="13">
        <v>983.0</v>
      </c>
      <c r="B984" s="13" t="s">
        <v>3847</v>
      </c>
      <c r="C984" s="13" t="s">
        <v>2485</v>
      </c>
      <c r="D984" s="13" t="s">
        <v>18</v>
      </c>
      <c r="E984" s="13" t="s">
        <v>3848</v>
      </c>
      <c r="F984" s="13" t="s">
        <v>3849</v>
      </c>
      <c r="G984" s="13" t="s">
        <v>125</v>
      </c>
      <c r="H984" s="13" t="s">
        <v>15</v>
      </c>
      <c r="I984" s="13">
        <v>92831.0</v>
      </c>
      <c r="J984" s="5" t="str">
        <f t="shared" si="1"/>
        <v>Marguerite Berger</v>
      </c>
    </row>
    <row r="985">
      <c r="A985" s="13">
        <v>984.0</v>
      </c>
      <c r="B985" s="13" t="s">
        <v>3850</v>
      </c>
      <c r="C985" s="13" t="s">
        <v>3851</v>
      </c>
      <c r="D985" s="13" t="s">
        <v>18</v>
      </c>
      <c r="E985" s="13" t="s">
        <v>3852</v>
      </c>
      <c r="F985" s="13" t="s">
        <v>3853</v>
      </c>
      <c r="G985" s="13" t="s">
        <v>121</v>
      </c>
      <c r="H985" s="13" t="s">
        <v>16</v>
      </c>
      <c r="I985" s="13">
        <v>11010.0</v>
      </c>
      <c r="J985" s="5" t="str">
        <f t="shared" si="1"/>
        <v>Ivette Warren</v>
      </c>
    </row>
    <row r="986">
      <c r="A986" s="13">
        <v>985.0</v>
      </c>
      <c r="B986" s="13" t="s">
        <v>3854</v>
      </c>
      <c r="C986" s="13" t="s">
        <v>2105</v>
      </c>
      <c r="D986" s="13" t="s">
        <v>18</v>
      </c>
      <c r="E986" s="13" t="s">
        <v>3855</v>
      </c>
      <c r="F986" s="13" t="s">
        <v>3856</v>
      </c>
      <c r="G986" s="13" t="s">
        <v>131</v>
      </c>
      <c r="H986" s="13" t="s">
        <v>17</v>
      </c>
      <c r="I986" s="13">
        <v>78552.0</v>
      </c>
      <c r="J986" s="5" t="str">
        <f t="shared" si="1"/>
        <v>Milagros Weber</v>
      </c>
    </row>
    <row r="987">
      <c r="A987" s="13">
        <v>986.0</v>
      </c>
      <c r="B987" s="13" t="s">
        <v>3857</v>
      </c>
      <c r="C987" s="13" t="s">
        <v>734</v>
      </c>
      <c r="D987" s="13" t="s">
        <v>18</v>
      </c>
      <c r="E987" s="13" t="s">
        <v>3858</v>
      </c>
      <c r="F987" s="13" t="s">
        <v>3859</v>
      </c>
      <c r="G987" s="13" t="s">
        <v>183</v>
      </c>
      <c r="H987" s="13" t="s">
        <v>16</v>
      </c>
      <c r="I987" s="13">
        <v>10562.0</v>
      </c>
      <c r="J987" s="5" t="str">
        <f t="shared" si="1"/>
        <v>Marcel Lindsay</v>
      </c>
    </row>
    <row r="988">
      <c r="A988" s="13">
        <v>987.0</v>
      </c>
      <c r="B988" s="13" t="s">
        <v>3860</v>
      </c>
      <c r="C988" s="13" t="s">
        <v>3861</v>
      </c>
      <c r="D988" s="13" t="s">
        <v>18</v>
      </c>
      <c r="E988" s="13" t="s">
        <v>3862</v>
      </c>
      <c r="F988" s="13" t="s">
        <v>3863</v>
      </c>
      <c r="G988" s="13" t="s">
        <v>234</v>
      </c>
      <c r="H988" s="13" t="s">
        <v>16</v>
      </c>
      <c r="I988" s="13">
        <v>10301.0</v>
      </c>
      <c r="J988" s="5" t="str">
        <f t="shared" si="1"/>
        <v>Louis Powell</v>
      </c>
    </row>
    <row r="989">
      <c r="A989" s="13">
        <v>988.0</v>
      </c>
      <c r="B989" s="13" t="s">
        <v>3864</v>
      </c>
      <c r="C989" s="13" t="s">
        <v>1070</v>
      </c>
      <c r="D989" s="13" t="s">
        <v>18</v>
      </c>
      <c r="E989" s="13" t="s">
        <v>3865</v>
      </c>
      <c r="F989" s="13" t="s">
        <v>3866</v>
      </c>
      <c r="G989" s="13" t="s">
        <v>237</v>
      </c>
      <c r="H989" s="13" t="s">
        <v>16</v>
      </c>
      <c r="I989" s="13">
        <v>11791.0</v>
      </c>
      <c r="J989" s="5" t="str">
        <f t="shared" si="1"/>
        <v>Vanda Holmes</v>
      </c>
    </row>
    <row r="990">
      <c r="A990" s="13">
        <v>989.0</v>
      </c>
      <c r="B990" s="13" t="s">
        <v>3867</v>
      </c>
      <c r="C990" s="13" t="s">
        <v>839</v>
      </c>
      <c r="D990" s="13" t="s">
        <v>18</v>
      </c>
      <c r="E990" s="13" t="s">
        <v>3868</v>
      </c>
      <c r="F990" s="13" t="s">
        <v>3869</v>
      </c>
      <c r="G990" s="13" t="s">
        <v>230</v>
      </c>
      <c r="H990" s="13" t="s">
        <v>16</v>
      </c>
      <c r="I990" s="13">
        <v>11420.0</v>
      </c>
      <c r="J990" s="5" t="str">
        <f t="shared" si="1"/>
        <v>Loreen Byers</v>
      </c>
    </row>
    <row r="991">
      <c r="A991" s="13">
        <v>990.0</v>
      </c>
      <c r="B991" s="13" t="s">
        <v>3870</v>
      </c>
      <c r="C991" s="13" t="s">
        <v>3871</v>
      </c>
      <c r="D991" s="13" t="s">
        <v>18</v>
      </c>
      <c r="E991" s="13" t="s">
        <v>3872</v>
      </c>
      <c r="F991" s="13" t="s">
        <v>3873</v>
      </c>
      <c r="G991" s="13" t="s">
        <v>165</v>
      </c>
      <c r="H991" s="13" t="s">
        <v>16</v>
      </c>
      <c r="I991" s="13">
        <v>10950.0</v>
      </c>
      <c r="J991" s="5" t="str">
        <f t="shared" si="1"/>
        <v>Casimira Chapman</v>
      </c>
    </row>
    <row r="992">
      <c r="A992" s="13">
        <v>991.0</v>
      </c>
      <c r="B992" s="13" t="s">
        <v>3874</v>
      </c>
      <c r="C992" s="13" t="s">
        <v>930</v>
      </c>
      <c r="D992" s="13" t="s">
        <v>18</v>
      </c>
      <c r="E992" s="13" t="s">
        <v>3875</v>
      </c>
      <c r="F992" s="13" t="s">
        <v>3876</v>
      </c>
      <c r="G992" s="13" t="s">
        <v>70</v>
      </c>
      <c r="H992" s="13" t="s">
        <v>15</v>
      </c>
      <c r="I992" s="13">
        <v>91387.0</v>
      </c>
      <c r="J992" s="5" t="str">
        <f t="shared" si="1"/>
        <v>Brigida Larson</v>
      </c>
    </row>
    <row r="993">
      <c r="A993" s="13">
        <v>992.0</v>
      </c>
      <c r="B993" s="13" t="s">
        <v>1531</v>
      </c>
      <c r="C993" s="13" t="s">
        <v>3877</v>
      </c>
      <c r="D993" s="13" t="s">
        <v>18</v>
      </c>
      <c r="E993" s="13" t="s">
        <v>3878</v>
      </c>
      <c r="F993" s="13" t="s">
        <v>3879</v>
      </c>
      <c r="G993" s="13" t="s">
        <v>188</v>
      </c>
      <c r="H993" s="13" t="s">
        <v>16</v>
      </c>
      <c r="I993" s="13">
        <v>11772.0</v>
      </c>
      <c r="J993" s="5" t="str">
        <f t="shared" si="1"/>
        <v>Chere Alston</v>
      </c>
    </row>
    <row r="994">
      <c r="A994" s="13">
        <v>993.0</v>
      </c>
      <c r="B994" s="13" t="s">
        <v>3880</v>
      </c>
      <c r="C994" s="13" t="s">
        <v>2201</v>
      </c>
      <c r="D994" s="13" t="s">
        <v>18</v>
      </c>
      <c r="E994" s="13" t="s">
        <v>3881</v>
      </c>
      <c r="F994" s="13" t="s">
        <v>3882</v>
      </c>
      <c r="G994" s="13" t="s">
        <v>203</v>
      </c>
      <c r="H994" s="13" t="s">
        <v>15</v>
      </c>
      <c r="I994" s="13">
        <v>93555.0</v>
      </c>
      <c r="J994" s="5" t="str">
        <f t="shared" si="1"/>
        <v>Giovanna Jefferson</v>
      </c>
    </row>
    <row r="995">
      <c r="A995" s="13">
        <v>994.0</v>
      </c>
      <c r="B995" s="13" t="s">
        <v>3883</v>
      </c>
      <c r="C995" s="13" t="s">
        <v>372</v>
      </c>
      <c r="D995" s="13" t="s">
        <v>18</v>
      </c>
      <c r="E995" s="13" t="s">
        <v>3884</v>
      </c>
      <c r="F995" s="13" t="s">
        <v>3885</v>
      </c>
      <c r="G995" s="13" t="s">
        <v>258</v>
      </c>
      <c r="H995" s="13" t="s">
        <v>16</v>
      </c>
      <c r="I995" s="13">
        <v>10598.0</v>
      </c>
      <c r="J995" s="5" t="str">
        <f t="shared" si="1"/>
        <v>Demarcus Reese</v>
      </c>
    </row>
    <row r="996">
      <c r="A996" s="13">
        <v>995.0</v>
      </c>
      <c r="B996" s="13" t="s">
        <v>3886</v>
      </c>
      <c r="C996" s="13" t="s">
        <v>3061</v>
      </c>
      <c r="D996" s="13" t="s">
        <v>18</v>
      </c>
      <c r="E996" s="13" t="s">
        <v>3887</v>
      </c>
      <c r="F996" s="13" t="s">
        <v>3888</v>
      </c>
      <c r="G996" s="13" t="s">
        <v>68</v>
      </c>
      <c r="H996" s="13" t="s">
        <v>16</v>
      </c>
      <c r="I996" s="13">
        <v>14424.0</v>
      </c>
      <c r="J996" s="5" t="str">
        <f t="shared" si="1"/>
        <v>Amina Salazar</v>
      </c>
    </row>
    <row r="997">
      <c r="A997" s="13">
        <v>996.0</v>
      </c>
      <c r="B997" s="13" t="s">
        <v>3889</v>
      </c>
      <c r="C997" s="13" t="s">
        <v>1800</v>
      </c>
      <c r="D997" s="13" t="s">
        <v>18</v>
      </c>
      <c r="E997" s="13" t="s">
        <v>3890</v>
      </c>
      <c r="F997" s="13" t="s">
        <v>3891</v>
      </c>
      <c r="G997" s="13" t="s">
        <v>227</v>
      </c>
      <c r="H997" s="13" t="s">
        <v>16</v>
      </c>
      <c r="I997" s="13">
        <v>11967.0</v>
      </c>
      <c r="J997" s="5" t="str">
        <f t="shared" si="1"/>
        <v>Serafina Clemons</v>
      </c>
    </row>
    <row r="998">
      <c r="A998" s="13">
        <v>997.0</v>
      </c>
      <c r="B998" s="13" t="s">
        <v>3892</v>
      </c>
      <c r="C998" s="13" t="s">
        <v>3278</v>
      </c>
      <c r="D998" s="13" t="s">
        <v>18</v>
      </c>
      <c r="E998" s="13" t="s">
        <v>3893</v>
      </c>
      <c r="F998" s="13" t="s">
        <v>3894</v>
      </c>
      <c r="G998" s="13" t="s">
        <v>42</v>
      </c>
      <c r="H998" s="13" t="s">
        <v>16</v>
      </c>
      <c r="I998" s="13">
        <v>11510.0</v>
      </c>
      <c r="J998" s="5" t="str">
        <f t="shared" si="1"/>
        <v>Trinidad Mcclain</v>
      </c>
    </row>
    <row r="999">
      <c r="A999" s="13">
        <v>998.0</v>
      </c>
      <c r="B999" s="13" t="s">
        <v>3895</v>
      </c>
      <c r="C999" s="13" t="s">
        <v>1348</v>
      </c>
      <c r="D999" s="13" t="s">
        <v>18</v>
      </c>
      <c r="E999" s="13" t="s">
        <v>3896</v>
      </c>
      <c r="F999" s="13" t="s">
        <v>3897</v>
      </c>
      <c r="G999" s="13" t="s">
        <v>145</v>
      </c>
      <c r="H999" s="13" t="s">
        <v>16</v>
      </c>
      <c r="I999" s="13">
        <v>14701.0</v>
      </c>
      <c r="J999" s="5" t="str">
        <f t="shared" si="1"/>
        <v>Heather Chaney</v>
      </c>
    </row>
    <row r="1000">
      <c r="A1000" s="13">
        <v>999.0</v>
      </c>
      <c r="B1000" s="13" t="s">
        <v>3898</v>
      </c>
      <c r="C1000" s="13" t="s">
        <v>448</v>
      </c>
      <c r="D1000" s="13" t="s">
        <v>18</v>
      </c>
      <c r="E1000" s="13" t="s">
        <v>3899</v>
      </c>
      <c r="F1000" s="13" t="s">
        <v>3900</v>
      </c>
      <c r="G1000" s="13" t="s">
        <v>46</v>
      </c>
      <c r="H1000" s="13" t="s">
        <v>16</v>
      </c>
      <c r="I1000" s="13">
        <v>12020.0</v>
      </c>
      <c r="J1000" s="5" t="str">
        <f t="shared" si="1"/>
        <v>Latoya Johns</v>
      </c>
    </row>
    <row r="1001">
      <c r="A1001" s="13">
        <v>1000.0</v>
      </c>
      <c r="B1001" s="13" t="s">
        <v>3901</v>
      </c>
      <c r="C1001" s="13" t="s">
        <v>2551</v>
      </c>
      <c r="D1001" s="13" t="s">
        <v>18</v>
      </c>
      <c r="E1001" s="13" t="s">
        <v>3902</v>
      </c>
      <c r="F1001" s="13" t="s">
        <v>3903</v>
      </c>
      <c r="G1001" s="13" t="s">
        <v>250</v>
      </c>
      <c r="H1001" s="13" t="s">
        <v>16</v>
      </c>
      <c r="I1001" s="13">
        <v>11704.0</v>
      </c>
      <c r="J1001" s="5" t="str">
        <f t="shared" si="1"/>
        <v>Shiloh Reeves</v>
      </c>
    </row>
    <row r="1002">
      <c r="A1002" s="13">
        <v>1001.0</v>
      </c>
      <c r="B1002" s="13" t="s">
        <v>1011</v>
      </c>
      <c r="C1002" s="13" t="s">
        <v>1722</v>
      </c>
      <c r="D1002" s="13" t="s">
        <v>3904</v>
      </c>
      <c r="E1002" s="13" t="s">
        <v>3905</v>
      </c>
      <c r="F1002" s="13" t="s">
        <v>3906</v>
      </c>
      <c r="G1002" s="13" t="s">
        <v>58</v>
      </c>
      <c r="H1002" s="13" t="s">
        <v>16</v>
      </c>
      <c r="I1002" s="13">
        <v>11717.0</v>
      </c>
      <c r="J1002" s="5" t="str">
        <f t="shared" si="1"/>
        <v>Lee Roman</v>
      </c>
    </row>
    <row r="1003">
      <c r="A1003" s="13">
        <v>1002.0</v>
      </c>
      <c r="B1003" s="13" t="s">
        <v>3907</v>
      </c>
      <c r="C1003" s="13" t="s">
        <v>3908</v>
      </c>
      <c r="D1003" s="13" t="s">
        <v>18</v>
      </c>
      <c r="E1003" s="13" t="s">
        <v>3909</v>
      </c>
      <c r="F1003" s="13" t="s">
        <v>3910</v>
      </c>
      <c r="G1003" s="13" t="s">
        <v>160</v>
      </c>
      <c r="H1003" s="13" t="s">
        <v>16</v>
      </c>
      <c r="I1003" s="13">
        <v>11758.0</v>
      </c>
      <c r="J1003" s="5" t="str">
        <f t="shared" si="1"/>
        <v>Cami Williamson</v>
      </c>
    </row>
    <row r="1004">
      <c r="A1004" s="13">
        <v>1003.0</v>
      </c>
      <c r="B1004" s="13" t="s">
        <v>3911</v>
      </c>
      <c r="C1004" s="13" t="s">
        <v>1125</v>
      </c>
      <c r="D1004" s="13" t="s">
        <v>18</v>
      </c>
      <c r="E1004" s="13" t="s">
        <v>3912</v>
      </c>
      <c r="F1004" s="13" t="s">
        <v>3913</v>
      </c>
      <c r="G1004" s="13" t="s">
        <v>246</v>
      </c>
      <c r="H1004" s="13" t="s">
        <v>15</v>
      </c>
      <c r="I1004" s="13">
        <v>92083.0</v>
      </c>
      <c r="J1004" s="5" t="str">
        <f t="shared" si="1"/>
        <v>Sharell Ross</v>
      </c>
    </row>
    <row r="1005">
      <c r="A1005" s="13">
        <v>1004.0</v>
      </c>
      <c r="B1005" s="13" t="s">
        <v>3914</v>
      </c>
      <c r="C1005" s="13" t="s">
        <v>3055</v>
      </c>
      <c r="D1005" s="13" t="s">
        <v>18</v>
      </c>
      <c r="E1005" s="13" t="s">
        <v>3915</v>
      </c>
      <c r="F1005" s="13" t="s">
        <v>3916</v>
      </c>
      <c r="G1005" s="13" t="s">
        <v>100</v>
      </c>
      <c r="H1005" s="13" t="s">
        <v>16</v>
      </c>
      <c r="I1005" s="13">
        <v>11369.0</v>
      </c>
      <c r="J1005" s="5" t="str">
        <f t="shared" si="1"/>
        <v>Jerald Blackwell</v>
      </c>
    </row>
    <row r="1006">
      <c r="A1006" s="13">
        <v>1005.0</v>
      </c>
      <c r="B1006" s="13" t="s">
        <v>3634</v>
      </c>
      <c r="C1006" s="13" t="s">
        <v>654</v>
      </c>
      <c r="D1006" s="13" t="s">
        <v>18</v>
      </c>
      <c r="E1006" s="13" t="s">
        <v>3917</v>
      </c>
      <c r="F1006" s="13" t="s">
        <v>3918</v>
      </c>
      <c r="G1006" s="13" t="s">
        <v>34</v>
      </c>
      <c r="H1006" s="13" t="s">
        <v>16</v>
      </c>
      <c r="I1006" s="13">
        <v>11102.0</v>
      </c>
      <c r="J1006" s="5" t="str">
        <f t="shared" si="1"/>
        <v>Ruthanne Franco</v>
      </c>
    </row>
    <row r="1007">
      <c r="A1007" s="13">
        <v>1006.0</v>
      </c>
      <c r="B1007" s="13" t="s">
        <v>3919</v>
      </c>
      <c r="C1007" s="13" t="s">
        <v>3920</v>
      </c>
      <c r="D1007" s="13" t="s">
        <v>18</v>
      </c>
      <c r="E1007" s="13" t="s">
        <v>3921</v>
      </c>
      <c r="F1007" s="13" t="s">
        <v>3922</v>
      </c>
      <c r="G1007" s="13" t="s">
        <v>33</v>
      </c>
      <c r="H1007" s="13" t="s">
        <v>15</v>
      </c>
      <c r="I1007" s="13">
        <v>92307.0</v>
      </c>
      <c r="J1007" s="5" t="str">
        <f t="shared" si="1"/>
        <v>Marjory Leonard</v>
      </c>
    </row>
    <row r="1008">
      <c r="A1008" s="13">
        <v>1007.0</v>
      </c>
      <c r="B1008" s="13" t="s">
        <v>3923</v>
      </c>
      <c r="C1008" s="13" t="s">
        <v>3363</v>
      </c>
      <c r="D1008" s="13" t="s">
        <v>18</v>
      </c>
      <c r="E1008" s="13" t="s">
        <v>3924</v>
      </c>
      <c r="F1008" s="13" t="s">
        <v>3925</v>
      </c>
      <c r="G1008" s="13" t="s">
        <v>139</v>
      </c>
      <c r="H1008" s="13" t="s">
        <v>16</v>
      </c>
      <c r="I1008" s="13">
        <v>11414.0</v>
      </c>
      <c r="J1008" s="5" t="str">
        <f t="shared" si="1"/>
        <v>Jimmy Russell</v>
      </c>
    </row>
    <row r="1009">
      <c r="A1009" s="13">
        <v>1008.0</v>
      </c>
      <c r="B1009" s="13" t="s">
        <v>3926</v>
      </c>
      <c r="C1009" s="13" t="s">
        <v>1784</v>
      </c>
      <c r="D1009" s="13" t="s">
        <v>18</v>
      </c>
      <c r="E1009" s="13" t="s">
        <v>3927</v>
      </c>
      <c r="F1009" s="13" t="s">
        <v>3928</v>
      </c>
      <c r="G1009" s="13" t="s">
        <v>119</v>
      </c>
      <c r="H1009" s="13" t="s">
        <v>17</v>
      </c>
      <c r="I1009" s="13">
        <v>75126.0</v>
      </c>
      <c r="J1009" s="5" t="str">
        <f t="shared" si="1"/>
        <v>Berneice Pollard</v>
      </c>
    </row>
    <row r="1010">
      <c r="A1010" s="13">
        <v>1009.0</v>
      </c>
      <c r="B1010" s="13" t="s">
        <v>3929</v>
      </c>
      <c r="C1010" s="13" t="s">
        <v>3930</v>
      </c>
      <c r="D1010" s="13" t="s">
        <v>18</v>
      </c>
      <c r="E1010" s="13" t="s">
        <v>3931</v>
      </c>
      <c r="F1010" s="13" t="s">
        <v>3932</v>
      </c>
      <c r="G1010" s="13" t="s">
        <v>209</v>
      </c>
      <c r="H1010" s="13" t="s">
        <v>16</v>
      </c>
      <c r="I1010" s="13">
        <v>11422.0</v>
      </c>
      <c r="J1010" s="5" t="str">
        <f t="shared" si="1"/>
        <v>Deangelo Cooley</v>
      </c>
    </row>
    <row r="1011">
      <c r="A1011" s="13">
        <v>1010.0</v>
      </c>
      <c r="B1011" s="13" t="s">
        <v>3933</v>
      </c>
      <c r="C1011" s="13" t="s">
        <v>499</v>
      </c>
      <c r="D1011" s="13" t="s">
        <v>18</v>
      </c>
      <c r="E1011" s="13" t="s">
        <v>3934</v>
      </c>
      <c r="F1011" s="13" t="s">
        <v>3935</v>
      </c>
      <c r="G1011" s="13" t="s">
        <v>56</v>
      </c>
      <c r="H1011" s="13" t="s">
        <v>16</v>
      </c>
      <c r="I1011" s="13">
        <v>11714.0</v>
      </c>
      <c r="J1011" s="5" t="str">
        <f t="shared" si="1"/>
        <v>Katia Henry</v>
      </c>
    </row>
    <row r="1012">
      <c r="A1012" s="13">
        <v>1011.0</v>
      </c>
      <c r="B1012" s="13" t="s">
        <v>2943</v>
      </c>
      <c r="C1012" s="13" t="s">
        <v>3936</v>
      </c>
      <c r="D1012" s="13" t="s">
        <v>18</v>
      </c>
      <c r="E1012" s="13" t="s">
        <v>3937</v>
      </c>
      <c r="F1012" s="13" t="s">
        <v>3938</v>
      </c>
      <c r="G1012" s="13" t="s">
        <v>127</v>
      </c>
      <c r="H1012" s="13" t="s">
        <v>17</v>
      </c>
      <c r="I1012" s="13">
        <v>75043.0</v>
      </c>
      <c r="J1012" s="5" t="str">
        <f t="shared" si="1"/>
        <v>Sebrina Gross</v>
      </c>
    </row>
    <row r="1013">
      <c r="A1013" s="13">
        <v>1012.0</v>
      </c>
      <c r="B1013" s="13" t="s">
        <v>3939</v>
      </c>
      <c r="C1013" s="13" t="s">
        <v>3940</v>
      </c>
      <c r="D1013" s="13" t="s">
        <v>18</v>
      </c>
      <c r="E1013" s="13" t="s">
        <v>3941</v>
      </c>
      <c r="F1013" s="13" t="s">
        <v>3942</v>
      </c>
      <c r="G1013" s="13" t="s">
        <v>44</v>
      </c>
      <c r="H1013" s="13" t="s">
        <v>16</v>
      </c>
      <c r="I1013" s="13">
        <v>13027.0</v>
      </c>
      <c r="J1013" s="5" t="str">
        <f t="shared" si="1"/>
        <v>Josephine Dale</v>
      </c>
    </row>
    <row r="1014">
      <c r="A1014" s="13">
        <v>1013.0</v>
      </c>
      <c r="B1014" s="13" t="s">
        <v>3943</v>
      </c>
      <c r="C1014" s="13" t="s">
        <v>1217</v>
      </c>
      <c r="D1014" s="13" t="s">
        <v>18</v>
      </c>
      <c r="E1014" s="13" t="s">
        <v>3944</v>
      </c>
      <c r="F1014" s="13" t="s">
        <v>3945</v>
      </c>
      <c r="G1014" s="13" t="s">
        <v>88</v>
      </c>
      <c r="H1014" s="13" t="s">
        <v>16</v>
      </c>
      <c r="I1014" s="13">
        <v>11368.0</v>
      </c>
      <c r="J1014" s="5" t="str">
        <f t="shared" si="1"/>
        <v>Alma Peck</v>
      </c>
    </row>
    <row r="1015">
      <c r="A1015" s="13">
        <v>1014.0</v>
      </c>
      <c r="B1015" s="13" t="s">
        <v>3946</v>
      </c>
      <c r="C1015" s="13" t="s">
        <v>306</v>
      </c>
      <c r="D1015" s="13" t="s">
        <v>18</v>
      </c>
      <c r="E1015" s="13" t="s">
        <v>3947</v>
      </c>
      <c r="F1015" s="13" t="s">
        <v>3948</v>
      </c>
      <c r="G1015" s="13" t="s">
        <v>231</v>
      </c>
      <c r="H1015" s="13" t="s">
        <v>16</v>
      </c>
      <c r="I1015" s="13">
        <v>11419.0</v>
      </c>
      <c r="J1015" s="5" t="str">
        <f t="shared" si="1"/>
        <v>Ling Newman</v>
      </c>
    </row>
    <row r="1016">
      <c r="A1016" s="13">
        <v>1015.0</v>
      </c>
      <c r="B1016" s="13" t="s">
        <v>676</v>
      </c>
      <c r="C1016" s="13" t="s">
        <v>1662</v>
      </c>
      <c r="D1016" s="13" t="s">
        <v>18</v>
      </c>
      <c r="E1016" s="13" t="s">
        <v>3949</v>
      </c>
      <c r="F1016" s="13" t="s">
        <v>3950</v>
      </c>
      <c r="G1016" s="13" t="s">
        <v>126</v>
      </c>
      <c r="H1016" s="13" t="s">
        <v>16</v>
      </c>
      <c r="I1016" s="13">
        <v>11530.0</v>
      </c>
      <c r="J1016" s="5" t="str">
        <f t="shared" si="1"/>
        <v>Nichelle Rosario</v>
      </c>
    </row>
    <row r="1017">
      <c r="A1017" s="13">
        <v>1016.0</v>
      </c>
      <c r="B1017" s="13" t="s">
        <v>3951</v>
      </c>
      <c r="C1017" s="13" t="s">
        <v>3952</v>
      </c>
      <c r="D1017" s="13" t="s">
        <v>3953</v>
      </c>
      <c r="E1017" s="13" t="s">
        <v>3954</v>
      </c>
      <c r="F1017" s="13" t="s">
        <v>3955</v>
      </c>
      <c r="G1017" s="13" t="s">
        <v>174</v>
      </c>
      <c r="H1017" s="13" t="s">
        <v>16</v>
      </c>
      <c r="I1017" s="13">
        <v>10002.0</v>
      </c>
      <c r="J1017" s="5" t="str">
        <f t="shared" si="1"/>
        <v>Shenna Benton</v>
      </c>
    </row>
    <row r="1018">
      <c r="A1018" s="13">
        <v>1017.0</v>
      </c>
      <c r="B1018" s="13" t="s">
        <v>3956</v>
      </c>
      <c r="C1018" s="13" t="s">
        <v>871</v>
      </c>
      <c r="D1018" s="13" t="s">
        <v>3957</v>
      </c>
      <c r="E1018" s="13" t="s">
        <v>3958</v>
      </c>
      <c r="F1018" s="13" t="s">
        <v>3959</v>
      </c>
      <c r="G1018" s="13" t="s">
        <v>178</v>
      </c>
      <c r="H1018" s="13" t="s">
        <v>15</v>
      </c>
      <c r="I1018" s="13">
        <v>94603.0</v>
      </c>
      <c r="J1018" s="5" t="str">
        <f t="shared" si="1"/>
        <v>Philip Bryan</v>
      </c>
    </row>
    <row r="1019">
      <c r="A1019" s="13">
        <v>1018.0</v>
      </c>
      <c r="B1019" s="13" t="s">
        <v>3960</v>
      </c>
      <c r="C1019" s="13" t="s">
        <v>1286</v>
      </c>
      <c r="D1019" s="13" t="s">
        <v>18</v>
      </c>
      <c r="E1019" s="13" t="s">
        <v>3961</v>
      </c>
      <c r="F1019" s="13" t="s">
        <v>3962</v>
      </c>
      <c r="G1019" s="13" t="s">
        <v>159</v>
      </c>
      <c r="H1019" s="13" t="s">
        <v>16</v>
      </c>
      <c r="I1019" s="13">
        <v>11378.0</v>
      </c>
      <c r="J1019" s="5" t="str">
        <f t="shared" si="1"/>
        <v>Carita Salinas</v>
      </c>
    </row>
    <row r="1020">
      <c r="A1020" s="13">
        <v>1019.0</v>
      </c>
      <c r="B1020" s="13" t="s">
        <v>3963</v>
      </c>
      <c r="C1020" s="13" t="s">
        <v>1961</v>
      </c>
      <c r="D1020" s="13" t="s">
        <v>18</v>
      </c>
      <c r="E1020" s="13" t="s">
        <v>3964</v>
      </c>
      <c r="F1020" s="13" t="s">
        <v>3965</v>
      </c>
      <c r="G1020" s="13" t="s">
        <v>108</v>
      </c>
      <c r="H1020" s="13" t="s">
        <v>16</v>
      </c>
      <c r="I1020" s="13">
        <v>11373.0</v>
      </c>
      <c r="J1020" s="5" t="str">
        <f t="shared" si="1"/>
        <v>Janie Herrera</v>
      </c>
    </row>
    <row r="1021">
      <c r="A1021" s="13">
        <v>1020.0</v>
      </c>
      <c r="B1021" s="13" t="s">
        <v>3966</v>
      </c>
      <c r="C1021" s="13" t="s">
        <v>1344</v>
      </c>
      <c r="D1021" s="13" t="s">
        <v>18</v>
      </c>
      <c r="E1021" s="13" t="s">
        <v>3967</v>
      </c>
      <c r="F1021" s="13" t="s">
        <v>3968</v>
      </c>
      <c r="G1021" s="13" t="s">
        <v>215</v>
      </c>
      <c r="H1021" s="13" t="s">
        <v>15</v>
      </c>
      <c r="I1021" s="13">
        <v>94070.0</v>
      </c>
      <c r="J1021" s="5" t="str">
        <f t="shared" si="1"/>
        <v>Lorraine Marks</v>
      </c>
    </row>
    <row r="1022">
      <c r="A1022" s="13">
        <v>1021.0</v>
      </c>
      <c r="B1022" s="13" t="s">
        <v>3969</v>
      </c>
      <c r="C1022" s="13" t="s">
        <v>3467</v>
      </c>
      <c r="D1022" s="13" t="s">
        <v>18</v>
      </c>
      <c r="E1022" s="13" t="s">
        <v>3970</v>
      </c>
      <c r="F1022" s="13" t="s">
        <v>3971</v>
      </c>
      <c r="G1022" s="13" t="s">
        <v>212</v>
      </c>
      <c r="H1022" s="13" t="s">
        <v>16</v>
      </c>
      <c r="I1022" s="13">
        <v>11412.0</v>
      </c>
      <c r="J1022" s="5" t="str">
        <f t="shared" si="1"/>
        <v>Nicolas Carlson</v>
      </c>
    </row>
    <row r="1023">
      <c r="A1023" s="13">
        <v>1022.0</v>
      </c>
      <c r="B1023" s="13" t="s">
        <v>3972</v>
      </c>
      <c r="C1023" s="13" t="s">
        <v>822</v>
      </c>
      <c r="D1023" s="13" t="s">
        <v>18</v>
      </c>
      <c r="E1023" s="13" t="s">
        <v>3973</v>
      </c>
      <c r="F1023" s="13" t="s">
        <v>3974</v>
      </c>
      <c r="G1023" s="13" t="s">
        <v>158</v>
      </c>
      <c r="H1023" s="13" t="s">
        <v>16</v>
      </c>
      <c r="I1023" s="13">
        <v>10541.0</v>
      </c>
      <c r="J1023" s="5" t="str">
        <f t="shared" si="1"/>
        <v>Hye Mercer</v>
      </c>
    </row>
    <row r="1024">
      <c r="A1024" s="13">
        <v>1023.0</v>
      </c>
      <c r="B1024" s="13" t="s">
        <v>3975</v>
      </c>
      <c r="C1024" s="13" t="s">
        <v>3976</v>
      </c>
      <c r="D1024" s="13" t="s">
        <v>18</v>
      </c>
      <c r="E1024" s="13" t="s">
        <v>3977</v>
      </c>
      <c r="F1024" s="13" t="s">
        <v>3978</v>
      </c>
      <c r="G1024" s="13" t="s">
        <v>46</v>
      </c>
      <c r="H1024" s="13" t="s">
        <v>16</v>
      </c>
      <c r="I1024" s="13">
        <v>12020.0</v>
      </c>
      <c r="J1024" s="5" t="str">
        <f t="shared" si="1"/>
        <v>Adena Blake</v>
      </c>
    </row>
    <row r="1025">
      <c r="A1025" s="13">
        <v>1024.0</v>
      </c>
      <c r="B1025" s="13" t="s">
        <v>3979</v>
      </c>
      <c r="C1025" s="13" t="s">
        <v>801</v>
      </c>
      <c r="D1025" s="13" t="s">
        <v>3980</v>
      </c>
      <c r="E1025" s="13" t="s">
        <v>3981</v>
      </c>
      <c r="F1025" s="13" t="s">
        <v>3982</v>
      </c>
      <c r="G1025" s="13" t="s">
        <v>106</v>
      </c>
      <c r="H1025" s="13" t="s">
        <v>17</v>
      </c>
      <c r="I1025" s="13">
        <v>79930.0</v>
      </c>
      <c r="J1025" s="5" t="str">
        <f t="shared" si="1"/>
        <v>Coleman Boyd</v>
      </c>
    </row>
    <row r="1026">
      <c r="A1026" s="13">
        <v>1025.0</v>
      </c>
      <c r="B1026" s="13" t="s">
        <v>3983</v>
      </c>
      <c r="C1026" s="13" t="s">
        <v>2784</v>
      </c>
      <c r="D1026" s="13" t="s">
        <v>18</v>
      </c>
      <c r="E1026" s="13" t="s">
        <v>3984</v>
      </c>
      <c r="F1026" s="13" t="s">
        <v>3985</v>
      </c>
      <c r="G1026" s="13" t="s">
        <v>115</v>
      </c>
      <c r="H1026" s="13" t="s">
        <v>16</v>
      </c>
      <c r="I1026" s="13">
        <v>11735.0</v>
      </c>
      <c r="J1026" s="5" t="str">
        <f t="shared" si="1"/>
        <v>Daphine Willis</v>
      </c>
    </row>
    <row r="1027">
      <c r="A1027" s="13">
        <v>1026.0</v>
      </c>
      <c r="B1027" s="13" t="s">
        <v>2379</v>
      </c>
      <c r="C1027" s="13" t="s">
        <v>966</v>
      </c>
      <c r="D1027" s="13" t="s">
        <v>18</v>
      </c>
      <c r="E1027" s="13" t="s">
        <v>3986</v>
      </c>
      <c r="F1027" s="13" t="s">
        <v>3987</v>
      </c>
      <c r="G1027" s="13" t="s">
        <v>111</v>
      </c>
      <c r="H1027" s="13" t="s">
        <v>16</v>
      </c>
      <c r="I1027" s="13">
        <v>13760.0</v>
      </c>
      <c r="J1027" s="5" t="str">
        <f t="shared" si="1"/>
        <v>Jenine Dawson</v>
      </c>
    </row>
    <row r="1028">
      <c r="A1028" s="13">
        <v>1027.0</v>
      </c>
      <c r="B1028" s="13" t="s">
        <v>3988</v>
      </c>
      <c r="C1028" s="13" t="s">
        <v>3989</v>
      </c>
      <c r="D1028" s="13" t="s">
        <v>18</v>
      </c>
      <c r="E1028" s="13" t="s">
        <v>3990</v>
      </c>
      <c r="F1028" s="13" t="s">
        <v>3991</v>
      </c>
      <c r="G1028" s="13" t="s">
        <v>212</v>
      </c>
      <c r="H1028" s="13" t="s">
        <v>16</v>
      </c>
      <c r="I1028" s="13">
        <v>11412.0</v>
      </c>
      <c r="J1028" s="5" t="str">
        <f t="shared" si="1"/>
        <v>Shanita Wiley</v>
      </c>
    </row>
    <row r="1029">
      <c r="A1029" s="13">
        <v>1028.0</v>
      </c>
      <c r="B1029" s="13" t="s">
        <v>3992</v>
      </c>
      <c r="C1029" s="13" t="s">
        <v>596</v>
      </c>
      <c r="D1029" s="13" t="s">
        <v>18</v>
      </c>
      <c r="E1029" s="13" t="s">
        <v>3993</v>
      </c>
      <c r="F1029" s="13" t="s">
        <v>3994</v>
      </c>
      <c r="G1029" s="13" t="s">
        <v>68</v>
      </c>
      <c r="H1029" s="13" t="s">
        <v>16</v>
      </c>
      <c r="I1029" s="13">
        <v>14424.0</v>
      </c>
      <c r="J1029" s="5" t="str">
        <f t="shared" si="1"/>
        <v>Shanna Bonner</v>
      </c>
    </row>
    <row r="1030">
      <c r="A1030" s="13">
        <v>1029.0</v>
      </c>
      <c r="B1030" s="13" t="s">
        <v>3995</v>
      </c>
      <c r="C1030" s="13" t="s">
        <v>439</v>
      </c>
      <c r="D1030" s="13" t="s">
        <v>18</v>
      </c>
      <c r="E1030" s="13" t="s">
        <v>3996</v>
      </c>
      <c r="F1030" s="13" t="s">
        <v>3997</v>
      </c>
      <c r="G1030" s="13" t="s">
        <v>210</v>
      </c>
      <c r="H1030" s="13" t="s">
        <v>17</v>
      </c>
      <c r="I1030" s="13">
        <v>75088.0</v>
      </c>
      <c r="J1030" s="5" t="str">
        <f t="shared" si="1"/>
        <v>Ping Quinn</v>
      </c>
    </row>
    <row r="1031">
      <c r="A1031" s="13">
        <v>1030.0</v>
      </c>
      <c r="B1031" s="13" t="s">
        <v>3998</v>
      </c>
      <c r="C1031" s="13" t="s">
        <v>1166</v>
      </c>
      <c r="D1031" s="13" t="s">
        <v>18</v>
      </c>
      <c r="E1031" s="13" t="s">
        <v>3999</v>
      </c>
      <c r="F1031" s="13" t="s">
        <v>4000</v>
      </c>
      <c r="G1031" s="13" t="s">
        <v>62</v>
      </c>
      <c r="H1031" s="13" t="s">
        <v>16</v>
      </c>
      <c r="I1031" s="13">
        <v>11201.0</v>
      </c>
      <c r="J1031" s="5" t="str">
        <f t="shared" si="1"/>
        <v>Saran Moses</v>
      </c>
    </row>
    <row r="1032">
      <c r="A1032" s="13">
        <v>1031.0</v>
      </c>
      <c r="B1032" s="13" t="s">
        <v>3715</v>
      </c>
      <c r="C1032" s="13" t="s">
        <v>290</v>
      </c>
      <c r="D1032" s="13" t="s">
        <v>18</v>
      </c>
      <c r="E1032" s="13" t="s">
        <v>4001</v>
      </c>
      <c r="F1032" s="13" t="s">
        <v>4002</v>
      </c>
      <c r="G1032" s="13" t="s">
        <v>113</v>
      </c>
      <c r="H1032" s="13" t="s">
        <v>16</v>
      </c>
      <c r="I1032" s="13">
        <v>14450.0</v>
      </c>
      <c r="J1032" s="5" t="str">
        <f t="shared" si="1"/>
        <v>Tonja Bean</v>
      </c>
    </row>
    <row r="1033">
      <c r="A1033" s="13">
        <v>1032.0</v>
      </c>
      <c r="B1033" s="13" t="s">
        <v>4003</v>
      </c>
      <c r="C1033" s="13" t="s">
        <v>3256</v>
      </c>
      <c r="D1033" s="13" t="s">
        <v>18</v>
      </c>
      <c r="E1033" s="13" t="s">
        <v>4004</v>
      </c>
      <c r="F1033" s="13" t="s">
        <v>4005</v>
      </c>
      <c r="G1033" s="13" t="s">
        <v>141</v>
      </c>
      <c r="H1033" s="13" t="s">
        <v>16</v>
      </c>
      <c r="I1033" s="13">
        <v>11746.0</v>
      </c>
      <c r="J1033" s="5" t="str">
        <f t="shared" si="1"/>
        <v>Vernon Knowles</v>
      </c>
    </row>
    <row r="1034">
      <c r="A1034" s="13">
        <v>1033.0</v>
      </c>
      <c r="B1034" s="13" t="s">
        <v>4006</v>
      </c>
      <c r="C1034" s="13" t="s">
        <v>3345</v>
      </c>
      <c r="D1034" s="13" t="s">
        <v>18</v>
      </c>
      <c r="E1034" s="13" t="s">
        <v>4007</v>
      </c>
      <c r="F1034" s="13" t="s">
        <v>4008</v>
      </c>
      <c r="G1034" s="13" t="s">
        <v>118</v>
      </c>
      <c r="H1034" s="13" t="s">
        <v>16</v>
      </c>
      <c r="I1034" s="13">
        <v>11375.0</v>
      </c>
      <c r="J1034" s="5" t="str">
        <f t="shared" si="1"/>
        <v>Jeannette Skinner</v>
      </c>
    </row>
    <row r="1035">
      <c r="A1035" s="13">
        <v>1034.0</v>
      </c>
      <c r="B1035" s="13" t="s">
        <v>4009</v>
      </c>
      <c r="C1035" s="13" t="s">
        <v>4010</v>
      </c>
      <c r="D1035" s="13" t="s">
        <v>18</v>
      </c>
      <c r="E1035" s="13" t="s">
        <v>4011</v>
      </c>
      <c r="F1035" s="13" t="s">
        <v>4012</v>
      </c>
      <c r="G1035" s="13" t="s">
        <v>74</v>
      </c>
      <c r="H1035" s="13" t="s">
        <v>16</v>
      </c>
      <c r="I1035" s="13">
        <v>11720.0</v>
      </c>
      <c r="J1035" s="5" t="str">
        <f t="shared" si="1"/>
        <v>Rico Salas</v>
      </c>
    </row>
    <row r="1036">
      <c r="A1036" s="13">
        <v>1035.0</v>
      </c>
      <c r="B1036" s="13" t="s">
        <v>438</v>
      </c>
      <c r="C1036" s="13" t="s">
        <v>4013</v>
      </c>
      <c r="D1036" s="13" t="s">
        <v>18</v>
      </c>
      <c r="E1036" s="13" t="s">
        <v>4014</v>
      </c>
      <c r="F1036" s="13" t="s">
        <v>4015</v>
      </c>
      <c r="G1036" s="13" t="s">
        <v>66</v>
      </c>
      <c r="H1036" s="13" t="s">
        <v>15</v>
      </c>
      <c r="I1036" s="13">
        <v>95008.0</v>
      </c>
      <c r="J1036" s="5" t="str">
        <f t="shared" si="1"/>
        <v>Tangela Hurley</v>
      </c>
    </row>
    <row r="1037">
      <c r="A1037" s="13">
        <v>1036.0</v>
      </c>
      <c r="B1037" s="13" t="s">
        <v>3646</v>
      </c>
      <c r="C1037" s="13" t="s">
        <v>2188</v>
      </c>
      <c r="D1037" s="13" t="s">
        <v>18</v>
      </c>
      <c r="E1037" s="13" t="s">
        <v>4016</v>
      </c>
      <c r="F1037" s="13" t="s">
        <v>4017</v>
      </c>
      <c r="G1037" s="13" t="s">
        <v>74</v>
      </c>
      <c r="H1037" s="13" t="s">
        <v>16</v>
      </c>
      <c r="I1037" s="13">
        <v>11720.0</v>
      </c>
      <c r="J1037" s="5" t="str">
        <f t="shared" si="1"/>
        <v>Randee Lester</v>
      </c>
    </row>
    <row r="1038">
      <c r="A1038" s="13">
        <v>1037.0</v>
      </c>
      <c r="B1038" s="13" t="s">
        <v>586</v>
      </c>
      <c r="C1038" s="13" t="s">
        <v>4018</v>
      </c>
      <c r="D1038" s="13" t="s">
        <v>18</v>
      </c>
      <c r="E1038" s="13" t="s">
        <v>4019</v>
      </c>
      <c r="F1038" s="13" t="s">
        <v>4020</v>
      </c>
      <c r="G1038" s="13" t="s">
        <v>169</v>
      </c>
      <c r="H1038" s="13" t="s">
        <v>16</v>
      </c>
      <c r="I1038" s="13">
        <v>10954.0</v>
      </c>
      <c r="J1038" s="5" t="str">
        <f t="shared" si="1"/>
        <v>Ashanti Hammond</v>
      </c>
    </row>
    <row r="1039">
      <c r="A1039" s="13">
        <v>1038.0</v>
      </c>
      <c r="B1039" s="13" t="s">
        <v>322</v>
      </c>
      <c r="C1039" s="13" t="s">
        <v>1252</v>
      </c>
      <c r="D1039" s="13" t="s">
        <v>18</v>
      </c>
      <c r="E1039" s="13" t="s">
        <v>4021</v>
      </c>
      <c r="F1039" s="13" t="s">
        <v>4022</v>
      </c>
      <c r="G1039" s="13" t="s">
        <v>118</v>
      </c>
      <c r="H1039" s="13" t="s">
        <v>16</v>
      </c>
      <c r="I1039" s="13">
        <v>11375.0</v>
      </c>
      <c r="J1039" s="5" t="str">
        <f t="shared" si="1"/>
        <v>Garry Juarez</v>
      </c>
    </row>
    <row r="1040">
      <c r="A1040" s="13">
        <v>1039.0</v>
      </c>
      <c r="B1040" s="13" t="s">
        <v>4023</v>
      </c>
      <c r="C1040" s="13" t="s">
        <v>959</v>
      </c>
      <c r="D1040" s="13" t="s">
        <v>18</v>
      </c>
      <c r="E1040" s="13" t="s">
        <v>4024</v>
      </c>
      <c r="F1040" s="13" t="s">
        <v>4025</v>
      </c>
      <c r="G1040" s="13" t="s">
        <v>152</v>
      </c>
      <c r="H1040" s="13" t="s">
        <v>16</v>
      </c>
      <c r="I1040" s="13">
        <v>13090.0</v>
      </c>
      <c r="J1040" s="5" t="str">
        <f t="shared" si="1"/>
        <v>Bee Baker</v>
      </c>
    </row>
    <row r="1041">
      <c r="A1041" s="13">
        <v>1040.0</v>
      </c>
      <c r="B1041" s="13" t="s">
        <v>4026</v>
      </c>
      <c r="C1041" s="13" t="s">
        <v>4018</v>
      </c>
      <c r="D1041" s="13" t="s">
        <v>18</v>
      </c>
      <c r="E1041" s="13" t="s">
        <v>4027</v>
      </c>
      <c r="F1041" s="13" t="s">
        <v>4028</v>
      </c>
      <c r="G1041" s="13" t="s">
        <v>245</v>
      </c>
      <c r="H1041" s="13" t="s">
        <v>17</v>
      </c>
      <c r="I1041" s="13">
        <v>77904.0</v>
      </c>
      <c r="J1041" s="5" t="str">
        <f t="shared" si="1"/>
        <v>Shantae Hammond</v>
      </c>
    </row>
    <row r="1042">
      <c r="A1042" s="13">
        <v>1041.0</v>
      </c>
      <c r="B1042" s="13" t="s">
        <v>4029</v>
      </c>
      <c r="C1042" s="13" t="s">
        <v>323</v>
      </c>
      <c r="D1042" s="13" t="s">
        <v>18</v>
      </c>
      <c r="E1042" s="13" t="s">
        <v>4030</v>
      </c>
      <c r="F1042" s="13" t="s">
        <v>4031</v>
      </c>
      <c r="G1042" s="13" t="s">
        <v>184</v>
      </c>
      <c r="H1042" s="13" t="s">
        <v>16</v>
      </c>
      <c r="I1042" s="13">
        <v>13126.0</v>
      </c>
      <c r="J1042" s="5" t="str">
        <f t="shared" si="1"/>
        <v>Bettye Espinoza</v>
      </c>
    </row>
    <row r="1043">
      <c r="A1043" s="13">
        <v>1042.0</v>
      </c>
      <c r="B1043" s="13" t="s">
        <v>4032</v>
      </c>
      <c r="C1043" s="13" t="s">
        <v>294</v>
      </c>
      <c r="D1043" s="13" t="s">
        <v>18</v>
      </c>
      <c r="E1043" s="13" t="s">
        <v>4033</v>
      </c>
      <c r="F1043" s="13" t="s">
        <v>4034</v>
      </c>
      <c r="G1043" s="13" t="s">
        <v>109</v>
      </c>
      <c r="H1043" s="13" t="s">
        <v>16</v>
      </c>
      <c r="I1043" s="13">
        <v>11003.0</v>
      </c>
      <c r="J1043" s="5" t="str">
        <f t="shared" si="1"/>
        <v>Larissa Hays</v>
      </c>
    </row>
    <row r="1044">
      <c r="A1044" s="13">
        <v>1043.0</v>
      </c>
      <c r="B1044" s="13" t="s">
        <v>4035</v>
      </c>
      <c r="C1044" s="13" t="s">
        <v>4036</v>
      </c>
      <c r="D1044" s="13" t="s">
        <v>18</v>
      </c>
      <c r="E1044" s="13" t="s">
        <v>4037</v>
      </c>
      <c r="F1044" s="13" t="s">
        <v>4038</v>
      </c>
      <c r="G1044" s="13" t="s">
        <v>123</v>
      </c>
      <c r="H1044" s="13" t="s">
        <v>16</v>
      </c>
      <c r="I1044" s="13">
        <v>11365.0</v>
      </c>
      <c r="J1044" s="5" t="str">
        <f t="shared" si="1"/>
        <v>Diane Jones</v>
      </c>
    </row>
    <row r="1045">
      <c r="A1045" s="13">
        <v>1044.0</v>
      </c>
      <c r="B1045" s="13" t="s">
        <v>4039</v>
      </c>
      <c r="C1045" s="13" t="s">
        <v>4040</v>
      </c>
      <c r="D1045" s="13" t="s">
        <v>18</v>
      </c>
      <c r="E1045" s="13" t="s">
        <v>4041</v>
      </c>
      <c r="F1045" s="13" t="s">
        <v>4042</v>
      </c>
      <c r="G1045" s="13" t="s">
        <v>209</v>
      </c>
      <c r="H1045" s="13" t="s">
        <v>16</v>
      </c>
      <c r="I1045" s="13">
        <v>11422.0</v>
      </c>
      <c r="J1045" s="5" t="str">
        <f t="shared" si="1"/>
        <v>Zenia Bruce</v>
      </c>
    </row>
    <row r="1046">
      <c r="A1046" s="13">
        <v>1045.0</v>
      </c>
      <c r="B1046" s="13" t="s">
        <v>4043</v>
      </c>
      <c r="C1046" s="13" t="s">
        <v>4044</v>
      </c>
      <c r="D1046" s="13" t="s">
        <v>18</v>
      </c>
      <c r="E1046" s="13" t="s">
        <v>4045</v>
      </c>
      <c r="F1046" s="13" t="s">
        <v>4046</v>
      </c>
      <c r="G1046" s="13" t="s">
        <v>246</v>
      </c>
      <c r="H1046" s="13" t="s">
        <v>15</v>
      </c>
      <c r="I1046" s="13">
        <v>92083.0</v>
      </c>
      <c r="J1046" s="5" t="str">
        <f t="shared" si="1"/>
        <v>Pasquale Hogan</v>
      </c>
    </row>
    <row r="1047">
      <c r="A1047" s="13">
        <v>1046.0</v>
      </c>
      <c r="B1047" s="13" t="s">
        <v>4047</v>
      </c>
      <c r="C1047" s="13" t="s">
        <v>414</v>
      </c>
      <c r="D1047" s="13" t="s">
        <v>18</v>
      </c>
      <c r="E1047" s="13" t="s">
        <v>4048</v>
      </c>
      <c r="F1047" s="13" t="s">
        <v>4049</v>
      </c>
      <c r="G1047" s="13" t="s">
        <v>68</v>
      </c>
      <c r="H1047" s="13" t="s">
        <v>16</v>
      </c>
      <c r="I1047" s="13">
        <v>14424.0</v>
      </c>
      <c r="J1047" s="5" t="str">
        <f t="shared" si="1"/>
        <v>Dane Mcdaniel</v>
      </c>
    </row>
    <row r="1048">
      <c r="A1048" s="13">
        <v>1047.0</v>
      </c>
      <c r="B1048" s="13" t="s">
        <v>388</v>
      </c>
      <c r="C1048" s="13" t="s">
        <v>959</v>
      </c>
      <c r="D1048" s="13" t="s">
        <v>18</v>
      </c>
      <c r="E1048" s="13" t="s">
        <v>4050</v>
      </c>
      <c r="F1048" s="13" t="s">
        <v>4051</v>
      </c>
      <c r="G1048" s="13" t="s">
        <v>108</v>
      </c>
      <c r="H1048" s="13" t="s">
        <v>16</v>
      </c>
      <c r="I1048" s="13">
        <v>11373.0</v>
      </c>
      <c r="J1048" s="5" t="str">
        <f t="shared" si="1"/>
        <v>Jamaal Baker</v>
      </c>
    </row>
    <row r="1049">
      <c r="A1049" s="13">
        <v>1048.0</v>
      </c>
      <c r="B1049" s="13" t="s">
        <v>4052</v>
      </c>
      <c r="C1049" s="13" t="s">
        <v>1495</v>
      </c>
      <c r="D1049" s="13" t="s">
        <v>18</v>
      </c>
      <c r="E1049" s="13" t="s">
        <v>4053</v>
      </c>
      <c r="F1049" s="13" t="s">
        <v>4054</v>
      </c>
      <c r="G1049" s="13" t="s">
        <v>33</v>
      </c>
      <c r="H1049" s="13" t="s">
        <v>15</v>
      </c>
      <c r="I1049" s="13">
        <v>92307.0</v>
      </c>
      <c r="J1049" s="5" t="str">
        <f t="shared" si="1"/>
        <v>Ji Burt</v>
      </c>
    </row>
    <row r="1050">
      <c r="A1050" s="13">
        <v>1049.0</v>
      </c>
      <c r="B1050" s="13" t="s">
        <v>4055</v>
      </c>
      <c r="C1050" s="13" t="s">
        <v>2058</v>
      </c>
      <c r="D1050" s="13" t="s">
        <v>18</v>
      </c>
      <c r="E1050" s="13" t="s">
        <v>4056</v>
      </c>
      <c r="F1050" s="13" t="s">
        <v>4057</v>
      </c>
      <c r="G1050" s="13" t="s">
        <v>78</v>
      </c>
      <c r="H1050" s="13" t="s">
        <v>16</v>
      </c>
      <c r="I1050" s="13">
        <v>12065.0</v>
      </c>
      <c r="J1050" s="5" t="str">
        <f t="shared" si="1"/>
        <v>Marcelino Mcbride</v>
      </c>
    </row>
    <row r="1051">
      <c r="A1051" s="13">
        <v>1050.0</v>
      </c>
      <c r="B1051" s="13" t="s">
        <v>4058</v>
      </c>
      <c r="C1051" s="13" t="s">
        <v>1849</v>
      </c>
      <c r="D1051" s="13" t="s">
        <v>18</v>
      </c>
      <c r="E1051" s="13" t="s">
        <v>4059</v>
      </c>
      <c r="F1051" s="13" t="s">
        <v>4060</v>
      </c>
      <c r="G1051" s="13" t="s">
        <v>227</v>
      </c>
      <c r="H1051" s="13" t="s">
        <v>16</v>
      </c>
      <c r="I1051" s="13">
        <v>11967.0</v>
      </c>
      <c r="J1051" s="5" t="str">
        <f t="shared" si="1"/>
        <v>Rozella Fitzgerald</v>
      </c>
    </row>
    <row r="1052">
      <c r="A1052" s="13">
        <v>1051.0</v>
      </c>
      <c r="B1052" s="13" t="s">
        <v>4061</v>
      </c>
      <c r="C1052" s="13" t="s">
        <v>2176</v>
      </c>
      <c r="D1052" s="13" t="s">
        <v>18</v>
      </c>
      <c r="E1052" s="13" t="s">
        <v>4062</v>
      </c>
      <c r="F1052" s="13" t="s">
        <v>4063</v>
      </c>
      <c r="G1052" s="13" t="s">
        <v>141</v>
      </c>
      <c r="H1052" s="13" t="s">
        <v>16</v>
      </c>
      <c r="I1052" s="13">
        <v>11746.0</v>
      </c>
      <c r="J1052" s="5" t="str">
        <f t="shared" si="1"/>
        <v>Tonisha Fowler</v>
      </c>
    </row>
    <row r="1053">
      <c r="A1053" s="13">
        <v>1052.0</v>
      </c>
      <c r="B1053" s="13" t="s">
        <v>4064</v>
      </c>
      <c r="C1053" s="13" t="s">
        <v>3003</v>
      </c>
      <c r="D1053" s="13" t="s">
        <v>4065</v>
      </c>
      <c r="E1053" s="13" t="s">
        <v>4066</v>
      </c>
      <c r="F1053" s="13" t="s">
        <v>4067</v>
      </c>
      <c r="G1053" s="13" t="s">
        <v>211</v>
      </c>
      <c r="H1053" s="13" t="s">
        <v>15</v>
      </c>
      <c r="I1053" s="13">
        <v>95820.0</v>
      </c>
      <c r="J1053" s="5" t="str">
        <f t="shared" si="1"/>
        <v>Zora Ford</v>
      </c>
    </row>
    <row r="1054">
      <c r="A1054" s="13">
        <v>1053.0</v>
      </c>
      <c r="B1054" s="13" t="s">
        <v>4068</v>
      </c>
      <c r="C1054" s="13" t="s">
        <v>3437</v>
      </c>
      <c r="D1054" s="13" t="s">
        <v>18</v>
      </c>
      <c r="E1054" s="13" t="s">
        <v>4069</v>
      </c>
      <c r="F1054" s="13" t="s">
        <v>4070</v>
      </c>
      <c r="G1054" s="13" t="s">
        <v>158</v>
      </c>
      <c r="H1054" s="13" t="s">
        <v>16</v>
      </c>
      <c r="I1054" s="13">
        <v>10541.0</v>
      </c>
      <c r="J1054" s="5" t="str">
        <f t="shared" si="1"/>
        <v>Parthenia Figueroa</v>
      </c>
    </row>
    <row r="1055">
      <c r="A1055" s="13">
        <v>1054.0</v>
      </c>
      <c r="B1055" s="13" t="s">
        <v>4071</v>
      </c>
      <c r="C1055" s="13" t="s">
        <v>4072</v>
      </c>
      <c r="D1055" s="13" t="s">
        <v>18</v>
      </c>
      <c r="E1055" s="13" t="s">
        <v>4073</v>
      </c>
      <c r="F1055" s="13" t="s">
        <v>4074</v>
      </c>
      <c r="G1055" s="13" t="s">
        <v>127</v>
      </c>
      <c r="H1055" s="13" t="s">
        <v>17</v>
      </c>
      <c r="I1055" s="13">
        <v>75043.0</v>
      </c>
      <c r="J1055" s="5" t="str">
        <f t="shared" si="1"/>
        <v>Arielle Levine</v>
      </c>
    </row>
    <row r="1056">
      <c r="A1056" s="13">
        <v>1055.0</v>
      </c>
      <c r="B1056" s="13" t="s">
        <v>4075</v>
      </c>
      <c r="C1056" s="13" t="s">
        <v>4076</v>
      </c>
      <c r="D1056" s="13" t="s">
        <v>18</v>
      </c>
      <c r="E1056" s="13" t="s">
        <v>4077</v>
      </c>
      <c r="F1056" s="13" t="s">
        <v>4078</v>
      </c>
      <c r="G1056" s="13" t="s">
        <v>159</v>
      </c>
      <c r="H1056" s="13" t="s">
        <v>16</v>
      </c>
      <c r="I1056" s="13">
        <v>11378.0</v>
      </c>
      <c r="J1056" s="5" t="str">
        <f t="shared" si="1"/>
        <v>Hildegarde Christensen</v>
      </c>
    </row>
    <row r="1057">
      <c r="A1057" s="13">
        <v>1056.0</v>
      </c>
      <c r="B1057" s="13" t="s">
        <v>4079</v>
      </c>
      <c r="C1057" s="13" t="s">
        <v>323</v>
      </c>
      <c r="D1057" s="13" t="s">
        <v>18</v>
      </c>
      <c r="E1057" s="13" t="s">
        <v>4080</v>
      </c>
      <c r="F1057" s="13" t="s">
        <v>4081</v>
      </c>
      <c r="G1057" s="13" t="s">
        <v>167</v>
      </c>
      <c r="H1057" s="13" t="s">
        <v>16</v>
      </c>
      <c r="I1057" s="13">
        <v>10550.0</v>
      </c>
      <c r="J1057" s="5" t="str">
        <f t="shared" si="1"/>
        <v>Rebbecca Espinoza</v>
      </c>
    </row>
    <row r="1058">
      <c r="A1058" s="13">
        <v>1057.0</v>
      </c>
      <c r="B1058" s="13" t="s">
        <v>4082</v>
      </c>
      <c r="C1058" s="13" t="s">
        <v>4083</v>
      </c>
      <c r="D1058" s="13" t="s">
        <v>18</v>
      </c>
      <c r="E1058" s="13" t="s">
        <v>4084</v>
      </c>
      <c r="F1058" s="13" t="s">
        <v>4085</v>
      </c>
      <c r="G1058" s="13" t="s">
        <v>167</v>
      </c>
      <c r="H1058" s="13" t="s">
        <v>16</v>
      </c>
      <c r="I1058" s="13">
        <v>10550.0</v>
      </c>
      <c r="J1058" s="5" t="str">
        <f t="shared" si="1"/>
        <v>Conchita Boone</v>
      </c>
    </row>
    <row r="1059">
      <c r="A1059" s="13">
        <v>1058.0</v>
      </c>
      <c r="B1059" s="13" t="s">
        <v>4086</v>
      </c>
      <c r="C1059" s="13" t="s">
        <v>758</v>
      </c>
      <c r="D1059" s="13" t="s">
        <v>18</v>
      </c>
      <c r="E1059" s="13" t="s">
        <v>4087</v>
      </c>
      <c r="F1059" s="13" t="s">
        <v>4088</v>
      </c>
      <c r="G1059" s="13" t="s">
        <v>249</v>
      </c>
      <c r="H1059" s="13" t="s">
        <v>16</v>
      </c>
      <c r="I1059" s="13">
        <v>14580.0</v>
      </c>
      <c r="J1059" s="5" t="str">
        <f t="shared" si="1"/>
        <v>Aisha Woods</v>
      </c>
    </row>
    <row r="1060">
      <c r="A1060" s="13">
        <v>1059.0</v>
      </c>
      <c r="B1060" s="13" t="s">
        <v>4089</v>
      </c>
      <c r="C1060" s="13" t="s">
        <v>2909</v>
      </c>
      <c r="D1060" s="13" t="s">
        <v>18</v>
      </c>
      <c r="E1060" s="13" t="s">
        <v>4090</v>
      </c>
      <c r="F1060" s="13" t="s">
        <v>4091</v>
      </c>
      <c r="G1060" s="13" t="s">
        <v>104</v>
      </c>
      <c r="H1060" s="13" t="s">
        <v>16</v>
      </c>
      <c r="I1060" s="13">
        <v>11731.0</v>
      </c>
      <c r="J1060" s="5" t="str">
        <f t="shared" si="1"/>
        <v>Season Harvey</v>
      </c>
    </row>
    <row r="1061">
      <c r="A1061" s="13">
        <v>1060.0</v>
      </c>
      <c r="B1061" s="13" t="s">
        <v>537</v>
      </c>
      <c r="C1061" s="13" t="s">
        <v>3930</v>
      </c>
      <c r="D1061" s="13" t="s">
        <v>4092</v>
      </c>
      <c r="E1061" s="13" t="s">
        <v>4093</v>
      </c>
      <c r="F1061" s="13" t="s">
        <v>4094</v>
      </c>
      <c r="G1061" s="13" t="s">
        <v>148</v>
      </c>
      <c r="H1061" s="13" t="s">
        <v>16</v>
      </c>
      <c r="I1061" s="13">
        <v>14086.0</v>
      </c>
      <c r="J1061" s="5" t="str">
        <f t="shared" si="1"/>
        <v>Tommie Cooley</v>
      </c>
    </row>
    <row r="1062">
      <c r="A1062" s="13">
        <v>1061.0</v>
      </c>
      <c r="B1062" s="13" t="s">
        <v>4095</v>
      </c>
      <c r="C1062" s="13" t="s">
        <v>1416</v>
      </c>
      <c r="D1062" s="13" t="s">
        <v>18</v>
      </c>
      <c r="E1062" s="13" t="s">
        <v>4096</v>
      </c>
      <c r="F1062" s="13" t="s">
        <v>4097</v>
      </c>
      <c r="G1062" s="13" t="s">
        <v>112</v>
      </c>
      <c r="H1062" s="13" t="s">
        <v>17</v>
      </c>
      <c r="I1062" s="13">
        <v>76039.0</v>
      </c>
      <c r="J1062" s="5" t="str">
        <f t="shared" si="1"/>
        <v>Alanna Barry</v>
      </c>
    </row>
    <row r="1063">
      <c r="A1063" s="13">
        <v>1062.0</v>
      </c>
      <c r="B1063" s="13" t="s">
        <v>4098</v>
      </c>
      <c r="C1063" s="13" t="s">
        <v>4099</v>
      </c>
      <c r="D1063" s="13" t="s">
        <v>18</v>
      </c>
      <c r="E1063" s="13" t="s">
        <v>4100</v>
      </c>
      <c r="F1063" s="13" t="s">
        <v>4101</v>
      </c>
      <c r="G1063" s="13" t="s">
        <v>72</v>
      </c>
      <c r="H1063" s="13" t="s">
        <v>16</v>
      </c>
      <c r="I1063" s="13">
        <v>10512.0</v>
      </c>
      <c r="J1063" s="5" t="str">
        <f t="shared" si="1"/>
        <v>Jerri Guthrie</v>
      </c>
    </row>
    <row r="1064">
      <c r="A1064" s="13">
        <v>1063.0</v>
      </c>
      <c r="B1064" s="13" t="s">
        <v>4102</v>
      </c>
      <c r="C1064" s="13" t="s">
        <v>2299</v>
      </c>
      <c r="D1064" s="13" t="s">
        <v>18</v>
      </c>
      <c r="E1064" s="13" t="s">
        <v>4103</v>
      </c>
      <c r="F1064" s="13" t="s">
        <v>4104</v>
      </c>
      <c r="G1064" s="13" t="s">
        <v>147</v>
      </c>
      <c r="H1064" s="13" t="s">
        <v>17</v>
      </c>
      <c r="I1064" s="13">
        <v>77566.0</v>
      </c>
      <c r="J1064" s="5" t="str">
        <f t="shared" si="1"/>
        <v>Tammy Austin</v>
      </c>
    </row>
    <row r="1065">
      <c r="A1065" s="13">
        <v>1064.0</v>
      </c>
      <c r="B1065" s="13" t="s">
        <v>4105</v>
      </c>
      <c r="C1065" s="13" t="s">
        <v>4106</v>
      </c>
      <c r="D1065" s="13" t="s">
        <v>18</v>
      </c>
      <c r="E1065" s="13" t="s">
        <v>4107</v>
      </c>
      <c r="F1065" s="13" t="s">
        <v>4108</v>
      </c>
      <c r="G1065" s="13" t="s">
        <v>210</v>
      </c>
      <c r="H1065" s="13" t="s">
        <v>17</v>
      </c>
      <c r="I1065" s="13">
        <v>75088.0</v>
      </c>
      <c r="J1065" s="5" t="str">
        <f t="shared" si="1"/>
        <v>Patsy Russo</v>
      </c>
    </row>
    <row r="1066">
      <c r="A1066" s="13">
        <v>1065.0</v>
      </c>
      <c r="B1066" s="13" t="s">
        <v>4109</v>
      </c>
      <c r="C1066" s="13" t="s">
        <v>327</v>
      </c>
      <c r="D1066" s="13" t="s">
        <v>18</v>
      </c>
      <c r="E1066" s="13" t="s">
        <v>4110</v>
      </c>
      <c r="F1066" s="13" t="s">
        <v>4111</v>
      </c>
      <c r="G1066" s="13" t="s">
        <v>218</v>
      </c>
      <c r="H1066" s="13" t="s">
        <v>15</v>
      </c>
      <c r="I1066" s="13">
        <v>94580.0</v>
      </c>
      <c r="J1066" s="5" t="str">
        <f t="shared" si="1"/>
        <v>Desiree Branch</v>
      </c>
    </row>
    <row r="1067">
      <c r="A1067" s="13">
        <v>1066.0</v>
      </c>
      <c r="B1067" s="13" t="s">
        <v>4112</v>
      </c>
      <c r="C1067" s="13" t="s">
        <v>299</v>
      </c>
      <c r="D1067" s="13" t="s">
        <v>4113</v>
      </c>
      <c r="E1067" s="13" t="s">
        <v>4114</v>
      </c>
      <c r="F1067" s="13" t="s">
        <v>4115</v>
      </c>
      <c r="G1067" s="13" t="s">
        <v>32</v>
      </c>
      <c r="H1067" s="13" t="s">
        <v>15</v>
      </c>
      <c r="I1067" s="13">
        <v>92806.0</v>
      </c>
      <c r="J1067" s="5" t="str">
        <f t="shared" si="1"/>
        <v>Raeann Duncan</v>
      </c>
    </row>
    <row r="1068">
      <c r="A1068" s="13">
        <v>1067.0</v>
      </c>
      <c r="B1068" s="13" t="s">
        <v>4116</v>
      </c>
      <c r="C1068" s="13" t="s">
        <v>4117</v>
      </c>
      <c r="D1068" s="13" t="s">
        <v>18</v>
      </c>
      <c r="E1068" s="13" t="s">
        <v>4118</v>
      </c>
      <c r="F1068" s="13" t="s">
        <v>4119</v>
      </c>
      <c r="G1068" s="13" t="s">
        <v>200</v>
      </c>
      <c r="H1068" s="13" t="s">
        <v>16</v>
      </c>
      <c r="I1068" s="13">
        <v>11374.0</v>
      </c>
      <c r="J1068" s="5" t="str">
        <f t="shared" si="1"/>
        <v>Lillia Gillespie</v>
      </c>
    </row>
    <row r="1069">
      <c r="A1069" s="13">
        <v>1068.0</v>
      </c>
      <c r="B1069" s="13" t="s">
        <v>4120</v>
      </c>
      <c r="C1069" s="13" t="s">
        <v>4121</v>
      </c>
      <c r="D1069" s="13" t="s">
        <v>18</v>
      </c>
      <c r="E1069" s="13" t="s">
        <v>4122</v>
      </c>
      <c r="F1069" s="13" t="s">
        <v>4123</v>
      </c>
      <c r="G1069" s="13" t="s">
        <v>98</v>
      </c>
      <c r="H1069" s="13" t="s">
        <v>15</v>
      </c>
      <c r="I1069" s="13">
        <v>91010.0</v>
      </c>
      <c r="J1069" s="5" t="str">
        <f t="shared" si="1"/>
        <v>Doris Kaufman</v>
      </c>
    </row>
    <row r="1070">
      <c r="A1070" s="13">
        <v>1069.0</v>
      </c>
      <c r="B1070" s="13" t="s">
        <v>4124</v>
      </c>
      <c r="C1070" s="13" t="s">
        <v>4125</v>
      </c>
      <c r="D1070" s="13" t="s">
        <v>18</v>
      </c>
      <c r="E1070" s="13" t="s">
        <v>4126</v>
      </c>
      <c r="F1070" s="13" t="s">
        <v>4127</v>
      </c>
      <c r="G1070" s="13" t="s">
        <v>227</v>
      </c>
      <c r="H1070" s="13" t="s">
        <v>16</v>
      </c>
      <c r="I1070" s="13">
        <v>11967.0</v>
      </c>
      <c r="J1070" s="5" t="str">
        <f t="shared" si="1"/>
        <v>Rodolfo Buck</v>
      </c>
    </row>
    <row r="1071">
      <c r="A1071" s="13">
        <v>1070.0</v>
      </c>
      <c r="B1071" s="13" t="s">
        <v>4128</v>
      </c>
      <c r="C1071" s="13" t="s">
        <v>2172</v>
      </c>
      <c r="D1071" s="13" t="s">
        <v>18</v>
      </c>
      <c r="E1071" s="13" t="s">
        <v>4129</v>
      </c>
      <c r="F1071" s="13" t="s">
        <v>4130</v>
      </c>
      <c r="G1071" s="13" t="s">
        <v>179</v>
      </c>
      <c r="H1071" s="13" t="s">
        <v>16</v>
      </c>
      <c r="I1071" s="13">
        <v>11364.0</v>
      </c>
      <c r="J1071" s="5" t="str">
        <f t="shared" si="1"/>
        <v>Olimpia Mays</v>
      </c>
    </row>
    <row r="1072">
      <c r="A1072" s="13">
        <v>1071.0</v>
      </c>
      <c r="B1072" s="13" t="s">
        <v>4131</v>
      </c>
      <c r="C1072" s="13" t="s">
        <v>522</v>
      </c>
      <c r="D1072" s="13" t="s">
        <v>18</v>
      </c>
      <c r="E1072" s="13" t="s">
        <v>4132</v>
      </c>
      <c r="F1072" s="13" t="s">
        <v>4133</v>
      </c>
      <c r="G1072" s="13" t="s">
        <v>193</v>
      </c>
      <c r="H1072" s="13" t="s">
        <v>15</v>
      </c>
      <c r="I1072" s="13">
        <v>91768.0</v>
      </c>
      <c r="J1072" s="5" t="str">
        <f t="shared" si="1"/>
        <v>Shemeka Lyons</v>
      </c>
    </row>
    <row r="1073">
      <c r="A1073" s="13">
        <v>1072.0</v>
      </c>
      <c r="B1073" s="13" t="s">
        <v>4134</v>
      </c>
      <c r="C1073" s="13" t="s">
        <v>499</v>
      </c>
      <c r="D1073" s="13" t="s">
        <v>18</v>
      </c>
      <c r="E1073" s="13" t="s">
        <v>4135</v>
      </c>
      <c r="F1073" s="13" t="s">
        <v>4136</v>
      </c>
      <c r="G1073" s="13" t="s">
        <v>201</v>
      </c>
      <c r="H1073" s="13" t="s">
        <v>17</v>
      </c>
      <c r="I1073" s="13">
        <v>75080.0</v>
      </c>
      <c r="J1073" s="5" t="str">
        <f t="shared" si="1"/>
        <v>Maryalice Henry</v>
      </c>
    </row>
    <row r="1074">
      <c r="A1074" s="13">
        <v>1073.0</v>
      </c>
      <c r="B1074" s="13" t="s">
        <v>4137</v>
      </c>
      <c r="C1074" s="13" t="s">
        <v>1461</v>
      </c>
      <c r="D1074" s="13" t="s">
        <v>18</v>
      </c>
      <c r="E1074" s="13" t="s">
        <v>4138</v>
      </c>
      <c r="F1074" s="13" t="s">
        <v>4139</v>
      </c>
      <c r="G1074" s="13" t="s">
        <v>52</v>
      </c>
      <c r="H1074" s="13" t="s">
        <v>16</v>
      </c>
      <c r="I1074" s="13">
        <v>11361.0</v>
      </c>
      <c r="J1074" s="5" t="str">
        <f t="shared" si="1"/>
        <v>Leeanne Cross</v>
      </c>
    </row>
    <row r="1075">
      <c r="A1075" s="13">
        <v>1074.0</v>
      </c>
      <c r="B1075" s="13" t="s">
        <v>4140</v>
      </c>
      <c r="C1075" s="13" t="s">
        <v>460</v>
      </c>
      <c r="D1075" s="13" t="s">
        <v>18</v>
      </c>
      <c r="E1075" s="13" t="s">
        <v>4141</v>
      </c>
      <c r="F1075" s="13" t="s">
        <v>4142</v>
      </c>
      <c r="G1075" s="13" t="s">
        <v>116</v>
      </c>
      <c r="H1075" s="13" t="s">
        <v>16</v>
      </c>
      <c r="I1075" s="13">
        <v>11001.0</v>
      </c>
      <c r="J1075" s="5" t="str">
        <f t="shared" si="1"/>
        <v>Lanelle Guerra</v>
      </c>
    </row>
    <row r="1076">
      <c r="A1076" s="13">
        <v>1075.0</v>
      </c>
      <c r="B1076" s="13" t="s">
        <v>4143</v>
      </c>
      <c r="C1076" s="13" t="s">
        <v>4144</v>
      </c>
      <c r="D1076" s="13" t="s">
        <v>18</v>
      </c>
      <c r="E1076" s="13" t="s">
        <v>4145</v>
      </c>
      <c r="F1076" s="13" t="s">
        <v>4146</v>
      </c>
      <c r="G1076" s="13" t="s">
        <v>141</v>
      </c>
      <c r="H1076" s="13" t="s">
        <v>16</v>
      </c>
      <c r="I1076" s="13">
        <v>11746.0</v>
      </c>
      <c r="J1076" s="5" t="str">
        <f t="shared" si="1"/>
        <v>Dann Huff</v>
      </c>
    </row>
    <row r="1077">
      <c r="A1077" s="13">
        <v>1076.0</v>
      </c>
      <c r="B1077" s="13" t="s">
        <v>4147</v>
      </c>
      <c r="C1077" s="13" t="s">
        <v>822</v>
      </c>
      <c r="D1077" s="13" t="s">
        <v>18</v>
      </c>
      <c r="E1077" s="13" t="s">
        <v>4148</v>
      </c>
      <c r="F1077" s="13" t="s">
        <v>4149</v>
      </c>
      <c r="G1077" s="13" t="s">
        <v>246</v>
      </c>
      <c r="H1077" s="13" t="s">
        <v>15</v>
      </c>
      <c r="I1077" s="13">
        <v>92083.0</v>
      </c>
      <c r="J1077" s="5" t="str">
        <f t="shared" si="1"/>
        <v>Sherise Mercer</v>
      </c>
    </row>
    <row r="1078">
      <c r="A1078" s="13">
        <v>1077.0</v>
      </c>
      <c r="B1078" s="13" t="s">
        <v>3895</v>
      </c>
      <c r="C1078" s="13" t="s">
        <v>1382</v>
      </c>
      <c r="D1078" s="13" t="s">
        <v>18</v>
      </c>
      <c r="E1078" s="13" t="s">
        <v>4150</v>
      </c>
      <c r="F1078" s="13" t="s">
        <v>4151</v>
      </c>
      <c r="G1078" s="13" t="s">
        <v>236</v>
      </c>
      <c r="H1078" s="13" t="s">
        <v>16</v>
      </c>
      <c r="I1078" s="13">
        <v>11104.0</v>
      </c>
      <c r="J1078" s="5" t="str">
        <f t="shared" si="1"/>
        <v>Heather Perry</v>
      </c>
    </row>
    <row r="1079">
      <c r="A1079" s="13">
        <v>1078.0</v>
      </c>
      <c r="B1079" s="13" t="s">
        <v>4152</v>
      </c>
      <c r="C1079" s="13" t="s">
        <v>2904</v>
      </c>
      <c r="D1079" s="13" t="s">
        <v>18</v>
      </c>
      <c r="E1079" s="13" t="s">
        <v>4153</v>
      </c>
      <c r="F1079" s="13" t="s">
        <v>4154</v>
      </c>
      <c r="G1079" s="13" t="s">
        <v>118</v>
      </c>
      <c r="H1079" s="13" t="s">
        <v>16</v>
      </c>
      <c r="I1079" s="13">
        <v>11375.0</v>
      </c>
      <c r="J1079" s="5" t="str">
        <f t="shared" si="1"/>
        <v>Theresia Barron</v>
      </c>
    </row>
    <row r="1080">
      <c r="A1080" s="13">
        <v>1079.0</v>
      </c>
      <c r="B1080" s="13" t="s">
        <v>1220</v>
      </c>
      <c r="C1080" s="13" t="s">
        <v>3667</v>
      </c>
      <c r="D1080" s="13" t="s">
        <v>18</v>
      </c>
      <c r="E1080" s="13" t="s">
        <v>4155</v>
      </c>
      <c r="F1080" s="13" t="s">
        <v>4156</v>
      </c>
      <c r="G1080" s="13" t="s">
        <v>116</v>
      </c>
      <c r="H1080" s="13" t="s">
        <v>16</v>
      </c>
      <c r="I1080" s="13">
        <v>11001.0</v>
      </c>
      <c r="J1080" s="5" t="str">
        <f t="shared" si="1"/>
        <v>Cindi Ellis</v>
      </c>
    </row>
    <row r="1081">
      <c r="A1081" s="13">
        <v>1080.0</v>
      </c>
      <c r="B1081" s="13" t="s">
        <v>4157</v>
      </c>
      <c r="C1081" s="13" t="s">
        <v>4158</v>
      </c>
      <c r="D1081" s="13" t="s">
        <v>18</v>
      </c>
      <c r="E1081" s="13" t="s">
        <v>4159</v>
      </c>
      <c r="F1081" s="13" t="s">
        <v>4160</v>
      </c>
      <c r="G1081" s="13" t="s">
        <v>155</v>
      </c>
      <c r="H1081" s="13" t="s">
        <v>17</v>
      </c>
      <c r="I1081" s="13">
        <v>75604.0</v>
      </c>
      <c r="J1081" s="5" t="str">
        <f t="shared" si="1"/>
        <v>Mirella Duffy</v>
      </c>
    </row>
    <row r="1082">
      <c r="A1082" s="13">
        <v>1081.0</v>
      </c>
      <c r="B1082" s="13" t="s">
        <v>551</v>
      </c>
      <c r="C1082" s="13" t="s">
        <v>4161</v>
      </c>
      <c r="D1082" s="13" t="s">
        <v>18</v>
      </c>
      <c r="E1082" s="13" t="s">
        <v>4162</v>
      </c>
      <c r="F1082" s="13" t="s">
        <v>4163</v>
      </c>
      <c r="G1082" s="13" t="s">
        <v>172</v>
      </c>
      <c r="H1082" s="13" t="s">
        <v>16</v>
      </c>
      <c r="I1082" s="13">
        <v>10801.0</v>
      </c>
      <c r="J1082" s="5" t="str">
        <f t="shared" si="1"/>
        <v>Carson Macias</v>
      </c>
    </row>
    <row r="1083">
      <c r="A1083" s="13">
        <v>1082.0</v>
      </c>
      <c r="B1083" s="13" t="s">
        <v>4164</v>
      </c>
      <c r="C1083" s="13" t="s">
        <v>2137</v>
      </c>
      <c r="D1083" s="13" t="s">
        <v>4165</v>
      </c>
      <c r="E1083" s="13" t="s">
        <v>4166</v>
      </c>
      <c r="F1083" s="13" t="s">
        <v>4167</v>
      </c>
      <c r="G1083" s="13" t="s">
        <v>154</v>
      </c>
      <c r="H1083" s="13" t="s">
        <v>16</v>
      </c>
      <c r="I1083" s="13">
        <v>11561.0</v>
      </c>
      <c r="J1083" s="5" t="str">
        <f t="shared" si="1"/>
        <v>Divina Madden</v>
      </c>
    </row>
    <row r="1084">
      <c r="A1084" s="13">
        <v>1083.0</v>
      </c>
      <c r="B1084" s="13" t="s">
        <v>4168</v>
      </c>
      <c r="C1084" s="13" t="s">
        <v>3877</v>
      </c>
      <c r="D1084" s="13" t="s">
        <v>18</v>
      </c>
      <c r="E1084" s="13" t="s">
        <v>4169</v>
      </c>
      <c r="F1084" s="13" t="s">
        <v>4170</v>
      </c>
      <c r="G1084" s="13" t="s">
        <v>247</v>
      </c>
      <c r="H1084" s="13" t="s">
        <v>16</v>
      </c>
      <c r="I1084" s="13">
        <v>11793.0</v>
      </c>
      <c r="J1084" s="5" t="str">
        <f t="shared" si="1"/>
        <v>Cher Alston</v>
      </c>
    </row>
    <row r="1085">
      <c r="A1085" s="13">
        <v>1084.0</v>
      </c>
      <c r="B1085" s="13" t="s">
        <v>953</v>
      </c>
      <c r="C1085" s="13" t="s">
        <v>883</v>
      </c>
      <c r="D1085" s="13" t="s">
        <v>18</v>
      </c>
      <c r="E1085" s="13" t="s">
        <v>4171</v>
      </c>
      <c r="F1085" s="13" t="s">
        <v>4172</v>
      </c>
      <c r="G1085" s="13" t="s">
        <v>121</v>
      </c>
      <c r="H1085" s="13" t="s">
        <v>16</v>
      </c>
      <c r="I1085" s="13">
        <v>11010.0</v>
      </c>
      <c r="J1085" s="5" t="str">
        <f t="shared" si="1"/>
        <v>Regine Odom</v>
      </c>
    </row>
    <row r="1086">
      <c r="A1086" s="13">
        <v>1085.0</v>
      </c>
      <c r="B1086" s="13" t="s">
        <v>2796</v>
      </c>
      <c r="C1086" s="13" t="s">
        <v>2409</v>
      </c>
      <c r="D1086" s="13" t="s">
        <v>18</v>
      </c>
      <c r="E1086" s="13" t="s">
        <v>4173</v>
      </c>
      <c r="F1086" s="13" t="s">
        <v>4174</v>
      </c>
      <c r="G1086" s="13" t="s">
        <v>76</v>
      </c>
      <c r="H1086" s="13" t="s">
        <v>16</v>
      </c>
      <c r="I1086" s="13">
        <v>11722.0</v>
      </c>
      <c r="J1086" s="5" t="str">
        <f t="shared" si="1"/>
        <v>Adam Thornton</v>
      </c>
    </row>
    <row r="1087">
      <c r="A1087" s="13">
        <v>1086.0</v>
      </c>
      <c r="B1087" s="13" t="s">
        <v>4175</v>
      </c>
      <c r="C1087" s="13" t="s">
        <v>4176</v>
      </c>
      <c r="D1087" s="13" t="s">
        <v>18</v>
      </c>
      <c r="E1087" s="13" t="s">
        <v>4177</v>
      </c>
      <c r="F1087" s="13" t="s">
        <v>4178</v>
      </c>
      <c r="G1087" s="13" t="s">
        <v>144</v>
      </c>
      <c r="H1087" s="13" t="s">
        <v>16</v>
      </c>
      <c r="I1087" s="13">
        <v>11432.0</v>
      </c>
      <c r="J1087" s="5" t="str">
        <f t="shared" si="1"/>
        <v>Cori Schwartz</v>
      </c>
    </row>
    <row r="1088">
      <c r="A1088" s="13">
        <v>1087.0</v>
      </c>
      <c r="B1088" s="13" t="s">
        <v>4179</v>
      </c>
      <c r="C1088" s="13" t="s">
        <v>3195</v>
      </c>
      <c r="D1088" s="13" t="s">
        <v>18</v>
      </c>
      <c r="E1088" s="13" t="s">
        <v>4180</v>
      </c>
      <c r="F1088" s="13" t="s">
        <v>4181</v>
      </c>
      <c r="G1088" s="13" t="s">
        <v>192</v>
      </c>
      <c r="H1088" s="13" t="s">
        <v>15</v>
      </c>
      <c r="I1088" s="13">
        <v>94566.0</v>
      </c>
      <c r="J1088" s="5" t="str">
        <f t="shared" si="1"/>
        <v>Willow Gardner</v>
      </c>
    </row>
    <row r="1089">
      <c r="A1089" s="13">
        <v>1088.0</v>
      </c>
      <c r="B1089" s="13" t="s">
        <v>4182</v>
      </c>
      <c r="C1089" s="13" t="s">
        <v>2205</v>
      </c>
      <c r="D1089" s="13" t="s">
        <v>18</v>
      </c>
      <c r="E1089" s="13" t="s">
        <v>4183</v>
      </c>
      <c r="F1089" s="13" t="s">
        <v>4184</v>
      </c>
      <c r="G1089" s="13" t="s">
        <v>33</v>
      </c>
      <c r="H1089" s="13" t="s">
        <v>15</v>
      </c>
      <c r="I1089" s="13">
        <v>92307.0</v>
      </c>
      <c r="J1089" s="5" t="str">
        <f t="shared" si="1"/>
        <v>Jane Henderson</v>
      </c>
    </row>
    <row r="1090">
      <c r="A1090" s="13">
        <v>1089.0</v>
      </c>
      <c r="B1090" s="13" t="s">
        <v>1531</v>
      </c>
      <c r="C1090" s="13" t="s">
        <v>4185</v>
      </c>
      <c r="D1090" s="13" t="s">
        <v>18</v>
      </c>
      <c r="E1090" s="13" t="s">
        <v>4186</v>
      </c>
      <c r="F1090" s="13" t="s">
        <v>4187</v>
      </c>
      <c r="G1090" s="13" t="s">
        <v>182</v>
      </c>
      <c r="H1090" s="13" t="s">
        <v>16</v>
      </c>
      <c r="I1090" s="13">
        <v>14127.0</v>
      </c>
      <c r="J1090" s="5" t="str">
        <f t="shared" si="1"/>
        <v>Chere Mcfadden</v>
      </c>
    </row>
    <row r="1091">
      <c r="A1091" s="13">
        <v>1090.0</v>
      </c>
      <c r="B1091" s="13" t="s">
        <v>2799</v>
      </c>
      <c r="C1091" s="13" t="s">
        <v>1476</v>
      </c>
      <c r="D1091" s="13" t="s">
        <v>18</v>
      </c>
      <c r="E1091" s="13" t="s">
        <v>4188</v>
      </c>
      <c r="F1091" s="13" t="s">
        <v>4189</v>
      </c>
      <c r="G1091" s="13" t="s">
        <v>195</v>
      </c>
      <c r="H1091" s="13" t="s">
        <v>16</v>
      </c>
      <c r="I1091" s="13">
        <v>11776.0</v>
      </c>
      <c r="J1091" s="5" t="str">
        <f t="shared" si="1"/>
        <v>Ira Erickson</v>
      </c>
    </row>
    <row r="1092">
      <c r="A1092" s="13">
        <v>1091.0</v>
      </c>
      <c r="B1092" s="13" t="s">
        <v>4190</v>
      </c>
      <c r="C1092" s="13" t="s">
        <v>4191</v>
      </c>
      <c r="D1092" s="13" t="s">
        <v>18</v>
      </c>
      <c r="E1092" s="13" t="s">
        <v>4192</v>
      </c>
      <c r="F1092" s="13" t="s">
        <v>4193</v>
      </c>
      <c r="G1092" s="13" t="s">
        <v>205</v>
      </c>
      <c r="H1092" s="13" t="s">
        <v>15</v>
      </c>
      <c r="I1092" s="13">
        <v>95677.0</v>
      </c>
      <c r="J1092" s="5" t="str">
        <f t="shared" si="1"/>
        <v>Risa Gallagher</v>
      </c>
    </row>
    <row r="1093">
      <c r="A1093" s="13">
        <v>1092.0</v>
      </c>
      <c r="B1093" s="13" t="s">
        <v>4194</v>
      </c>
      <c r="C1093" s="13" t="s">
        <v>1472</v>
      </c>
      <c r="D1093" s="13" t="s">
        <v>18</v>
      </c>
      <c r="E1093" s="13" t="s">
        <v>4195</v>
      </c>
      <c r="F1093" s="13" t="s">
        <v>4196</v>
      </c>
      <c r="G1093" s="13" t="s">
        <v>104</v>
      </c>
      <c r="H1093" s="13" t="s">
        <v>16</v>
      </c>
      <c r="I1093" s="13">
        <v>11731.0</v>
      </c>
      <c r="J1093" s="5" t="str">
        <f t="shared" si="1"/>
        <v>Lavinia Cotton</v>
      </c>
    </row>
    <row r="1094">
      <c r="A1094" s="13">
        <v>1093.0</v>
      </c>
      <c r="B1094" s="13" t="s">
        <v>4197</v>
      </c>
      <c r="C1094" s="13" t="s">
        <v>4198</v>
      </c>
      <c r="D1094" s="13" t="s">
        <v>18</v>
      </c>
      <c r="E1094" s="13" t="s">
        <v>4199</v>
      </c>
      <c r="F1094" s="13" t="s">
        <v>4200</v>
      </c>
      <c r="G1094" s="13" t="s">
        <v>92</v>
      </c>
      <c r="H1094" s="13" t="s">
        <v>16</v>
      </c>
      <c r="I1094" s="13">
        <v>11729.0</v>
      </c>
      <c r="J1094" s="5" t="str">
        <f t="shared" si="1"/>
        <v>Alejandrina Hodges</v>
      </c>
    </row>
    <row r="1095">
      <c r="A1095" s="13">
        <v>1094.0</v>
      </c>
      <c r="B1095" s="13" t="s">
        <v>4201</v>
      </c>
      <c r="C1095" s="13" t="s">
        <v>4202</v>
      </c>
      <c r="D1095" s="13" t="s">
        <v>18</v>
      </c>
      <c r="E1095" s="13" t="s">
        <v>4203</v>
      </c>
      <c r="F1095" s="13" t="s">
        <v>4204</v>
      </c>
      <c r="G1095" s="13" t="s">
        <v>151</v>
      </c>
      <c r="H1095" s="13" t="s">
        <v>16</v>
      </c>
      <c r="I1095" s="13">
        <v>11757.0</v>
      </c>
      <c r="J1095" s="5" t="str">
        <f t="shared" si="1"/>
        <v>Keitha Black</v>
      </c>
    </row>
    <row r="1096">
      <c r="A1096" s="13">
        <v>1095.0</v>
      </c>
      <c r="B1096" s="13" t="s">
        <v>363</v>
      </c>
      <c r="C1096" s="13" t="s">
        <v>3038</v>
      </c>
      <c r="D1096" s="13" t="s">
        <v>18</v>
      </c>
      <c r="E1096" s="13" t="s">
        <v>4205</v>
      </c>
      <c r="F1096" s="13" t="s">
        <v>4206</v>
      </c>
      <c r="G1096" s="13" t="s">
        <v>200</v>
      </c>
      <c r="H1096" s="13" t="s">
        <v>16</v>
      </c>
      <c r="I1096" s="13">
        <v>11374.0</v>
      </c>
      <c r="J1096" s="5" t="str">
        <f t="shared" si="1"/>
        <v>Corene Swanson</v>
      </c>
    </row>
    <row r="1097">
      <c r="A1097" s="13">
        <v>1096.0</v>
      </c>
      <c r="B1097" s="13" t="s">
        <v>1655</v>
      </c>
      <c r="C1097" s="13" t="s">
        <v>4207</v>
      </c>
      <c r="D1097" s="13" t="s">
        <v>18</v>
      </c>
      <c r="E1097" s="13" t="s">
        <v>4208</v>
      </c>
      <c r="F1097" s="13" t="s">
        <v>4209</v>
      </c>
      <c r="G1097" s="13" t="s">
        <v>44</v>
      </c>
      <c r="H1097" s="13" t="s">
        <v>16</v>
      </c>
      <c r="I1097" s="13">
        <v>13027.0</v>
      </c>
      <c r="J1097" s="5" t="str">
        <f t="shared" si="1"/>
        <v>Tonda Webb</v>
      </c>
    </row>
    <row r="1098">
      <c r="A1098" s="13">
        <v>1097.0</v>
      </c>
      <c r="B1098" s="13" t="s">
        <v>2066</v>
      </c>
      <c r="C1098" s="13" t="s">
        <v>4210</v>
      </c>
      <c r="D1098" s="13" t="s">
        <v>18</v>
      </c>
      <c r="E1098" s="13" t="s">
        <v>4211</v>
      </c>
      <c r="F1098" s="13" t="s">
        <v>4212</v>
      </c>
      <c r="G1098" s="13" t="s">
        <v>219</v>
      </c>
      <c r="H1098" s="13" t="s">
        <v>15</v>
      </c>
      <c r="I1098" s="13">
        <v>94806.0</v>
      </c>
      <c r="J1098" s="5" t="str">
        <f t="shared" si="1"/>
        <v>Collen Dennis</v>
      </c>
    </row>
    <row r="1099">
      <c r="A1099" s="13">
        <v>1098.0</v>
      </c>
      <c r="B1099" s="13" t="s">
        <v>4213</v>
      </c>
      <c r="C1099" s="13" t="s">
        <v>2537</v>
      </c>
      <c r="D1099" s="13" t="s">
        <v>18</v>
      </c>
      <c r="E1099" s="13" t="s">
        <v>4214</v>
      </c>
      <c r="F1099" s="13" t="s">
        <v>4215</v>
      </c>
      <c r="G1099" s="13" t="s">
        <v>206</v>
      </c>
      <c r="H1099" s="13" t="s">
        <v>16</v>
      </c>
      <c r="I1099" s="13">
        <v>11570.0</v>
      </c>
      <c r="J1099" s="5" t="str">
        <f t="shared" si="1"/>
        <v>Treasa Dickerson</v>
      </c>
    </row>
    <row r="1100">
      <c r="A1100" s="13">
        <v>1099.0</v>
      </c>
      <c r="B1100" s="13" t="s">
        <v>4216</v>
      </c>
      <c r="C1100" s="13" t="s">
        <v>3252</v>
      </c>
      <c r="D1100" s="13" t="s">
        <v>18</v>
      </c>
      <c r="E1100" s="13" t="s">
        <v>4217</v>
      </c>
      <c r="F1100" s="13" t="s">
        <v>4218</v>
      </c>
      <c r="G1100" s="13" t="s">
        <v>143</v>
      </c>
      <c r="H1100" s="13" t="s">
        <v>16</v>
      </c>
      <c r="I1100" s="13">
        <v>11372.0</v>
      </c>
      <c r="J1100" s="5" t="str">
        <f t="shared" si="1"/>
        <v>Jewell Reyes</v>
      </c>
    </row>
    <row r="1101">
      <c r="A1101" s="13">
        <v>1100.0</v>
      </c>
      <c r="B1101" s="13" t="s">
        <v>4219</v>
      </c>
      <c r="C1101" s="13" t="s">
        <v>2337</v>
      </c>
      <c r="D1101" s="13" t="s">
        <v>18</v>
      </c>
      <c r="E1101" s="13" t="s">
        <v>4220</v>
      </c>
      <c r="F1101" s="13" t="s">
        <v>4221</v>
      </c>
      <c r="G1101" s="13" t="s">
        <v>46</v>
      </c>
      <c r="H1101" s="13" t="s">
        <v>16</v>
      </c>
      <c r="I1101" s="13">
        <v>12020.0</v>
      </c>
      <c r="J1101" s="5" t="str">
        <f t="shared" si="1"/>
        <v>Penny Acevedo</v>
      </c>
    </row>
    <row r="1102">
      <c r="A1102" s="13">
        <v>1101.0</v>
      </c>
      <c r="B1102" s="13" t="s">
        <v>4222</v>
      </c>
      <c r="C1102" s="13" t="s">
        <v>4223</v>
      </c>
      <c r="D1102" s="13" t="s">
        <v>18</v>
      </c>
      <c r="E1102" s="13" t="s">
        <v>4224</v>
      </c>
      <c r="F1102" s="13" t="s">
        <v>4225</v>
      </c>
      <c r="G1102" s="13" t="s">
        <v>94</v>
      </c>
      <c r="H1102" s="13" t="s">
        <v>16</v>
      </c>
      <c r="I1102" s="13">
        <v>14043.0</v>
      </c>
      <c r="J1102" s="5" t="str">
        <f t="shared" si="1"/>
        <v>Louise Flowers</v>
      </c>
    </row>
    <row r="1103">
      <c r="A1103" s="13">
        <v>1102.0</v>
      </c>
      <c r="B1103" s="13" t="s">
        <v>4226</v>
      </c>
      <c r="C1103" s="13" t="s">
        <v>2589</v>
      </c>
      <c r="D1103" s="13" t="s">
        <v>4227</v>
      </c>
      <c r="E1103" s="13" t="s">
        <v>4228</v>
      </c>
      <c r="F1103" s="13" t="s">
        <v>4229</v>
      </c>
      <c r="G1103" s="13" t="s">
        <v>120</v>
      </c>
      <c r="H1103" s="13" t="s">
        <v>17</v>
      </c>
      <c r="I1103" s="13">
        <v>76110.0</v>
      </c>
      <c r="J1103" s="5" t="str">
        <f t="shared" si="1"/>
        <v>Henrietta Wagner</v>
      </c>
    </row>
    <row r="1104">
      <c r="A1104" s="13">
        <v>1103.0</v>
      </c>
      <c r="B1104" s="13" t="s">
        <v>4230</v>
      </c>
      <c r="C1104" s="13" t="s">
        <v>3930</v>
      </c>
      <c r="D1104" s="13" t="s">
        <v>18</v>
      </c>
      <c r="E1104" s="13" t="s">
        <v>4231</v>
      </c>
      <c r="F1104" s="13" t="s">
        <v>4232</v>
      </c>
      <c r="G1104" s="13" t="s">
        <v>70</v>
      </c>
      <c r="H1104" s="13" t="s">
        <v>15</v>
      </c>
      <c r="I1104" s="13">
        <v>91387.0</v>
      </c>
      <c r="J1104" s="5" t="str">
        <f t="shared" si="1"/>
        <v>Ardelia Cooley</v>
      </c>
    </row>
    <row r="1105">
      <c r="A1105" s="13">
        <v>1104.0</v>
      </c>
      <c r="B1105" s="13" t="s">
        <v>4233</v>
      </c>
      <c r="C1105" s="13" t="s">
        <v>2272</v>
      </c>
      <c r="D1105" s="13" t="s">
        <v>18</v>
      </c>
      <c r="E1105" s="13" t="s">
        <v>4234</v>
      </c>
      <c r="F1105" s="13" t="s">
        <v>4235</v>
      </c>
      <c r="G1105" s="13" t="s">
        <v>232</v>
      </c>
      <c r="H1105" s="13" t="s">
        <v>16</v>
      </c>
      <c r="I1105" s="13">
        <v>10977.0</v>
      </c>
      <c r="J1105" s="5" t="str">
        <f t="shared" si="1"/>
        <v>Khalilah Robertson</v>
      </c>
    </row>
    <row r="1106">
      <c r="A1106" s="13">
        <v>1105.0</v>
      </c>
      <c r="B1106" s="13" t="s">
        <v>4236</v>
      </c>
      <c r="C1106" s="13" t="s">
        <v>4202</v>
      </c>
      <c r="D1106" s="13" t="s">
        <v>18</v>
      </c>
      <c r="E1106" s="13" t="s">
        <v>4237</v>
      </c>
      <c r="F1106" s="13" t="s">
        <v>4238</v>
      </c>
      <c r="G1106" s="13" t="s">
        <v>201</v>
      </c>
      <c r="H1106" s="13" t="s">
        <v>17</v>
      </c>
      <c r="I1106" s="13">
        <v>75080.0</v>
      </c>
      <c r="J1106" s="5" t="str">
        <f t="shared" si="1"/>
        <v>Armando Black</v>
      </c>
    </row>
    <row r="1107">
      <c r="A1107" s="13">
        <v>1106.0</v>
      </c>
      <c r="B1107" s="13" t="s">
        <v>4098</v>
      </c>
      <c r="C1107" s="13" t="s">
        <v>499</v>
      </c>
      <c r="D1107" s="13" t="s">
        <v>18</v>
      </c>
      <c r="E1107" s="13" t="s">
        <v>4239</v>
      </c>
      <c r="F1107" s="13" t="s">
        <v>4240</v>
      </c>
      <c r="G1107" s="13" t="s">
        <v>232</v>
      </c>
      <c r="H1107" s="13" t="s">
        <v>16</v>
      </c>
      <c r="I1107" s="13">
        <v>10977.0</v>
      </c>
      <c r="J1107" s="5" t="str">
        <f t="shared" si="1"/>
        <v>Jerri Henry</v>
      </c>
    </row>
    <row r="1108">
      <c r="A1108" s="13">
        <v>1107.0</v>
      </c>
      <c r="B1108" s="13" t="s">
        <v>4241</v>
      </c>
      <c r="C1108" s="13" t="s">
        <v>306</v>
      </c>
      <c r="D1108" s="13" t="s">
        <v>18</v>
      </c>
      <c r="E1108" s="13" t="s">
        <v>4242</v>
      </c>
      <c r="F1108" s="13" t="s">
        <v>4243</v>
      </c>
      <c r="G1108" s="13" t="s">
        <v>223</v>
      </c>
      <c r="H1108" s="13" t="s">
        <v>16</v>
      </c>
      <c r="I1108" s="13">
        <v>12866.0</v>
      </c>
      <c r="J1108" s="5" t="str">
        <f t="shared" si="1"/>
        <v>Lynda Newman</v>
      </c>
    </row>
    <row r="1109">
      <c r="A1109" s="13">
        <v>1108.0</v>
      </c>
      <c r="B1109" s="13" t="s">
        <v>4244</v>
      </c>
      <c r="C1109" s="13" t="s">
        <v>3141</v>
      </c>
      <c r="D1109" s="13" t="s">
        <v>18</v>
      </c>
      <c r="E1109" s="13" t="s">
        <v>4245</v>
      </c>
      <c r="F1109" s="13" t="s">
        <v>4246</v>
      </c>
      <c r="G1109" s="13" t="s">
        <v>96</v>
      </c>
      <c r="H1109" s="13" t="s">
        <v>17</v>
      </c>
      <c r="I1109" s="13">
        <v>75115.0</v>
      </c>
      <c r="J1109" s="5" t="str">
        <f t="shared" si="1"/>
        <v>Bao Wade</v>
      </c>
    </row>
    <row r="1110">
      <c r="A1110" s="13">
        <v>1109.0</v>
      </c>
      <c r="B1110" s="13" t="s">
        <v>4247</v>
      </c>
      <c r="C1110" s="13" t="s">
        <v>1074</v>
      </c>
      <c r="D1110" s="13" t="s">
        <v>18</v>
      </c>
      <c r="E1110" s="13" t="s">
        <v>4248</v>
      </c>
      <c r="F1110" s="13" t="s">
        <v>4249</v>
      </c>
      <c r="G1110" s="13" t="s">
        <v>92</v>
      </c>
      <c r="H1110" s="13" t="s">
        <v>16</v>
      </c>
      <c r="I1110" s="13">
        <v>11729.0</v>
      </c>
      <c r="J1110" s="5" t="str">
        <f t="shared" si="1"/>
        <v>Gussie Harding</v>
      </c>
    </row>
    <row r="1111">
      <c r="A1111" s="13">
        <v>1110.0</v>
      </c>
      <c r="B1111" s="13" t="s">
        <v>2467</v>
      </c>
      <c r="C1111" s="13" t="s">
        <v>899</v>
      </c>
      <c r="D1111" s="13" t="s">
        <v>18</v>
      </c>
      <c r="E1111" s="13" t="s">
        <v>4250</v>
      </c>
      <c r="F1111" s="13" t="s">
        <v>4251</v>
      </c>
      <c r="G1111" s="13" t="s">
        <v>251</v>
      </c>
      <c r="H1111" s="13" t="s">
        <v>16</v>
      </c>
      <c r="I1111" s="13">
        <v>11552.0</v>
      </c>
      <c r="J1111" s="5" t="str">
        <f t="shared" si="1"/>
        <v>Shirely Cantrell</v>
      </c>
    </row>
    <row r="1112">
      <c r="A1112" s="13">
        <v>1111.0</v>
      </c>
      <c r="B1112" s="13" t="s">
        <v>4252</v>
      </c>
      <c r="C1112" s="13" t="s">
        <v>1510</v>
      </c>
      <c r="D1112" s="13" t="s">
        <v>18</v>
      </c>
      <c r="E1112" s="13" t="s">
        <v>4253</v>
      </c>
      <c r="F1112" s="13" t="s">
        <v>4254</v>
      </c>
      <c r="G1112" s="13" t="s">
        <v>201</v>
      </c>
      <c r="H1112" s="13" t="s">
        <v>17</v>
      </c>
      <c r="I1112" s="13">
        <v>75080.0</v>
      </c>
      <c r="J1112" s="5" t="str">
        <f t="shared" si="1"/>
        <v>Caroline Jenkins</v>
      </c>
    </row>
    <row r="1113">
      <c r="A1113" s="13">
        <v>1112.0</v>
      </c>
      <c r="B1113" s="13" t="s">
        <v>136</v>
      </c>
      <c r="C1113" s="13" t="s">
        <v>1195</v>
      </c>
      <c r="D1113" s="13" t="s">
        <v>18</v>
      </c>
      <c r="E1113" s="13" t="s">
        <v>4255</v>
      </c>
      <c r="F1113" s="13" t="s">
        <v>4256</v>
      </c>
      <c r="G1113" s="13" t="s">
        <v>160</v>
      </c>
      <c r="H1113" s="13" t="s">
        <v>16</v>
      </c>
      <c r="I1113" s="13">
        <v>11758.0</v>
      </c>
      <c r="J1113" s="5" t="str">
        <f t="shared" si="1"/>
        <v>Hollis Rasmussen</v>
      </c>
    </row>
    <row r="1114">
      <c r="A1114" s="13">
        <v>1113.0</v>
      </c>
      <c r="B1114" s="13" t="s">
        <v>4257</v>
      </c>
      <c r="C1114" s="13" t="s">
        <v>4258</v>
      </c>
      <c r="D1114" s="13" t="s">
        <v>18</v>
      </c>
      <c r="E1114" s="13" t="s">
        <v>4259</v>
      </c>
      <c r="F1114" s="13" t="s">
        <v>4260</v>
      </c>
      <c r="G1114" s="13" t="s">
        <v>145</v>
      </c>
      <c r="H1114" s="13" t="s">
        <v>16</v>
      </c>
      <c r="I1114" s="13">
        <v>14701.0</v>
      </c>
      <c r="J1114" s="5" t="str">
        <f t="shared" si="1"/>
        <v>Kendra Harrington</v>
      </c>
    </row>
    <row r="1115">
      <c r="A1115" s="13">
        <v>1114.0</v>
      </c>
      <c r="B1115" s="13" t="s">
        <v>1947</v>
      </c>
      <c r="C1115" s="13" t="s">
        <v>1100</v>
      </c>
      <c r="D1115" s="13" t="s">
        <v>4261</v>
      </c>
      <c r="E1115" s="13" t="s">
        <v>4262</v>
      </c>
      <c r="F1115" s="13" t="s">
        <v>4263</v>
      </c>
      <c r="G1115" s="13" t="s">
        <v>25</v>
      </c>
      <c r="H1115" s="13" t="s">
        <v>16</v>
      </c>
      <c r="I1115" s="13">
        <v>12203.0</v>
      </c>
      <c r="J1115" s="5" t="str">
        <f t="shared" si="1"/>
        <v>Douglass Blankenship</v>
      </c>
    </row>
    <row r="1116">
      <c r="A1116" s="13">
        <v>1115.0</v>
      </c>
      <c r="B1116" s="13" t="s">
        <v>4264</v>
      </c>
      <c r="C1116" s="13" t="s">
        <v>4265</v>
      </c>
      <c r="D1116" s="13" t="s">
        <v>18</v>
      </c>
      <c r="E1116" s="13" t="s">
        <v>4266</v>
      </c>
      <c r="F1116" s="13" t="s">
        <v>4267</v>
      </c>
      <c r="G1116" s="13" t="s">
        <v>128</v>
      </c>
      <c r="H1116" s="13" t="s">
        <v>16</v>
      </c>
      <c r="I1116" s="13">
        <v>11542.0</v>
      </c>
      <c r="J1116" s="5" t="str">
        <f t="shared" si="1"/>
        <v>Lina Meadows</v>
      </c>
    </row>
    <row r="1117">
      <c r="A1117" s="13">
        <v>1116.0</v>
      </c>
      <c r="B1117" s="13" t="s">
        <v>4268</v>
      </c>
      <c r="C1117" s="13" t="s">
        <v>4269</v>
      </c>
      <c r="D1117" s="13" t="s">
        <v>18</v>
      </c>
      <c r="E1117" s="13" t="s">
        <v>4270</v>
      </c>
      <c r="F1117" s="13" t="s">
        <v>4271</v>
      </c>
      <c r="G1117" s="13" t="s">
        <v>34</v>
      </c>
      <c r="H1117" s="13" t="s">
        <v>16</v>
      </c>
      <c r="I1117" s="13">
        <v>11102.0</v>
      </c>
      <c r="J1117" s="5" t="str">
        <f t="shared" si="1"/>
        <v>Patria Harper</v>
      </c>
    </row>
    <row r="1118">
      <c r="A1118" s="13">
        <v>1117.0</v>
      </c>
      <c r="B1118" s="13" t="s">
        <v>4272</v>
      </c>
      <c r="C1118" s="13" t="s">
        <v>765</v>
      </c>
      <c r="D1118" s="13" t="s">
        <v>18</v>
      </c>
      <c r="E1118" s="13" t="s">
        <v>4273</v>
      </c>
      <c r="F1118" s="13" t="s">
        <v>4274</v>
      </c>
      <c r="G1118" s="13" t="s">
        <v>209</v>
      </c>
      <c r="H1118" s="13" t="s">
        <v>16</v>
      </c>
      <c r="I1118" s="13">
        <v>11422.0</v>
      </c>
      <c r="J1118" s="5" t="str">
        <f t="shared" si="1"/>
        <v>Jeffrey Hill</v>
      </c>
    </row>
    <row r="1119">
      <c r="A1119" s="13">
        <v>1118.0</v>
      </c>
      <c r="B1119" s="13" t="s">
        <v>4275</v>
      </c>
      <c r="C1119" s="13" t="s">
        <v>749</v>
      </c>
      <c r="D1119" s="13" t="s">
        <v>18</v>
      </c>
      <c r="E1119" s="13" t="s">
        <v>4276</v>
      </c>
      <c r="F1119" s="13" t="s">
        <v>4277</v>
      </c>
      <c r="G1119" s="13" t="s">
        <v>70</v>
      </c>
      <c r="H1119" s="13" t="s">
        <v>15</v>
      </c>
      <c r="I1119" s="13">
        <v>91387.0</v>
      </c>
      <c r="J1119" s="5" t="str">
        <f t="shared" si="1"/>
        <v>Ja Dillard</v>
      </c>
    </row>
    <row r="1120">
      <c r="A1120" s="13">
        <v>1119.0</v>
      </c>
      <c r="B1120" s="13" t="s">
        <v>4278</v>
      </c>
      <c r="C1120" s="13" t="s">
        <v>4279</v>
      </c>
      <c r="D1120" s="13" t="s">
        <v>18</v>
      </c>
      <c r="E1120" s="13" t="s">
        <v>4280</v>
      </c>
      <c r="F1120" s="13" t="s">
        <v>4281</v>
      </c>
      <c r="G1120" s="13" t="s">
        <v>166</v>
      </c>
      <c r="H1120" s="13" t="s">
        <v>16</v>
      </c>
      <c r="I1120" s="13">
        <v>10952.0</v>
      </c>
      <c r="J1120" s="5" t="str">
        <f t="shared" si="1"/>
        <v>Tora Dunlap</v>
      </c>
    </row>
    <row r="1121">
      <c r="A1121" s="13">
        <v>1120.0</v>
      </c>
      <c r="B1121" s="13" t="s">
        <v>4282</v>
      </c>
      <c r="C1121" s="13" t="s">
        <v>1552</v>
      </c>
      <c r="D1121" s="13" t="s">
        <v>18</v>
      </c>
      <c r="E1121" s="13" t="s">
        <v>4283</v>
      </c>
      <c r="F1121" s="13" t="s">
        <v>4284</v>
      </c>
      <c r="G1121" s="13" t="s">
        <v>104</v>
      </c>
      <c r="H1121" s="13" t="s">
        <v>16</v>
      </c>
      <c r="I1121" s="13">
        <v>11731.0</v>
      </c>
      <c r="J1121" s="5" t="str">
        <f t="shared" si="1"/>
        <v>Karole Alvarez</v>
      </c>
    </row>
    <row r="1122">
      <c r="A1122" s="13">
        <v>1121.0</v>
      </c>
      <c r="B1122" s="13" t="s">
        <v>4285</v>
      </c>
      <c r="C1122" s="13" t="s">
        <v>4286</v>
      </c>
      <c r="D1122" s="13" t="s">
        <v>18</v>
      </c>
      <c r="E1122" s="13" t="s">
        <v>4287</v>
      </c>
      <c r="F1122" s="13" t="s">
        <v>4288</v>
      </c>
      <c r="G1122" s="13" t="s">
        <v>258</v>
      </c>
      <c r="H1122" s="13" t="s">
        <v>16</v>
      </c>
      <c r="I1122" s="13">
        <v>10598.0</v>
      </c>
      <c r="J1122" s="5" t="str">
        <f t="shared" si="1"/>
        <v>Shasta Combs</v>
      </c>
    </row>
    <row r="1123">
      <c r="A1123" s="13">
        <v>1122.0</v>
      </c>
      <c r="B1123" s="13" t="s">
        <v>4289</v>
      </c>
      <c r="C1123" s="13" t="s">
        <v>1227</v>
      </c>
      <c r="D1123" s="13" t="s">
        <v>18</v>
      </c>
      <c r="E1123" s="13" t="s">
        <v>4290</v>
      </c>
      <c r="F1123" s="13" t="s">
        <v>4291</v>
      </c>
      <c r="G1123" s="13" t="s">
        <v>161</v>
      </c>
      <c r="H1123" s="13" t="s">
        <v>16</v>
      </c>
      <c r="I1123" s="13">
        <v>11762.0</v>
      </c>
      <c r="J1123" s="5" t="str">
        <f t="shared" si="1"/>
        <v>Cicely Deleon</v>
      </c>
    </row>
    <row r="1124">
      <c r="A1124" s="13">
        <v>1123.0</v>
      </c>
      <c r="B1124" s="13" t="s">
        <v>4292</v>
      </c>
      <c r="C1124" s="13" t="s">
        <v>3618</v>
      </c>
      <c r="D1124" s="13" t="s">
        <v>18</v>
      </c>
      <c r="E1124" s="13" t="s">
        <v>4293</v>
      </c>
      <c r="F1124" s="13" t="s">
        <v>4294</v>
      </c>
      <c r="G1124" s="13" t="s">
        <v>113</v>
      </c>
      <c r="H1124" s="13" t="s">
        <v>16</v>
      </c>
      <c r="I1124" s="13">
        <v>14450.0</v>
      </c>
      <c r="J1124" s="5" t="str">
        <f t="shared" si="1"/>
        <v>Raphael O'neil</v>
      </c>
    </row>
    <row r="1125">
      <c r="A1125" s="13">
        <v>1124.0</v>
      </c>
      <c r="B1125" s="13" t="s">
        <v>4295</v>
      </c>
      <c r="C1125" s="13" t="s">
        <v>4296</v>
      </c>
      <c r="D1125" s="13" t="s">
        <v>18</v>
      </c>
      <c r="E1125" s="13" t="s">
        <v>4297</v>
      </c>
      <c r="F1125" s="13" t="s">
        <v>4298</v>
      </c>
      <c r="G1125" s="13" t="s">
        <v>29</v>
      </c>
      <c r="H1125" s="13" t="s">
        <v>16</v>
      </c>
      <c r="I1125" s="13">
        <v>11701.0</v>
      </c>
      <c r="J1125" s="5" t="str">
        <f t="shared" si="1"/>
        <v>Hubert Reilly</v>
      </c>
    </row>
    <row r="1126">
      <c r="A1126" s="13">
        <v>1125.0</v>
      </c>
      <c r="B1126" s="13" t="s">
        <v>4299</v>
      </c>
      <c r="C1126" s="13" t="s">
        <v>4300</v>
      </c>
      <c r="D1126" s="13" t="s">
        <v>18</v>
      </c>
      <c r="E1126" s="13" t="s">
        <v>4301</v>
      </c>
      <c r="F1126" s="13" t="s">
        <v>4302</v>
      </c>
      <c r="G1126" s="13" t="s">
        <v>192</v>
      </c>
      <c r="H1126" s="13" t="s">
        <v>15</v>
      </c>
      <c r="I1126" s="13">
        <v>94566.0</v>
      </c>
      <c r="J1126" s="5" t="str">
        <f t="shared" si="1"/>
        <v>Caleb England</v>
      </c>
    </row>
    <row r="1127">
      <c r="A1127" s="13">
        <v>1126.0</v>
      </c>
      <c r="B1127" s="13" t="s">
        <v>4303</v>
      </c>
      <c r="C1127" s="13" t="s">
        <v>4304</v>
      </c>
      <c r="D1127" s="13" t="s">
        <v>18</v>
      </c>
      <c r="E1127" s="13" t="s">
        <v>4305</v>
      </c>
      <c r="F1127" s="13" t="s">
        <v>4306</v>
      </c>
      <c r="G1127" s="13" t="s">
        <v>232</v>
      </c>
      <c r="H1127" s="13" t="s">
        <v>16</v>
      </c>
      <c r="I1127" s="13">
        <v>10977.0</v>
      </c>
      <c r="J1127" s="5" t="str">
        <f t="shared" si="1"/>
        <v>Elmira Levy</v>
      </c>
    </row>
    <row r="1128">
      <c r="A1128" s="13">
        <v>1127.0</v>
      </c>
      <c r="B1128" s="13" t="s">
        <v>4307</v>
      </c>
      <c r="C1128" s="13" t="s">
        <v>2944</v>
      </c>
      <c r="D1128" s="13" t="s">
        <v>18</v>
      </c>
      <c r="E1128" s="13" t="s">
        <v>4308</v>
      </c>
      <c r="F1128" s="13" t="s">
        <v>4309</v>
      </c>
      <c r="G1128" s="13" t="s">
        <v>198</v>
      </c>
      <c r="H1128" s="13" t="s">
        <v>16</v>
      </c>
      <c r="I1128" s="13">
        <v>12804.0</v>
      </c>
      <c r="J1128" s="5" t="str">
        <f t="shared" si="1"/>
        <v>Waldo Hart</v>
      </c>
    </row>
    <row r="1129">
      <c r="A1129" s="13">
        <v>1128.0</v>
      </c>
      <c r="B1129" s="13" t="s">
        <v>4310</v>
      </c>
      <c r="C1129" s="13" t="s">
        <v>4311</v>
      </c>
      <c r="D1129" s="13" t="s">
        <v>18</v>
      </c>
      <c r="E1129" s="13" t="s">
        <v>4312</v>
      </c>
      <c r="F1129" s="13" t="s">
        <v>4313</v>
      </c>
      <c r="G1129" s="13" t="s">
        <v>158</v>
      </c>
      <c r="H1129" s="13" t="s">
        <v>16</v>
      </c>
      <c r="I1129" s="13">
        <v>10541.0</v>
      </c>
      <c r="J1129" s="5" t="str">
        <f t="shared" si="1"/>
        <v>Bea Kane</v>
      </c>
    </row>
    <row r="1130">
      <c r="A1130" s="13">
        <v>1129.0</v>
      </c>
      <c r="B1130" s="13" t="s">
        <v>1490</v>
      </c>
      <c r="C1130" s="13" t="s">
        <v>3239</v>
      </c>
      <c r="D1130" s="13" t="s">
        <v>18</v>
      </c>
      <c r="E1130" s="13" t="s">
        <v>4314</v>
      </c>
      <c r="F1130" s="13" t="s">
        <v>4315</v>
      </c>
      <c r="G1130" s="13" t="s">
        <v>256</v>
      </c>
      <c r="H1130" s="13" t="s">
        <v>16</v>
      </c>
      <c r="I1130" s="13">
        <v>11377.0</v>
      </c>
      <c r="J1130" s="5" t="str">
        <f t="shared" si="1"/>
        <v>Gilberto Sanders</v>
      </c>
    </row>
    <row r="1131">
      <c r="A1131" s="13">
        <v>1130.0</v>
      </c>
      <c r="B1131" s="13" t="s">
        <v>4316</v>
      </c>
      <c r="C1131" s="13" t="s">
        <v>3739</v>
      </c>
      <c r="D1131" s="13" t="s">
        <v>18</v>
      </c>
      <c r="E1131" s="13" t="s">
        <v>4317</v>
      </c>
      <c r="F1131" s="13" t="s">
        <v>4318</v>
      </c>
      <c r="G1131" s="13" t="s">
        <v>109</v>
      </c>
      <c r="H1131" s="13" t="s">
        <v>16</v>
      </c>
      <c r="I1131" s="13">
        <v>11003.0</v>
      </c>
      <c r="J1131" s="5" t="str">
        <f t="shared" si="1"/>
        <v>Benny Bender</v>
      </c>
    </row>
    <row r="1132">
      <c r="A1132" s="13">
        <v>1131.0</v>
      </c>
      <c r="B1132" s="13" t="s">
        <v>4319</v>
      </c>
      <c r="C1132" s="13" t="s">
        <v>4320</v>
      </c>
      <c r="D1132" s="13" t="s">
        <v>18</v>
      </c>
      <c r="E1132" s="13" t="s">
        <v>4321</v>
      </c>
      <c r="F1132" s="13" t="s">
        <v>4322</v>
      </c>
      <c r="G1132" s="13" t="s">
        <v>167</v>
      </c>
      <c r="H1132" s="13" t="s">
        <v>16</v>
      </c>
      <c r="I1132" s="13">
        <v>10550.0</v>
      </c>
      <c r="J1132" s="5" t="str">
        <f t="shared" si="1"/>
        <v>Desmond Rose</v>
      </c>
    </row>
    <row r="1133">
      <c r="A1133" s="13">
        <v>1132.0</v>
      </c>
      <c r="B1133" s="13" t="s">
        <v>4068</v>
      </c>
      <c r="C1133" s="13" t="s">
        <v>4323</v>
      </c>
      <c r="D1133" s="13" t="s">
        <v>18</v>
      </c>
      <c r="E1133" s="13" t="s">
        <v>4324</v>
      </c>
      <c r="F1133" s="13" t="s">
        <v>4325</v>
      </c>
      <c r="G1133" s="13" t="s">
        <v>142</v>
      </c>
      <c r="H1133" s="13" t="s">
        <v>16</v>
      </c>
      <c r="I1133" s="13">
        <v>14850.0</v>
      </c>
      <c r="J1133" s="5" t="str">
        <f t="shared" si="1"/>
        <v>Parthenia Holman</v>
      </c>
    </row>
    <row r="1134">
      <c r="A1134" s="13">
        <v>1133.0</v>
      </c>
      <c r="B1134" s="13" t="s">
        <v>4326</v>
      </c>
      <c r="C1134" s="13" t="s">
        <v>1088</v>
      </c>
      <c r="D1134" s="13" t="s">
        <v>18</v>
      </c>
      <c r="E1134" s="13" t="s">
        <v>4327</v>
      </c>
      <c r="F1134" s="13" t="s">
        <v>4328</v>
      </c>
      <c r="G1134" s="13" t="s">
        <v>252</v>
      </c>
      <c r="H1134" s="13" t="s">
        <v>16</v>
      </c>
      <c r="I1134" s="13">
        <v>11795.0</v>
      </c>
      <c r="J1134" s="5" t="str">
        <f t="shared" si="1"/>
        <v>Dung King</v>
      </c>
    </row>
    <row r="1135">
      <c r="A1135" s="13">
        <v>1134.0</v>
      </c>
      <c r="B1135" s="13" t="s">
        <v>4329</v>
      </c>
      <c r="C1135" s="13" t="s">
        <v>2161</v>
      </c>
      <c r="D1135" s="13" t="s">
        <v>18</v>
      </c>
      <c r="E1135" s="13" t="s">
        <v>4330</v>
      </c>
      <c r="F1135" s="13" t="s">
        <v>4331</v>
      </c>
      <c r="G1135" s="13" t="s">
        <v>96</v>
      </c>
      <c r="H1135" s="13" t="s">
        <v>17</v>
      </c>
      <c r="I1135" s="13">
        <v>75115.0</v>
      </c>
      <c r="J1135" s="5" t="str">
        <f t="shared" si="1"/>
        <v>Sherril Alvarado</v>
      </c>
    </row>
    <row r="1136">
      <c r="A1136" s="13">
        <v>1135.0</v>
      </c>
      <c r="B1136" s="13" t="s">
        <v>4332</v>
      </c>
      <c r="C1136" s="13" t="s">
        <v>389</v>
      </c>
      <c r="D1136" s="13" t="s">
        <v>18</v>
      </c>
      <c r="E1136" s="13" t="s">
        <v>4333</v>
      </c>
      <c r="F1136" s="13" t="s">
        <v>4334</v>
      </c>
      <c r="G1136" s="13" t="s">
        <v>127</v>
      </c>
      <c r="H1136" s="13" t="s">
        <v>17</v>
      </c>
      <c r="I1136" s="13">
        <v>75043.0</v>
      </c>
      <c r="J1136" s="5" t="str">
        <f t="shared" si="1"/>
        <v>Alisia Albert</v>
      </c>
    </row>
    <row r="1137">
      <c r="A1137" s="13">
        <v>1136.0</v>
      </c>
      <c r="B1137" s="13" t="s">
        <v>4335</v>
      </c>
      <c r="C1137" s="13" t="s">
        <v>4336</v>
      </c>
      <c r="D1137" s="13" t="s">
        <v>4337</v>
      </c>
      <c r="E1137" s="13" t="s">
        <v>4338</v>
      </c>
      <c r="F1137" s="13" t="s">
        <v>4339</v>
      </c>
      <c r="G1137" s="13" t="s">
        <v>204</v>
      </c>
      <c r="H1137" s="13" t="s">
        <v>16</v>
      </c>
      <c r="I1137" s="13">
        <v>14606.0</v>
      </c>
      <c r="J1137" s="5" t="str">
        <f t="shared" si="1"/>
        <v>Kallie Best</v>
      </c>
    </row>
    <row r="1138">
      <c r="A1138" s="13">
        <v>1137.0</v>
      </c>
      <c r="B1138" s="13" t="s">
        <v>4340</v>
      </c>
      <c r="C1138" s="13" t="s">
        <v>1864</v>
      </c>
      <c r="D1138" s="13" t="s">
        <v>18</v>
      </c>
      <c r="E1138" s="13" t="s">
        <v>4341</v>
      </c>
      <c r="F1138" s="13" t="s">
        <v>4342</v>
      </c>
      <c r="G1138" s="13" t="s">
        <v>196</v>
      </c>
      <c r="H1138" s="13" t="s">
        <v>16</v>
      </c>
      <c r="I1138" s="13">
        <v>11050.0</v>
      </c>
      <c r="J1138" s="5" t="str">
        <f t="shared" si="1"/>
        <v>Dottie Roberts</v>
      </c>
    </row>
    <row r="1139">
      <c r="A1139" s="13">
        <v>1138.0</v>
      </c>
      <c r="B1139" s="13" t="s">
        <v>4295</v>
      </c>
      <c r="C1139" s="13" t="s">
        <v>774</v>
      </c>
      <c r="D1139" s="13" t="s">
        <v>18</v>
      </c>
      <c r="E1139" s="13" t="s">
        <v>4343</v>
      </c>
      <c r="F1139" s="13" t="s">
        <v>4344</v>
      </c>
      <c r="G1139" s="13" t="s">
        <v>203</v>
      </c>
      <c r="H1139" s="13" t="s">
        <v>15</v>
      </c>
      <c r="I1139" s="13">
        <v>93555.0</v>
      </c>
      <c r="J1139" s="5" t="str">
        <f t="shared" si="1"/>
        <v>Hubert Stone</v>
      </c>
    </row>
    <row r="1140">
      <c r="A1140" s="13">
        <v>1139.0</v>
      </c>
      <c r="B1140" s="13" t="s">
        <v>4345</v>
      </c>
      <c r="C1140" s="13" t="s">
        <v>4036</v>
      </c>
      <c r="D1140" s="13" t="s">
        <v>18</v>
      </c>
      <c r="E1140" s="13" t="s">
        <v>4346</v>
      </c>
      <c r="F1140" s="13" t="s">
        <v>4347</v>
      </c>
      <c r="G1140" s="13" t="s">
        <v>167</v>
      </c>
      <c r="H1140" s="13" t="s">
        <v>16</v>
      </c>
      <c r="I1140" s="13">
        <v>10550.0</v>
      </c>
      <c r="J1140" s="5" t="str">
        <f t="shared" si="1"/>
        <v>Gabriella Jones</v>
      </c>
    </row>
    <row r="1141">
      <c r="A1141" s="13">
        <v>1140.0</v>
      </c>
      <c r="B1141" s="13" t="s">
        <v>4348</v>
      </c>
      <c r="C1141" s="13" t="s">
        <v>4349</v>
      </c>
      <c r="D1141" s="13" t="s">
        <v>18</v>
      </c>
      <c r="E1141" s="13" t="s">
        <v>4350</v>
      </c>
      <c r="F1141" s="13" t="s">
        <v>4351</v>
      </c>
      <c r="G1141" s="13" t="s">
        <v>152</v>
      </c>
      <c r="H1141" s="13" t="s">
        <v>16</v>
      </c>
      <c r="I1141" s="13">
        <v>13090.0</v>
      </c>
      <c r="J1141" s="5" t="str">
        <f t="shared" si="1"/>
        <v>Penney Hall</v>
      </c>
    </row>
    <row r="1142">
      <c r="A1142" s="13">
        <v>1141.0</v>
      </c>
      <c r="B1142" s="13" t="s">
        <v>4352</v>
      </c>
      <c r="C1142" s="13" t="s">
        <v>628</v>
      </c>
      <c r="D1142" s="13" t="s">
        <v>18</v>
      </c>
      <c r="E1142" s="13" t="s">
        <v>4353</v>
      </c>
      <c r="F1142" s="13" t="s">
        <v>4354</v>
      </c>
      <c r="G1142" s="13" t="s">
        <v>175</v>
      </c>
      <c r="H1142" s="13" t="s">
        <v>16</v>
      </c>
      <c r="I1142" s="13">
        <v>12550.0</v>
      </c>
      <c r="J1142" s="5" t="str">
        <f t="shared" si="1"/>
        <v>Mallie Osborn</v>
      </c>
    </row>
    <row r="1143">
      <c r="A1143" s="13">
        <v>1142.0</v>
      </c>
      <c r="B1143" s="13" t="s">
        <v>4355</v>
      </c>
      <c r="C1143" s="13" t="s">
        <v>2290</v>
      </c>
      <c r="D1143" s="13" t="s">
        <v>18</v>
      </c>
      <c r="E1143" s="13" t="s">
        <v>4356</v>
      </c>
      <c r="F1143" s="13" t="s">
        <v>4357</v>
      </c>
      <c r="G1143" s="13" t="s">
        <v>189</v>
      </c>
      <c r="H1143" s="13" t="s">
        <v>16</v>
      </c>
      <c r="I1143" s="13">
        <v>14534.0</v>
      </c>
      <c r="J1143" s="5" t="str">
        <f t="shared" si="1"/>
        <v>Britteny Schroeder</v>
      </c>
    </row>
    <row r="1144">
      <c r="A1144" s="13">
        <v>1143.0</v>
      </c>
      <c r="B1144" s="13" t="s">
        <v>4358</v>
      </c>
      <c r="C1144" s="13" t="s">
        <v>650</v>
      </c>
      <c r="D1144" s="13" t="s">
        <v>18</v>
      </c>
      <c r="E1144" s="13" t="s">
        <v>4359</v>
      </c>
      <c r="F1144" s="13" t="s">
        <v>4360</v>
      </c>
      <c r="G1144" s="13" t="s">
        <v>238</v>
      </c>
      <c r="H1144" s="13" t="s">
        <v>16</v>
      </c>
      <c r="I1144" s="13">
        <v>14150.0</v>
      </c>
      <c r="J1144" s="5" t="str">
        <f t="shared" si="1"/>
        <v>Sommer Hopkins</v>
      </c>
    </row>
    <row r="1145">
      <c r="A1145" s="13">
        <v>1144.0</v>
      </c>
      <c r="B1145" s="13" t="s">
        <v>4361</v>
      </c>
      <c r="C1145" s="13" t="s">
        <v>4362</v>
      </c>
      <c r="D1145" s="13" t="s">
        <v>18</v>
      </c>
      <c r="E1145" s="13" t="s">
        <v>4363</v>
      </c>
      <c r="F1145" s="13" t="s">
        <v>4364</v>
      </c>
      <c r="G1145" s="13" t="s">
        <v>179</v>
      </c>
      <c r="H1145" s="13" t="s">
        <v>16</v>
      </c>
      <c r="I1145" s="13">
        <v>11364.0</v>
      </c>
      <c r="J1145" s="5" t="str">
        <f t="shared" si="1"/>
        <v>Jewel Sparks</v>
      </c>
    </row>
    <row r="1146">
      <c r="A1146" s="13">
        <v>1145.0</v>
      </c>
      <c r="B1146" s="13" t="s">
        <v>4365</v>
      </c>
      <c r="C1146" s="13" t="s">
        <v>530</v>
      </c>
      <c r="D1146" s="13" t="s">
        <v>4366</v>
      </c>
      <c r="E1146" s="13" t="s">
        <v>4367</v>
      </c>
      <c r="F1146" s="13" t="s">
        <v>4368</v>
      </c>
      <c r="G1146" s="13" t="s">
        <v>257</v>
      </c>
      <c r="H1146" s="13" t="s">
        <v>16</v>
      </c>
      <c r="I1146" s="13">
        <v>10701.0</v>
      </c>
      <c r="J1146" s="5" t="str">
        <f t="shared" si="1"/>
        <v>Deandrea Vega</v>
      </c>
    </row>
    <row r="1147">
      <c r="A1147" s="13">
        <v>1146.0</v>
      </c>
      <c r="B1147" s="13" t="s">
        <v>4369</v>
      </c>
      <c r="C1147" s="13" t="s">
        <v>551</v>
      </c>
      <c r="D1147" s="13" t="s">
        <v>18</v>
      </c>
      <c r="E1147" s="13" t="s">
        <v>4370</v>
      </c>
      <c r="F1147" s="13" t="s">
        <v>4371</v>
      </c>
      <c r="G1147" s="13" t="s">
        <v>212</v>
      </c>
      <c r="H1147" s="13" t="s">
        <v>16</v>
      </c>
      <c r="I1147" s="13">
        <v>11412.0</v>
      </c>
      <c r="J1147" s="5" t="str">
        <f t="shared" si="1"/>
        <v>Charlsie Carson</v>
      </c>
    </row>
    <row r="1148">
      <c r="A1148" s="13">
        <v>1147.0</v>
      </c>
      <c r="B1148" s="13" t="s">
        <v>1670</v>
      </c>
      <c r="C1148" s="13" t="s">
        <v>4372</v>
      </c>
      <c r="D1148" s="13" t="s">
        <v>18</v>
      </c>
      <c r="E1148" s="13" t="s">
        <v>4373</v>
      </c>
      <c r="F1148" s="13" t="s">
        <v>4374</v>
      </c>
      <c r="G1148" s="13" t="s">
        <v>222</v>
      </c>
      <c r="H1148" s="13" t="s">
        <v>15</v>
      </c>
      <c r="I1148" s="13">
        <v>90403.0</v>
      </c>
      <c r="J1148" s="5" t="str">
        <f t="shared" si="1"/>
        <v>Kandace Ayers</v>
      </c>
    </row>
    <row r="1149">
      <c r="A1149" s="13">
        <v>1148.0</v>
      </c>
      <c r="B1149" s="13" t="s">
        <v>4375</v>
      </c>
      <c r="C1149" s="13" t="s">
        <v>4376</v>
      </c>
      <c r="D1149" s="13" t="s">
        <v>18</v>
      </c>
      <c r="E1149" s="13" t="s">
        <v>4377</v>
      </c>
      <c r="F1149" s="13" t="s">
        <v>4378</v>
      </c>
      <c r="G1149" s="13" t="s">
        <v>232</v>
      </c>
      <c r="H1149" s="13" t="s">
        <v>16</v>
      </c>
      <c r="I1149" s="13">
        <v>10977.0</v>
      </c>
      <c r="J1149" s="5" t="str">
        <f t="shared" si="1"/>
        <v>Lenore Valdez</v>
      </c>
    </row>
    <row r="1150">
      <c r="A1150" s="13">
        <v>1149.0</v>
      </c>
      <c r="B1150" s="13" t="s">
        <v>4379</v>
      </c>
      <c r="C1150" s="13" t="s">
        <v>918</v>
      </c>
      <c r="D1150" s="13" t="s">
        <v>18</v>
      </c>
      <c r="E1150" s="13" t="s">
        <v>4380</v>
      </c>
      <c r="F1150" s="13" t="s">
        <v>4381</v>
      </c>
      <c r="G1150" s="13" t="s">
        <v>220</v>
      </c>
      <c r="H1150" s="13" t="s">
        <v>15</v>
      </c>
      <c r="I1150" s="13">
        <v>95050.0</v>
      </c>
      <c r="J1150" s="5" t="str">
        <f t="shared" si="1"/>
        <v>Drucilla Gilliam</v>
      </c>
    </row>
    <row r="1151">
      <c r="A1151" s="13">
        <v>1150.0</v>
      </c>
      <c r="B1151" s="13" t="s">
        <v>1409</v>
      </c>
      <c r="C1151" s="13" t="s">
        <v>4382</v>
      </c>
      <c r="D1151" s="13" t="s">
        <v>4383</v>
      </c>
      <c r="E1151" s="13" t="s">
        <v>4384</v>
      </c>
      <c r="F1151" s="13" t="s">
        <v>4385</v>
      </c>
      <c r="G1151" s="13" t="s">
        <v>90</v>
      </c>
      <c r="H1151" s="13" t="s">
        <v>17</v>
      </c>
      <c r="I1151" s="13">
        <v>78418.0</v>
      </c>
      <c r="J1151" s="5" t="str">
        <f t="shared" si="1"/>
        <v>Keturah Reid</v>
      </c>
    </row>
    <row r="1152">
      <c r="A1152" s="13">
        <v>1151.0</v>
      </c>
      <c r="B1152" s="13" t="s">
        <v>4386</v>
      </c>
      <c r="C1152" s="13" t="s">
        <v>3252</v>
      </c>
      <c r="D1152" s="13" t="s">
        <v>18</v>
      </c>
      <c r="E1152" s="13" t="s">
        <v>4387</v>
      </c>
      <c r="F1152" s="13" t="s">
        <v>4388</v>
      </c>
      <c r="G1152" s="13" t="s">
        <v>74</v>
      </c>
      <c r="H1152" s="13" t="s">
        <v>16</v>
      </c>
      <c r="I1152" s="13">
        <v>11720.0</v>
      </c>
      <c r="J1152" s="5" t="str">
        <f t="shared" si="1"/>
        <v>Herminia Reyes</v>
      </c>
    </row>
    <row r="1153">
      <c r="A1153" s="13">
        <v>1152.0</v>
      </c>
      <c r="B1153" s="13" t="s">
        <v>4389</v>
      </c>
      <c r="C1153" s="13" t="s">
        <v>2248</v>
      </c>
      <c r="D1153" s="13" t="s">
        <v>18</v>
      </c>
      <c r="E1153" s="13" t="s">
        <v>4390</v>
      </c>
      <c r="F1153" s="13" t="s">
        <v>4391</v>
      </c>
      <c r="G1153" s="13" t="s">
        <v>229</v>
      </c>
      <c r="H1153" s="13" t="s">
        <v>15</v>
      </c>
      <c r="I1153" s="13">
        <v>91733.0</v>
      </c>
      <c r="J1153" s="5" t="str">
        <f t="shared" si="1"/>
        <v>Tuyet Rosa</v>
      </c>
    </row>
    <row r="1154">
      <c r="A1154" s="13">
        <v>1153.0</v>
      </c>
      <c r="B1154" s="13" t="s">
        <v>4392</v>
      </c>
      <c r="C1154" s="13" t="s">
        <v>843</v>
      </c>
      <c r="D1154" s="13" t="s">
        <v>18</v>
      </c>
      <c r="E1154" s="13" t="s">
        <v>4393</v>
      </c>
      <c r="F1154" s="13" t="s">
        <v>4394</v>
      </c>
      <c r="G1154" s="13" t="s">
        <v>215</v>
      </c>
      <c r="H1154" s="13" t="s">
        <v>15</v>
      </c>
      <c r="I1154" s="13">
        <v>94070.0</v>
      </c>
      <c r="J1154" s="5" t="str">
        <f t="shared" si="1"/>
        <v>Ara Vazquez</v>
      </c>
    </row>
    <row r="1155">
      <c r="A1155" s="13">
        <v>1154.0</v>
      </c>
      <c r="B1155" s="13" t="s">
        <v>1416</v>
      </c>
      <c r="C1155" s="13" t="s">
        <v>389</v>
      </c>
      <c r="D1155" s="13" t="s">
        <v>18</v>
      </c>
      <c r="E1155" s="13" t="s">
        <v>4395</v>
      </c>
      <c r="F1155" s="13" t="s">
        <v>4396</v>
      </c>
      <c r="G1155" s="13" t="s">
        <v>38</v>
      </c>
      <c r="H1155" s="13" t="s">
        <v>16</v>
      </c>
      <c r="I1155" s="13">
        <v>13021.0</v>
      </c>
      <c r="J1155" s="5" t="str">
        <f t="shared" si="1"/>
        <v>Barry Albert</v>
      </c>
    </row>
    <row r="1156">
      <c r="A1156" s="13">
        <v>1155.0</v>
      </c>
      <c r="B1156" s="13" t="s">
        <v>4397</v>
      </c>
      <c r="C1156" s="13" t="s">
        <v>600</v>
      </c>
      <c r="D1156" s="13" t="s">
        <v>18</v>
      </c>
      <c r="E1156" s="13" t="s">
        <v>4398</v>
      </c>
      <c r="F1156" s="13" t="s">
        <v>4399</v>
      </c>
      <c r="G1156" s="13" t="s">
        <v>114</v>
      </c>
      <c r="H1156" s="13" t="s">
        <v>16</v>
      </c>
      <c r="I1156" s="13">
        <v>11691.0</v>
      </c>
      <c r="J1156" s="5" t="str">
        <f t="shared" si="1"/>
        <v>Verdell Joyner</v>
      </c>
    </row>
    <row r="1157">
      <c r="A1157" s="13">
        <v>1156.0</v>
      </c>
      <c r="B1157" s="13" t="s">
        <v>3105</v>
      </c>
      <c r="C1157" s="13" t="s">
        <v>3141</v>
      </c>
      <c r="D1157" s="13" t="s">
        <v>18</v>
      </c>
      <c r="E1157" s="13" t="s">
        <v>4400</v>
      </c>
      <c r="F1157" s="13" t="s">
        <v>4401</v>
      </c>
      <c r="G1157" s="13" t="s">
        <v>139</v>
      </c>
      <c r="H1157" s="13" t="s">
        <v>16</v>
      </c>
      <c r="I1157" s="13">
        <v>11414.0</v>
      </c>
      <c r="J1157" s="5" t="str">
        <f t="shared" si="1"/>
        <v>Han Wade</v>
      </c>
    </row>
    <row r="1158">
      <c r="A1158" s="13">
        <v>1157.0</v>
      </c>
      <c r="B1158" s="13" t="s">
        <v>4402</v>
      </c>
      <c r="C1158" s="13" t="s">
        <v>1335</v>
      </c>
      <c r="D1158" s="13" t="s">
        <v>4403</v>
      </c>
      <c r="E1158" s="13" t="s">
        <v>4404</v>
      </c>
      <c r="F1158" s="13" t="s">
        <v>4405</v>
      </c>
      <c r="G1158" s="13" t="s">
        <v>64</v>
      </c>
      <c r="H1158" s="13" t="s">
        <v>16</v>
      </c>
      <c r="I1158" s="13">
        <v>14215.0</v>
      </c>
      <c r="J1158" s="5" t="str">
        <f t="shared" si="1"/>
        <v>Anton Barton</v>
      </c>
    </row>
    <row r="1159">
      <c r="A1159" s="13">
        <v>1158.0</v>
      </c>
      <c r="B1159" s="13" t="s">
        <v>4406</v>
      </c>
      <c r="C1159" s="13" t="s">
        <v>2223</v>
      </c>
      <c r="D1159" s="13" t="s">
        <v>18</v>
      </c>
      <c r="E1159" s="13" t="s">
        <v>4407</v>
      </c>
      <c r="F1159" s="13" t="s">
        <v>4408</v>
      </c>
      <c r="G1159" s="13" t="s">
        <v>68</v>
      </c>
      <c r="H1159" s="13" t="s">
        <v>16</v>
      </c>
      <c r="I1159" s="13">
        <v>14424.0</v>
      </c>
      <c r="J1159" s="5" t="str">
        <f t="shared" si="1"/>
        <v>Vito Pickett</v>
      </c>
    </row>
    <row r="1160">
      <c r="A1160" s="13">
        <v>1159.0</v>
      </c>
      <c r="B1160" s="13" t="s">
        <v>4409</v>
      </c>
      <c r="C1160" s="13" t="s">
        <v>559</v>
      </c>
      <c r="D1160" s="13" t="s">
        <v>18</v>
      </c>
      <c r="E1160" s="13" t="s">
        <v>4410</v>
      </c>
      <c r="F1160" s="13" t="s">
        <v>4411</v>
      </c>
      <c r="G1160" s="13" t="s">
        <v>237</v>
      </c>
      <c r="H1160" s="13" t="s">
        <v>16</v>
      </c>
      <c r="I1160" s="13">
        <v>11791.0</v>
      </c>
      <c r="J1160" s="5" t="str">
        <f t="shared" si="1"/>
        <v>Charlene Norris</v>
      </c>
    </row>
    <row r="1161">
      <c r="A1161" s="13">
        <v>1160.0</v>
      </c>
      <c r="B1161" s="13" t="s">
        <v>2049</v>
      </c>
      <c r="C1161" s="13" t="s">
        <v>4412</v>
      </c>
      <c r="D1161" s="13" t="s">
        <v>18</v>
      </c>
      <c r="E1161" s="13" t="s">
        <v>4413</v>
      </c>
      <c r="F1161" s="13" t="s">
        <v>4414</v>
      </c>
      <c r="G1161" s="13" t="s">
        <v>112</v>
      </c>
      <c r="H1161" s="13" t="s">
        <v>17</v>
      </c>
      <c r="I1161" s="13">
        <v>76039.0</v>
      </c>
      <c r="J1161" s="5" t="str">
        <f t="shared" si="1"/>
        <v>Efren Whitfield</v>
      </c>
    </row>
    <row r="1162">
      <c r="A1162" s="13">
        <v>1161.0</v>
      </c>
      <c r="B1162" s="13" t="s">
        <v>4415</v>
      </c>
      <c r="C1162" s="13" t="s">
        <v>930</v>
      </c>
      <c r="D1162" s="13" t="s">
        <v>18</v>
      </c>
      <c r="E1162" s="13" t="s">
        <v>4416</v>
      </c>
      <c r="F1162" s="13" t="s">
        <v>4417</v>
      </c>
      <c r="G1162" s="13" t="s">
        <v>244</v>
      </c>
      <c r="H1162" s="13" t="s">
        <v>16</v>
      </c>
      <c r="I1162" s="13">
        <v>11580.0</v>
      </c>
      <c r="J1162" s="5" t="str">
        <f t="shared" si="1"/>
        <v>Santa Larson</v>
      </c>
    </row>
    <row r="1163">
      <c r="A1163" s="13">
        <v>1162.0</v>
      </c>
      <c r="B1163" s="13" t="s">
        <v>4418</v>
      </c>
      <c r="C1163" s="13" t="s">
        <v>4419</v>
      </c>
      <c r="D1163" s="13" t="s">
        <v>18</v>
      </c>
      <c r="E1163" s="13" t="s">
        <v>4420</v>
      </c>
      <c r="F1163" s="13" t="s">
        <v>4421</v>
      </c>
      <c r="G1163" s="13" t="s">
        <v>142</v>
      </c>
      <c r="H1163" s="13" t="s">
        <v>16</v>
      </c>
      <c r="I1163" s="13">
        <v>14850.0</v>
      </c>
      <c r="J1163" s="5" t="str">
        <f t="shared" si="1"/>
        <v>Carmelina Sellers</v>
      </c>
    </row>
    <row r="1164">
      <c r="A1164" s="13">
        <v>1163.0</v>
      </c>
      <c r="B1164" s="13" t="s">
        <v>4422</v>
      </c>
      <c r="C1164" s="13" t="s">
        <v>294</v>
      </c>
      <c r="D1164" s="13" t="s">
        <v>18</v>
      </c>
      <c r="E1164" s="13" t="s">
        <v>4423</v>
      </c>
      <c r="F1164" s="13" t="s">
        <v>4424</v>
      </c>
      <c r="G1164" s="13" t="s">
        <v>149</v>
      </c>
      <c r="H1164" s="13" t="s">
        <v>15</v>
      </c>
      <c r="I1164" s="13">
        <v>90260.0</v>
      </c>
      <c r="J1164" s="5" t="str">
        <f t="shared" si="1"/>
        <v>Carmela Hays</v>
      </c>
    </row>
    <row r="1165">
      <c r="A1165" s="13">
        <v>1164.0</v>
      </c>
      <c r="B1165" s="13" t="s">
        <v>4425</v>
      </c>
      <c r="C1165" s="13" t="s">
        <v>4426</v>
      </c>
      <c r="D1165" s="13" t="s">
        <v>18</v>
      </c>
      <c r="E1165" s="13" t="s">
        <v>4427</v>
      </c>
      <c r="F1165" s="13" t="s">
        <v>4428</v>
      </c>
      <c r="G1165" s="13" t="s">
        <v>224</v>
      </c>
      <c r="H1165" s="13" t="s">
        <v>16</v>
      </c>
      <c r="I1165" s="13">
        <v>10583.0</v>
      </c>
      <c r="J1165" s="5" t="str">
        <f t="shared" si="1"/>
        <v>Patrina Tanner</v>
      </c>
    </row>
    <row r="1166">
      <c r="A1166" s="13">
        <v>1165.0</v>
      </c>
      <c r="B1166" s="13" t="s">
        <v>4429</v>
      </c>
      <c r="C1166" s="13" t="s">
        <v>4430</v>
      </c>
      <c r="D1166" s="13" t="s">
        <v>4431</v>
      </c>
      <c r="E1166" s="13" t="s">
        <v>4432</v>
      </c>
      <c r="F1166" s="13" t="s">
        <v>4433</v>
      </c>
      <c r="G1166" s="13" t="s">
        <v>120</v>
      </c>
      <c r="H1166" s="13" t="s">
        <v>17</v>
      </c>
      <c r="I1166" s="13">
        <v>76110.0</v>
      </c>
      <c r="J1166" s="5" t="str">
        <f t="shared" si="1"/>
        <v>Rikki Morrow</v>
      </c>
    </row>
    <row r="1167">
      <c r="A1167" s="13">
        <v>1166.0</v>
      </c>
      <c r="B1167" s="13" t="s">
        <v>4434</v>
      </c>
      <c r="C1167" s="13" t="s">
        <v>372</v>
      </c>
      <c r="D1167" s="13" t="s">
        <v>18</v>
      </c>
      <c r="E1167" s="13" t="s">
        <v>4435</v>
      </c>
      <c r="F1167" s="13" t="s">
        <v>4436</v>
      </c>
      <c r="G1167" s="13" t="s">
        <v>50</v>
      </c>
      <c r="H1167" s="13" t="s">
        <v>16</v>
      </c>
      <c r="I1167" s="13">
        <v>11706.0</v>
      </c>
      <c r="J1167" s="5" t="str">
        <f t="shared" si="1"/>
        <v>Junita Reese</v>
      </c>
    </row>
    <row r="1168">
      <c r="A1168" s="13">
        <v>1167.0</v>
      </c>
      <c r="B1168" s="13" t="s">
        <v>2856</v>
      </c>
      <c r="C1168" s="13" t="s">
        <v>443</v>
      </c>
      <c r="D1168" s="13" t="s">
        <v>18</v>
      </c>
      <c r="E1168" s="13" t="s">
        <v>4437</v>
      </c>
      <c r="F1168" s="13" t="s">
        <v>4438</v>
      </c>
      <c r="G1168" s="13" t="s">
        <v>169</v>
      </c>
      <c r="H1168" s="13" t="s">
        <v>16</v>
      </c>
      <c r="I1168" s="13">
        <v>10954.0</v>
      </c>
      <c r="J1168" s="5" t="str">
        <f t="shared" si="1"/>
        <v>Ryan Carter</v>
      </c>
    </row>
    <row r="1169">
      <c r="A1169" s="13">
        <v>1168.0</v>
      </c>
      <c r="B1169" s="13" t="s">
        <v>4439</v>
      </c>
      <c r="C1169" s="13" t="s">
        <v>2395</v>
      </c>
      <c r="D1169" s="13" t="s">
        <v>18</v>
      </c>
      <c r="E1169" s="13" t="s">
        <v>4440</v>
      </c>
      <c r="F1169" s="13" t="s">
        <v>4441</v>
      </c>
      <c r="G1169" s="13" t="s">
        <v>236</v>
      </c>
      <c r="H1169" s="13" t="s">
        <v>16</v>
      </c>
      <c r="I1169" s="13">
        <v>11104.0</v>
      </c>
      <c r="J1169" s="5" t="str">
        <f t="shared" si="1"/>
        <v>Almeta Benjamin</v>
      </c>
    </row>
    <row r="1170">
      <c r="A1170" s="13">
        <v>1169.0</v>
      </c>
      <c r="B1170" s="13" t="s">
        <v>4442</v>
      </c>
      <c r="C1170" s="13" t="s">
        <v>600</v>
      </c>
      <c r="D1170" s="13" t="s">
        <v>18</v>
      </c>
      <c r="E1170" s="13" t="s">
        <v>4443</v>
      </c>
      <c r="F1170" s="13" t="s">
        <v>4444</v>
      </c>
      <c r="G1170" s="13" t="s">
        <v>232</v>
      </c>
      <c r="H1170" s="13" t="s">
        <v>16</v>
      </c>
      <c r="I1170" s="13">
        <v>10977.0</v>
      </c>
      <c r="J1170" s="5" t="str">
        <f t="shared" si="1"/>
        <v>Beatris Joyner</v>
      </c>
    </row>
    <row r="1171">
      <c r="A1171" s="13">
        <v>1170.0</v>
      </c>
      <c r="B1171" s="13" t="s">
        <v>4445</v>
      </c>
      <c r="C1171" s="13" t="s">
        <v>2920</v>
      </c>
      <c r="D1171" s="13" t="s">
        <v>18</v>
      </c>
      <c r="E1171" s="13" t="s">
        <v>4446</v>
      </c>
      <c r="F1171" s="13" t="s">
        <v>4447</v>
      </c>
      <c r="G1171" s="13" t="s">
        <v>202</v>
      </c>
      <c r="H1171" s="13" t="s">
        <v>16</v>
      </c>
      <c r="I1171" s="13">
        <v>11418.0</v>
      </c>
      <c r="J1171" s="5" t="str">
        <f t="shared" si="1"/>
        <v>Mechelle Chan</v>
      </c>
    </row>
    <row r="1172">
      <c r="A1172" s="13">
        <v>1171.0</v>
      </c>
      <c r="B1172" s="13" t="s">
        <v>4448</v>
      </c>
      <c r="C1172" s="13" t="s">
        <v>1759</v>
      </c>
      <c r="D1172" s="13" t="s">
        <v>18</v>
      </c>
      <c r="E1172" s="13" t="s">
        <v>4449</v>
      </c>
      <c r="F1172" s="13" t="s">
        <v>4450</v>
      </c>
      <c r="G1172" s="13" t="s">
        <v>207</v>
      </c>
      <c r="H1172" s="13" t="s">
        <v>16</v>
      </c>
      <c r="I1172" s="13">
        <v>13440.0</v>
      </c>
      <c r="J1172" s="5" t="str">
        <f t="shared" si="1"/>
        <v>Earlean Pena</v>
      </c>
    </row>
    <row r="1173">
      <c r="A1173" s="13">
        <v>1172.0</v>
      </c>
      <c r="B1173" s="13" t="s">
        <v>4451</v>
      </c>
      <c r="C1173" s="13" t="s">
        <v>3304</v>
      </c>
      <c r="D1173" s="13" t="s">
        <v>18</v>
      </c>
      <c r="E1173" s="13" t="s">
        <v>4452</v>
      </c>
      <c r="F1173" s="13" t="s">
        <v>4453</v>
      </c>
      <c r="G1173" s="13" t="s">
        <v>189</v>
      </c>
      <c r="H1173" s="13" t="s">
        <v>16</v>
      </c>
      <c r="I1173" s="13">
        <v>14534.0</v>
      </c>
      <c r="J1173" s="5" t="str">
        <f t="shared" si="1"/>
        <v>Katherin Clark</v>
      </c>
    </row>
    <row r="1174">
      <c r="A1174" s="13">
        <v>1173.0</v>
      </c>
      <c r="B1174" s="13" t="s">
        <v>4454</v>
      </c>
      <c r="C1174" s="13" t="s">
        <v>3075</v>
      </c>
      <c r="D1174" s="13" t="s">
        <v>18</v>
      </c>
      <c r="E1174" s="13" t="s">
        <v>4455</v>
      </c>
      <c r="F1174" s="13" t="s">
        <v>4456</v>
      </c>
      <c r="G1174" s="13" t="s">
        <v>126</v>
      </c>
      <c r="H1174" s="13" t="s">
        <v>16</v>
      </c>
      <c r="I1174" s="13">
        <v>11530.0</v>
      </c>
      <c r="J1174" s="5" t="str">
        <f t="shared" si="1"/>
        <v>Chanel May</v>
      </c>
    </row>
    <row r="1175">
      <c r="A1175" s="13">
        <v>1174.0</v>
      </c>
      <c r="B1175" s="13" t="s">
        <v>4457</v>
      </c>
      <c r="C1175" s="13" t="s">
        <v>1565</v>
      </c>
      <c r="D1175" s="13" t="s">
        <v>4458</v>
      </c>
      <c r="E1175" s="13" t="s">
        <v>4459</v>
      </c>
      <c r="F1175" s="13" t="s">
        <v>4460</v>
      </c>
      <c r="G1175" s="13" t="s">
        <v>257</v>
      </c>
      <c r="H1175" s="13" t="s">
        <v>16</v>
      </c>
      <c r="I1175" s="13">
        <v>10701.0</v>
      </c>
      <c r="J1175" s="5" t="str">
        <f t="shared" si="1"/>
        <v>Aaron Knapp</v>
      </c>
    </row>
    <row r="1176">
      <c r="A1176" s="13">
        <v>1175.0</v>
      </c>
      <c r="B1176" s="13" t="s">
        <v>4461</v>
      </c>
      <c r="C1176" s="13" t="s">
        <v>1487</v>
      </c>
      <c r="D1176" s="13" t="s">
        <v>18</v>
      </c>
      <c r="E1176" s="13" t="s">
        <v>4462</v>
      </c>
      <c r="F1176" s="13" t="s">
        <v>4463</v>
      </c>
      <c r="G1176" s="13" t="s">
        <v>193</v>
      </c>
      <c r="H1176" s="13" t="s">
        <v>15</v>
      </c>
      <c r="I1176" s="13">
        <v>91768.0</v>
      </c>
      <c r="J1176" s="5" t="str">
        <f t="shared" si="1"/>
        <v>Sindy Anderson</v>
      </c>
    </row>
    <row r="1177">
      <c r="A1177" s="13">
        <v>1176.0</v>
      </c>
      <c r="B1177" s="13" t="s">
        <v>2215</v>
      </c>
      <c r="C1177" s="13" t="s">
        <v>2450</v>
      </c>
      <c r="D1177" s="13" t="s">
        <v>18</v>
      </c>
      <c r="E1177" s="13" t="s">
        <v>4464</v>
      </c>
      <c r="F1177" s="13" t="s">
        <v>4465</v>
      </c>
      <c r="G1177" s="13" t="s">
        <v>198</v>
      </c>
      <c r="H1177" s="13" t="s">
        <v>16</v>
      </c>
      <c r="I1177" s="13">
        <v>12804.0</v>
      </c>
      <c r="J1177" s="5" t="str">
        <f t="shared" si="1"/>
        <v>Sheree Blanchard</v>
      </c>
    </row>
    <row r="1178">
      <c r="A1178" s="13">
        <v>1177.0</v>
      </c>
      <c r="B1178" s="13" t="s">
        <v>4466</v>
      </c>
      <c r="C1178" s="13" t="s">
        <v>1134</v>
      </c>
      <c r="D1178" s="13" t="s">
        <v>18</v>
      </c>
      <c r="E1178" s="13" t="s">
        <v>4467</v>
      </c>
      <c r="F1178" s="13" t="s">
        <v>4468</v>
      </c>
      <c r="G1178" s="13" t="s">
        <v>197</v>
      </c>
      <c r="H1178" s="13" t="s">
        <v>16</v>
      </c>
      <c r="I1178" s="13">
        <v>12601.0</v>
      </c>
      <c r="J1178" s="5" t="str">
        <f t="shared" si="1"/>
        <v>Charlesetta Soto</v>
      </c>
    </row>
    <row r="1179">
      <c r="A1179" s="13">
        <v>1178.0</v>
      </c>
      <c r="B1179" s="13" t="s">
        <v>4469</v>
      </c>
      <c r="C1179" s="13" t="s">
        <v>3750</v>
      </c>
      <c r="D1179" s="13" t="s">
        <v>4470</v>
      </c>
      <c r="E1179" s="13" t="s">
        <v>4471</v>
      </c>
      <c r="F1179" s="13" t="s">
        <v>4472</v>
      </c>
      <c r="G1179" s="13" t="s">
        <v>185</v>
      </c>
      <c r="H1179" s="13" t="s">
        <v>15</v>
      </c>
      <c r="I1179" s="13">
        <v>93035.0</v>
      </c>
      <c r="J1179" s="5" t="str">
        <f t="shared" si="1"/>
        <v>Wendie Nash</v>
      </c>
    </row>
    <row r="1180">
      <c r="A1180" s="13">
        <v>1179.0</v>
      </c>
      <c r="B1180" s="13" t="s">
        <v>4473</v>
      </c>
      <c r="C1180" s="13" t="s">
        <v>3025</v>
      </c>
      <c r="D1180" s="13" t="s">
        <v>18</v>
      </c>
      <c r="E1180" s="13" t="s">
        <v>4474</v>
      </c>
      <c r="F1180" s="13" t="s">
        <v>4475</v>
      </c>
      <c r="G1180" s="13" t="s">
        <v>62</v>
      </c>
      <c r="H1180" s="13" t="s">
        <v>16</v>
      </c>
      <c r="I1180" s="13">
        <v>11201.0</v>
      </c>
      <c r="J1180" s="5" t="str">
        <f t="shared" si="1"/>
        <v>Vernetta Banks</v>
      </c>
    </row>
    <row r="1181">
      <c r="A1181" s="13">
        <v>1180.0</v>
      </c>
      <c r="B1181" s="13" t="s">
        <v>4476</v>
      </c>
      <c r="C1181" s="13" t="s">
        <v>3195</v>
      </c>
      <c r="D1181" s="13" t="s">
        <v>18</v>
      </c>
      <c r="E1181" s="13" t="s">
        <v>4477</v>
      </c>
      <c r="F1181" s="13" t="s">
        <v>4478</v>
      </c>
      <c r="G1181" s="13" t="s">
        <v>115</v>
      </c>
      <c r="H1181" s="13" t="s">
        <v>16</v>
      </c>
      <c r="I1181" s="13">
        <v>11735.0</v>
      </c>
      <c r="J1181" s="5" t="str">
        <f t="shared" si="1"/>
        <v>Myrtle Gardner</v>
      </c>
    </row>
    <row r="1182">
      <c r="A1182" s="13">
        <v>1181.0</v>
      </c>
      <c r="B1182" s="13" t="s">
        <v>4479</v>
      </c>
      <c r="C1182" s="13" t="s">
        <v>4480</v>
      </c>
      <c r="D1182" s="13" t="s">
        <v>18</v>
      </c>
      <c r="E1182" s="13" t="s">
        <v>4481</v>
      </c>
      <c r="F1182" s="13" t="s">
        <v>4482</v>
      </c>
      <c r="G1182" s="13" t="s">
        <v>62</v>
      </c>
      <c r="H1182" s="13" t="s">
        <v>16</v>
      </c>
      <c r="I1182" s="13">
        <v>11201.0</v>
      </c>
      <c r="J1182" s="5" t="str">
        <f t="shared" si="1"/>
        <v>Agustina Lawrence</v>
      </c>
    </row>
    <row r="1183">
      <c r="A1183" s="13">
        <v>1182.0</v>
      </c>
      <c r="B1183" s="13" t="s">
        <v>3892</v>
      </c>
      <c r="C1183" s="13" t="s">
        <v>3871</v>
      </c>
      <c r="D1183" s="13" t="s">
        <v>18</v>
      </c>
      <c r="E1183" s="13" t="s">
        <v>4483</v>
      </c>
      <c r="F1183" s="13" t="s">
        <v>4484</v>
      </c>
      <c r="G1183" s="13" t="s">
        <v>208</v>
      </c>
      <c r="H1183" s="13" t="s">
        <v>16</v>
      </c>
      <c r="I1183" s="13">
        <v>11779.0</v>
      </c>
      <c r="J1183" s="5" t="str">
        <f t="shared" si="1"/>
        <v>Trinidad Chapman</v>
      </c>
    </row>
    <row r="1184">
      <c r="A1184" s="13">
        <v>1183.0</v>
      </c>
      <c r="B1184" s="13" t="s">
        <v>1436</v>
      </c>
      <c r="C1184" s="13" t="s">
        <v>3304</v>
      </c>
      <c r="D1184" s="13" t="s">
        <v>18</v>
      </c>
      <c r="E1184" s="13" t="s">
        <v>4485</v>
      </c>
      <c r="F1184" s="13" t="s">
        <v>4486</v>
      </c>
      <c r="G1184" s="13" t="s">
        <v>163</v>
      </c>
      <c r="H1184" s="13" t="s">
        <v>16</v>
      </c>
      <c r="I1184" s="13">
        <v>11566.0</v>
      </c>
      <c r="J1184" s="5" t="str">
        <f t="shared" si="1"/>
        <v>Kim Clark</v>
      </c>
    </row>
    <row r="1185">
      <c r="A1185" s="13">
        <v>1184.0</v>
      </c>
      <c r="B1185" s="13" t="s">
        <v>4487</v>
      </c>
      <c r="C1185" s="13" t="s">
        <v>1041</v>
      </c>
      <c r="D1185" s="13" t="s">
        <v>18</v>
      </c>
      <c r="E1185" s="13" t="s">
        <v>4488</v>
      </c>
      <c r="F1185" s="13" t="s">
        <v>4489</v>
      </c>
      <c r="G1185" s="13" t="s">
        <v>232</v>
      </c>
      <c r="H1185" s="13" t="s">
        <v>16</v>
      </c>
      <c r="I1185" s="13">
        <v>10977.0</v>
      </c>
      <c r="J1185" s="5" t="str">
        <f t="shared" si="1"/>
        <v>Annabelle Hebert</v>
      </c>
    </row>
    <row r="1186">
      <c r="A1186" s="13">
        <v>1185.0</v>
      </c>
      <c r="B1186" s="13" t="s">
        <v>4490</v>
      </c>
      <c r="C1186" s="13" t="s">
        <v>4491</v>
      </c>
      <c r="D1186" s="13" t="s">
        <v>18</v>
      </c>
      <c r="E1186" s="13" t="s">
        <v>4492</v>
      </c>
      <c r="F1186" s="13" t="s">
        <v>4493</v>
      </c>
      <c r="G1186" s="13" t="s">
        <v>78</v>
      </c>
      <c r="H1186" s="13" t="s">
        <v>16</v>
      </c>
      <c r="I1186" s="13">
        <v>12065.0</v>
      </c>
      <c r="J1186" s="5" t="str">
        <f t="shared" si="1"/>
        <v>Corine Stuart</v>
      </c>
    </row>
    <row r="1187">
      <c r="A1187" s="13">
        <v>1186.0</v>
      </c>
      <c r="B1187" s="13" t="s">
        <v>4494</v>
      </c>
      <c r="C1187" s="13" t="s">
        <v>1179</v>
      </c>
      <c r="D1187" s="13" t="s">
        <v>18</v>
      </c>
      <c r="E1187" s="13" t="s">
        <v>4495</v>
      </c>
      <c r="F1187" s="13" t="s">
        <v>4496</v>
      </c>
      <c r="G1187" s="13" t="s">
        <v>215</v>
      </c>
      <c r="H1187" s="13" t="s">
        <v>15</v>
      </c>
      <c r="I1187" s="13">
        <v>94070.0</v>
      </c>
      <c r="J1187" s="5" t="str">
        <f t="shared" si="1"/>
        <v>Kiesha Bond</v>
      </c>
    </row>
    <row r="1188">
      <c r="A1188" s="13">
        <v>1187.0</v>
      </c>
      <c r="B1188" s="13" t="s">
        <v>4497</v>
      </c>
      <c r="C1188" s="13" t="s">
        <v>4498</v>
      </c>
      <c r="D1188" s="13" t="s">
        <v>18</v>
      </c>
      <c r="E1188" s="13" t="s">
        <v>4499</v>
      </c>
      <c r="F1188" s="13" t="s">
        <v>4500</v>
      </c>
      <c r="G1188" s="13" t="s">
        <v>117</v>
      </c>
      <c r="H1188" s="13" t="s">
        <v>16</v>
      </c>
      <c r="I1188" s="13">
        <v>11354.0</v>
      </c>
      <c r="J1188" s="5" t="str">
        <f t="shared" si="1"/>
        <v>Kenyetta Mason</v>
      </c>
    </row>
    <row r="1189">
      <c r="A1189" s="13">
        <v>1188.0</v>
      </c>
      <c r="B1189" s="13" t="s">
        <v>4501</v>
      </c>
      <c r="C1189" s="13" t="s">
        <v>4502</v>
      </c>
      <c r="D1189" s="13" t="s">
        <v>4503</v>
      </c>
      <c r="E1189" s="13" t="s">
        <v>4504</v>
      </c>
      <c r="F1189" s="13" t="s">
        <v>4505</v>
      </c>
      <c r="G1189" s="13" t="s">
        <v>257</v>
      </c>
      <c r="H1189" s="13" t="s">
        <v>16</v>
      </c>
      <c r="I1189" s="13">
        <v>10701.0</v>
      </c>
      <c r="J1189" s="5" t="str">
        <f t="shared" si="1"/>
        <v>Marcene Curtis</v>
      </c>
    </row>
    <row r="1190">
      <c r="A1190" s="13">
        <v>1189.0</v>
      </c>
      <c r="B1190" s="13" t="s">
        <v>2437</v>
      </c>
      <c r="C1190" s="13" t="s">
        <v>681</v>
      </c>
      <c r="D1190" s="13" t="s">
        <v>18</v>
      </c>
      <c r="E1190" s="13" t="s">
        <v>4506</v>
      </c>
      <c r="F1190" s="13" t="s">
        <v>4507</v>
      </c>
      <c r="G1190" s="13" t="s">
        <v>241</v>
      </c>
      <c r="H1190" s="13" t="s">
        <v>16</v>
      </c>
      <c r="I1190" s="13">
        <v>11553.0</v>
      </c>
      <c r="J1190" s="5" t="str">
        <f t="shared" si="1"/>
        <v>Sheila Goodman</v>
      </c>
    </row>
    <row r="1191">
      <c r="A1191" s="13">
        <v>1190.0</v>
      </c>
      <c r="B1191" s="13" t="s">
        <v>4508</v>
      </c>
      <c r="C1191" s="13" t="s">
        <v>993</v>
      </c>
      <c r="D1191" s="13" t="s">
        <v>18</v>
      </c>
      <c r="E1191" s="13" t="s">
        <v>4509</v>
      </c>
      <c r="F1191" s="13" t="s">
        <v>4510</v>
      </c>
      <c r="G1191" s="13" t="s">
        <v>195</v>
      </c>
      <c r="H1191" s="13" t="s">
        <v>16</v>
      </c>
      <c r="I1191" s="13">
        <v>11776.0</v>
      </c>
      <c r="J1191" s="5" t="str">
        <f t="shared" si="1"/>
        <v>Romeo Steele</v>
      </c>
    </row>
    <row r="1192">
      <c r="A1192" s="13">
        <v>1191.0</v>
      </c>
      <c r="B1192" s="13" t="s">
        <v>4511</v>
      </c>
      <c r="C1192" s="13" t="s">
        <v>277</v>
      </c>
      <c r="D1192" s="13" t="s">
        <v>4512</v>
      </c>
      <c r="E1192" s="13" t="s">
        <v>4513</v>
      </c>
      <c r="F1192" s="13" t="s">
        <v>4514</v>
      </c>
      <c r="G1192" s="13" t="s">
        <v>204</v>
      </c>
      <c r="H1192" s="13" t="s">
        <v>16</v>
      </c>
      <c r="I1192" s="13">
        <v>14606.0</v>
      </c>
      <c r="J1192" s="5" t="str">
        <f t="shared" si="1"/>
        <v>Tam Fisher</v>
      </c>
    </row>
    <row r="1193">
      <c r="A1193" s="13">
        <v>1192.0</v>
      </c>
      <c r="B1193" s="13" t="s">
        <v>4515</v>
      </c>
      <c r="C1193" s="13" t="s">
        <v>4516</v>
      </c>
      <c r="D1193" s="13" t="s">
        <v>18</v>
      </c>
      <c r="E1193" s="13" t="s">
        <v>4517</v>
      </c>
      <c r="F1193" s="13" t="s">
        <v>4518</v>
      </c>
      <c r="G1193" s="13" t="s">
        <v>96</v>
      </c>
      <c r="H1193" s="13" t="s">
        <v>17</v>
      </c>
      <c r="I1193" s="13">
        <v>75115.0</v>
      </c>
      <c r="J1193" s="5" t="str">
        <f t="shared" si="1"/>
        <v>Gena Owens</v>
      </c>
    </row>
    <row r="1194">
      <c r="A1194" s="13">
        <v>1193.0</v>
      </c>
      <c r="B1194" s="13" t="s">
        <v>3500</v>
      </c>
      <c r="C1194" s="13" t="s">
        <v>1134</v>
      </c>
      <c r="D1194" s="13" t="s">
        <v>18</v>
      </c>
      <c r="E1194" s="13" t="s">
        <v>4519</v>
      </c>
      <c r="F1194" s="13" t="s">
        <v>4520</v>
      </c>
      <c r="G1194" s="13" t="s">
        <v>230</v>
      </c>
      <c r="H1194" s="13" t="s">
        <v>16</v>
      </c>
      <c r="I1194" s="13">
        <v>11420.0</v>
      </c>
      <c r="J1194" s="5" t="str">
        <f t="shared" si="1"/>
        <v>Phebe Soto</v>
      </c>
    </row>
    <row r="1195">
      <c r="A1195" s="13">
        <v>1194.0</v>
      </c>
      <c r="B1195" s="13" t="s">
        <v>4521</v>
      </c>
      <c r="C1195" s="13" t="s">
        <v>4522</v>
      </c>
      <c r="D1195" s="13" t="s">
        <v>18</v>
      </c>
      <c r="E1195" s="13" t="s">
        <v>4523</v>
      </c>
      <c r="F1195" s="13" t="s">
        <v>4524</v>
      </c>
      <c r="G1195" s="13" t="s">
        <v>189</v>
      </c>
      <c r="H1195" s="13" t="s">
        <v>16</v>
      </c>
      <c r="I1195" s="13">
        <v>14534.0</v>
      </c>
      <c r="J1195" s="5" t="str">
        <f t="shared" si="1"/>
        <v>Leticia Snyder</v>
      </c>
    </row>
    <row r="1196">
      <c r="A1196" s="13">
        <v>1195.0</v>
      </c>
      <c r="B1196" s="13" t="s">
        <v>4525</v>
      </c>
      <c r="C1196" s="13" t="s">
        <v>579</v>
      </c>
      <c r="D1196" s="13" t="s">
        <v>4526</v>
      </c>
      <c r="E1196" s="13" t="s">
        <v>4527</v>
      </c>
      <c r="F1196" s="13" t="s">
        <v>4528</v>
      </c>
      <c r="G1196" s="13" t="s">
        <v>64</v>
      </c>
      <c r="H1196" s="13" t="s">
        <v>16</v>
      </c>
      <c r="I1196" s="13">
        <v>14215.0</v>
      </c>
      <c r="J1196" s="5" t="str">
        <f t="shared" si="1"/>
        <v>Chantell Bridges</v>
      </c>
    </row>
    <row r="1197">
      <c r="A1197" s="13">
        <v>1196.0</v>
      </c>
      <c r="B1197" s="13" t="s">
        <v>4529</v>
      </c>
      <c r="C1197" s="13" t="s">
        <v>1940</v>
      </c>
      <c r="D1197" s="13" t="s">
        <v>18</v>
      </c>
      <c r="E1197" s="13" t="s">
        <v>4530</v>
      </c>
      <c r="F1197" s="13" t="s">
        <v>4531</v>
      </c>
      <c r="G1197" s="13" t="s">
        <v>188</v>
      </c>
      <c r="H1197" s="13" t="s">
        <v>16</v>
      </c>
      <c r="I1197" s="13">
        <v>11772.0</v>
      </c>
      <c r="J1197" s="5" t="str">
        <f t="shared" si="1"/>
        <v>Ileana Holt</v>
      </c>
    </row>
    <row r="1198">
      <c r="A1198" s="13">
        <v>1197.0</v>
      </c>
      <c r="B1198" s="13" t="s">
        <v>4532</v>
      </c>
      <c r="C1198" s="13" t="s">
        <v>2312</v>
      </c>
      <c r="D1198" s="13" t="s">
        <v>18</v>
      </c>
      <c r="E1198" s="13" t="s">
        <v>4533</v>
      </c>
      <c r="F1198" s="13" t="s">
        <v>4534</v>
      </c>
      <c r="G1198" s="13" t="s">
        <v>196</v>
      </c>
      <c r="H1198" s="13" t="s">
        <v>16</v>
      </c>
      <c r="I1198" s="13">
        <v>11050.0</v>
      </c>
      <c r="J1198" s="5" t="str">
        <f t="shared" si="1"/>
        <v>Nakisha Clay</v>
      </c>
    </row>
    <row r="1199">
      <c r="A1199" s="13">
        <v>1198.0</v>
      </c>
      <c r="B1199" s="13" t="s">
        <v>4535</v>
      </c>
      <c r="C1199" s="13" t="s">
        <v>4522</v>
      </c>
      <c r="D1199" s="13" t="s">
        <v>18</v>
      </c>
      <c r="E1199" s="13" t="s">
        <v>4536</v>
      </c>
      <c r="F1199" s="13" t="s">
        <v>4537</v>
      </c>
      <c r="G1199" s="13" t="s">
        <v>62</v>
      </c>
      <c r="H1199" s="13" t="s">
        <v>16</v>
      </c>
      <c r="I1199" s="13">
        <v>11201.0</v>
      </c>
      <c r="J1199" s="5" t="str">
        <f t="shared" si="1"/>
        <v>Cheryll Snyder</v>
      </c>
    </row>
    <row r="1200">
      <c r="A1200" s="13">
        <v>1199.0</v>
      </c>
      <c r="B1200" s="13" t="s">
        <v>4538</v>
      </c>
      <c r="C1200" s="13" t="s">
        <v>1138</v>
      </c>
      <c r="D1200" s="13" t="s">
        <v>18</v>
      </c>
      <c r="E1200" s="13" t="s">
        <v>4539</v>
      </c>
      <c r="F1200" s="13" t="s">
        <v>4540</v>
      </c>
      <c r="G1200" s="13" t="s">
        <v>177</v>
      </c>
      <c r="H1200" s="13" t="s">
        <v>16</v>
      </c>
      <c r="I1200" s="13">
        <v>14120.0</v>
      </c>
      <c r="J1200" s="5" t="str">
        <f t="shared" si="1"/>
        <v>Consuela Collier</v>
      </c>
    </row>
    <row r="1201">
      <c r="A1201" s="13">
        <v>1200.0</v>
      </c>
      <c r="B1201" s="13" t="s">
        <v>4541</v>
      </c>
      <c r="C1201" s="13" t="s">
        <v>3463</v>
      </c>
      <c r="D1201" s="13" t="s">
        <v>18</v>
      </c>
      <c r="E1201" s="13" t="s">
        <v>4542</v>
      </c>
      <c r="F1201" s="13" t="s">
        <v>4543</v>
      </c>
      <c r="G1201" s="13" t="s">
        <v>196</v>
      </c>
      <c r="H1201" s="13" t="s">
        <v>16</v>
      </c>
      <c r="I1201" s="13">
        <v>11050.0</v>
      </c>
      <c r="J1201" s="5" t="str">
        <f t="shared" si="1"/>
        <v>Aubrey Durham</v>
      </c>
    </row>
    <row r="1202">
      <c r="A1202" s="13">
        <v>1201.0</v>
      </c>
      <c r="B1202" s="13" t="s">
        <v>4544</v>
      </c>
      <c r="C1202" s="13" t="s">
        <v>3420</v>
      </c>
      <c r="D1202" s="13" t="s">
        <v>18</v>
      </c>
      <c r="E1202" s="13" t="s">
        <v>4545</v>
      </c>
      <c r="F1202" s="13" t="s">
        <v>4546</v>
      </c>
      <c r="G1202" s="13" t="s">
        <v>194</v>
      </c>
      <c r="H1202" s="13" t="s">
        <v>16</v>
      </c>
      <c r="I1202" s="13">
        <v>10573.0</v>
      </c>
      <c r="J1202" s="5" t="str">
        <f t="shared" si="1"/>
        <v>Nita Guy</v>
      </c>
    </row>
    <row r="1203">
      <c r="A1203" s="13">
        <v>1202.0</v>
      </c>
      <c r="B1203" s="13" t="s">
        <v>4547</v>
      </c>
      <c r="C1203" s="13" t="s">
        <v>3341</v>
      </c>
      <c r="D1203" s="13" t="s">
        <v>18</v>
      </c>
      <c r="E1203" s="13" t="s">
        <v>4548</v>
      </c>
      <c r="F1203" s="13" t="s">
        <v>4549</v>
      </c>
      <c r="G1203" s="13" t="s">
        <v>48</v>
      </c>
      <c r="H1203" s="13" t="s">
        <v>15</v>
      </c>
      <c r="I1203" s="13">
        <v>92220.0</v>
      </c>
      <c r="J1203" s="5" t="str">
        <f t="shared" si="1"/>
        <v>Carmina Emerson</v>
      </c>
    </row>
    <row r="1204">
      <c r="A1204" s="13">
        <v>1203.0</v>
      </c>
      <c r="B1204" s="13" t="s">
        <v>566</v>
      </c>
      <c r="C1204" s="13" t="s">
        <v>1698</v>
      </c>
      <c r="D1204" s="13" t="s">
        <v>18</v>
      </c>
      <c r="E1204" s="13" t="s">
        <v>4550</v>
      </c>
      <c r="F1204" s="13" t="s">
        <v>4551</v>
      </c>
      <c r="G1204" s="13" t="s">
        <v>96</v>
      </c>
      <c r="H1204" s="13" t="s">
        <v>17</v>
      </c>
      <c r="I1204" s="13">
        <v>75115.0</v>
      </c>
      <c r="J1204" s="5" t="str">
        <f t="shared" si="1"/>
        <v>Georgeann Rojas</v>
      </c>
    </row>
    <row r="1205">
      <c r="A1205" s="13">
        <v>1204.0</v>
      </c>
      <c r="B1205" s="13" t="s">
        <v>4552</v>
      </c>
      <c r="C1205" s="13" t="s">
        <v>658</v>
      </c>
      <c r="D1205" s="13" t="s">
        <v>18</v>
      </c>
      <c r="E1205" s="13" t="s">
        <v>4553</v>
      </c>
      <c r="F1205" s="13" t="s">
        <v>4554</v>
      </c>
      <c r="G1205" s="13" t="s">
        <v>223</v>
      </c>
      <c r="H1205" s="13" t="s">
        <v>16</v>
      </c>
      <c r="I1205" s="13">
        <v>12866.0</v>
      </c>
      <c r="J1205" s="5" t="str">
        <f t="shared" si="1"/>
        <v>Leslie Higgins</v>
      </c>
    </row>
    <row r="1206">
      <c r="A1206" s="13">
        <v>1205.0</v>
      </c>
      <c r="B1206" s="13" t="s">
        <v>4555</v>
      </c>
      <c r="C1206" s="13" t="s">
        <v>2365</v>
      </c>
      <c r="D1206" s="13" t="s">
        <v>18</v>
      </c>
      <c r="E1206" s="13" t="s">
        <v>4556</v>
      </c>
      <c r="F1206" s="13" t="s">
        <v>4557</v>
      </c>
      <c r="G1206" s="13" t="s">
        <v>167</v>
      </c>
      <c r="H1206" s="13" t="s">
        <v>16</v>
      </c>
      <c r="I1206" s="13">
        <v>10550.0</v>
      </c>
      <c r="J1206" s="5" t="str">
        <f t="shared" si="1"/>
        <v>Emmaline Huber</v>
      </c>
    </row>
    <row r="1207">
      <c r="A1207" s="13">
        <v>1206.0</v>
      </c>
      <c r="B1207" s="13" t="s">
        <v>4558</v>
      </c>
      <c r="C1207" s="13" t="s">
        <v>3800</v>
      </c>
      <c r="D1207" s="13" t="s">
        <v>18</v>
      </c>
      <c r="E1207" s="13" t="s">
        <v>4559</v>
      </c>
      <c r="F1207" s="13" t="s">
        <v>4560</v>
      </c>
      <c r="G1207" s="13" t="s">
        <v>136</v>
      </c>
      <c r="H1207" s="13" t="s">
        <v>16</v>
      </c>
      <c r="I1207" s="13">
        <v>11423.0</v>
      </c>
      <c r="J1207" s="5" t="str">
        <f t="shared" si="1"/>
        <v>Mercy Brown</v>
      </c>
    </row>
    <row r="1208">
      <c r="A1208" s="13">
        <v>1207.0</v>
      </c>
      <c r="B1208" s="13" t="s">
        <v>4561</v>
      </c>
      <c r="C1208" s="13" t="s">
        <v>1336</v>
      </c>
      <c r="D1208" s="13" t="s">
        <v>4562</v>
      </c>
      <c r="E1208" s="13" t="s">
        <v>4563</v>
      </c>
      <c r="F1208" s="13" t="s">
        <v>4564</v>
      </c>
      <c r="G1208" s="13" t="s">
        <v>58</v>
      </c>
      <c r="H1208" s="13" t="s">
        <v>16</v>
      </c>
      <c r="I1208" s="13">
        <v>11717.0</v>
      </c>
      <c r="J1208" s="5" t="str">
        <f t="shared" si="1"/>
        <v>Jenell Crosby</v>
      </c>
    </row>
    <row r="1209">
      <c r="A1209" s="13">
        <v>1208.0</v>
      </c>
      <c r="B1209" s="13" t="s">
        <v>4565</v>
      </c>
      <c r="C1209" s="13" t="s">
        <v>4566</v>
      </c>
      <c r="D1209" s="13" t="s">
        <v>18</v>
      </c>
      <c r="E1209" s="13" t="s">
        <v>4567</v>
      </c>
      <c r="F1209" s="13" t="s">
        <v>4568</v>
      </c>
      <c r="G1209" s="13" t="s">
        <v>72</v>
      </c>
      <c r="H1209" s="13" t="s">
        <v>16</v>
      </c>
      <c r="I1209" s="13">
        <v>10512.0</v>
      </c>
      <c r="J1209" s="5" t="str">
        <f t="shared" si="1"/>
        <v>Leila Barr</v>
      </c>
    </row>
    <row r="1210">
      <c r="A1210" s="13">
        <v>1209.0</v>
      </c>
      <c r="B1210" s="13" t="s">
        <v>4365</v>
      </c>
      <c r="C1210" s="13" t="s">
        <v>3831</v>
      </c>
      <c r="D1210" s="13" t="s">
        <v>18</v>
      </c>
      <c r="E1210" s="13" t="s">
        <v>4569</v>
      </c>
      <c r="F1210" s="13" t="s">
        <v>4570</v>
      </c>
      <c r="G1210" s="13" t="s">
        <v>140</v>
      </c>
      <c r="H1210" s="13" t="s">
        <v>16</v>
      </c>
      <c r="I1210" s="13">
        <v>11743.0</v>
      </c>
      <c r="J1210" s="5" t="str">
        <f t="shared" si="1"/>
        <v>Deandrea Cox</v>
      </c>
    </row>
    <row r="1211">
      <c r="A1211" s="13">
        <v>1210.0</v>
      </c>
      <c r="B1211" s="13" t="s">
        <v>4571</v>
      </c>
      <c r="C1211" s="13" t="s">
        <v>1561</v>
      </c>
      <c r="D1211" s="13" t="s">
        <v>18</v>
      </c>
      <c r="E1211" s="13" t="s">
        <v>4572</v>
      </c>
      <c r="F1211" s="13" t="s">
        <v>4573</v>
      </c>
      <c r="G1211" s="13" t="s">
        <v>256</v>
      </c>
      <c r="H1211" s="13" t="s">
        <v>16</v>
      </c>
      <c r="I1211" s="13">
        <v>11377.0</v>
      </c>
      <c r="J1211" s="5" t="str">
        <f t="shared" si="1"/>
        <v>Shawnna Frank</v>
      </c>
    </row>
    <row r="1212">
      <c r="A1212" s="13">
        <v>1211.0</v>
      </c>
      <c r="B1212" s="13" t="s">
        <v>4574</v>
      </c>
      <c r="C1212" s="13" t="s">
        <v>2899</v>
      </c>
      <c r="D1212" s="13" t="s">
        <v>18</v>
      </c>
      <c r="E1212" s="13" t="s">
        <v>4575</v>
      </c>
      <c r="F1212" s="13" t="s">
        <v>4576</v>
      </c>
      <c r="G1212" s="13" t="s">
        <v>176</v>
      </c>
      <c r="H1212" s="13" t="s">
        <v>16</v>
      </c>
      <c r="I1212" s="13">
        <v>14304.0</v>
      </c>
      <c r="J1212" s="5" t="str">
        <f t="shared" si="1"/>
        <v>Brenton Whitaker</v>
      </c>
    </row>
    <row r="1213">
      <c r="A1213" s="13">
        <v>1212.0</v>
      </c>
      <c r="B1213" s="13" t="s">
        <v>4577</v>
      </c>
      <c r="C1213" s="13" t="s">
        <v>4578</v>
      </c>
      <c r="D1213" s="13" t="s">
        <v>18</v>
      </c>
      <c r="E1213" s="13" t="s">
        <v>4579</v>
      </c>
      <c r="F1213" s="13" t="s">
        <v>4580</v>
      </c>
      <c r="G1213" s="13" t="s">
        <v>141</v>
      </c>
      <c r="H1213" s="13" t="s">
        <v>16</v>
      </c>
      <c r="I1213" s="13">
        <v>11746.0</v>
      </c>
      <c r="J1213" s="5" t="str">
        <f t="shared" si="1"/>
        <v>Jaqueline Cummings</v>
      </c>
    </row>
    <row r="1214">
      <c r="A1214" s="13">
        <v>1213.0</v>
      </c>
      <c r="B1214" s="13" t="s">
        <v>487</v>
      </c>
      <c r="C1214" s="13" t="s">
        <v>1671</v>
      </c>
      <c r="D1214" s="13" t="s">
        <v>18</v>
      </c>
      <c r="E1214" s="13" t="s">
        <v>4581</v>
      </c>
      <c r="F1214" s="13" t="s">
        <v>4582</v>
      </c>
      <c r="G1214" s="13" t="s">
        <v>213</v>
      </c>
      <c r="H1214" s="13" t="s">
        <v>17</v>
      </c>
      <c r="I1214" s="13">
        <v>76901.0</v>
      </c>
      <c r="J1214" s="5" t="str">
        <f t="shared" si="1"/>
        <v>Yang Giles</v>
      </c>
    </row>
    <row r="1215">
      <c r="A1215" s="13">
        <v>1214.0</v>
      </c>
      <c r="B1215" s="13" t="s">
        <v>4583</v>
      </c>
      <c r="C1215" s="13" t="s">
        <v>4584</v>
      </c>
      <c r="D1215" s="13" t="s">
        <v>18</v>
      </c>
      <c r="E1215" s="13" t="s">
        <v>4585</v>
      </c>
      <c r="F1215" s="13" t="s">
        <v>4586</v>
      </c>
      <c r="G1215" s="13" t="s">
        <v>220</v>
      </c>
      <c r="H1215" s="13" t="s">
        <v>15</v>
      </c>
      <c r="I1215" s="13">
        <v>95050.0</v>
      </c>
      <c r="J1215" s="5" t="str">
        <f t="shared" si="1"/>
        <v>Brigid Sharp</v>
      </c>
    </row>
    <row r="1216">
      <c r="A1216" s="13">
        <v>1215.0</v>
      </c>
      <c r="B1216" s="13" t="s">
        <v>4587</v>
      </c>
      <c r="C1216" s="13" t="s">
        <v>336</v>
      </c>
      <c r="D1216" s="13" t="s">
        <v>18</v>
      </c>
      <c r="E1216" s="13" t="s">
        <v>4588</v>
      </c>
      <c r="F1216" s="13" t="s">
        <v>4589</v>
      </c>
      <c r="G1216" s="13" t="s">
        <v>206</v>
      </c>
      <c r="H1216" s="13" t="s">
        <v>16</v>
      </c>
      <c r="I1216" s="13">
        <v>11570.0</v>
      </c>
      <c r="J1216" s="5" t="str">
        <f t="shared" si="1"/>
        <v>Karl Stephens</v>
      </c>
    </row>
    <row r="1217">
      <c r="A1217" s="13">
        <v>1216.0</v>
      </c>
      <c r="B1217" s="13" t="s">
        <v>4590</v>
      </c>
      <c r="C1217" s="13" t="s">
        <v>4591</v>
      </c>
      <c r="D1217" s="13" t="s">
        <v>18</v>
      </c>
      <c r="E1217" s="13" t="s">
        <v>4592</v>
      </c>
      <c r="F1217" s="13" t="s">
        <v>4593</v>
      </c>
      <c r="G1217" s="13" t="s">
        <v>192</v>
      </c>
      <c r="H1217" s="13" t="s">
        <v>15</v>
      </c>
      <c r="I1217" s="13">
        <v>94566.0</v>
      </c>
      <c r="J1217" s="5" t="str">
        <f t="shared" si="1"/>
        <v>Elvina Gates</v>
      </c>
    </row>
    <row r="1218">
      <c r="A1218" s="13">
        <v>1217.0</v>
      </c>
      <c r="B1218" s="13" t="s">
        <v>4594</v>
      </c>
      <c r="C1218" s="13" t="s">
        <v>3108</v>
      </c>
      <c r="D1218" s="13" t="s">
        <v>4595</v>
      </c>
      <c r="E1218" s="13" t="s">
        <v>4596</v>
      </c>
      <c r="F1218" s="13" t="s">
        <v>4597</v>
      </c>
      <c r="G1218" s="13" t="s">
        <v>257</v>
      </c>
      <c r="H1218" s="13" t="s">
        <v>16</v>
      </c>
      <c r="I1218" s="13">
        <v>10701.0</v>
      </c>
      <c r="J1218" s="5" t="str">
        <f t="shared" si="1"/>
        <v>Carlie Terrell</v>
      </c>
    </row>
    <row r="1219">
      <c r="A1219" s="13">
        <v>1218.0</v>
      </c>
      <c r="B1219" s="13" t="s">
        <v>4598</v>
      </c>
      <c r="C1219" s="13" t="s">
        <v>899</v>
      </c>
      <c r="D1219" s="13" t="s">
        <v>4599</v>
      </c>
      <c r="E1219" s="13" t="s">
        <v>4600</v>
      </c>
      <c r="F1219" s="13" t="s">
        <v>4601</v>
      </c>
      <c r="G1219" s="13" t="s">
        <v>178</v>
      </c>
      <c r="H1219" s="13" t="s">
        <v>15</v>
      </c>
      <c r="I1219" s="13">
        <v>94603.0</v>
      </c>
      <c r="J1219" s="5" t="str">
        <f t="shared" si="1"/>
        <v>Donovan Cantrell</v>
      </c>
    </row>
    <row r="1220">
      <c r="A1220" s="13">
        <v>1219.0</v>
      </c>
      <c r="B1220" s="13" t="s">
        <v>4602</v>
      </c>
      <c r="C1220" s="13" t="s">
        <v>2527</v>
      </c>
      <c r="D1220" s="13" t="s">
        <v>18</v>
      </c>
      <c r="E1220" s="13" t="s">
        <v>4603</v>
      </c>
      <c r="F1220" s="13" t="s">
        <v>4604</v>
      </c>
      <c r="G1220" s="13" t="s">
        <v>227</v>
      </c>
      <c r="H1220" s="13" t="s">
        <v>16</v>
      </c>
      <c r="I1220" s="13">
        <v>11967.0</v>
      </c>
      <c r="J1220" s="5" t="str">
        <f t="shared" si="1"/>
        <v>Alden Atkinson</v>
      </c>
    </row>
    <row r="1221">
      <c r="A1221" s="13">
        <v>1220.0</v>
      </c>
      <c r="B1221" s="13" t="s">
        <v>981</v>
      </c>
      <c r="C1221" s="13" t="s">
        <v>1461</v>
      </c>
      <c r="D1221" s="13" t="s">
        <v>18</v>
      </c>
      <c r="E1221" s="13" t="s">
        <v>4605</v>
      </c>
      <c r="F1221" s="13" t="s">
        <v>4606</v>
      </c>
      <c r="G1221" s="13" t="s">
        <v>141</v>
      </c>
      <c r="H1221" s="13" t="s">
        <v>16</v>
      </c>
      <c r="I1221" s="13">
        <v>11746.0</v>
      </c>
      <c r="J1221" s="5" t="str">
        <f t="shared" si="1"/>
        <v>Carissa Cross</v>
      </c>
    </row>
    <row r="1222">
      <c r="A1222" s="13">
        <v>1221.0</v>
      </c>
      <c r="B1222" s="13" t="s">
        <v>4607</v>
      </c>
      <c r="C1222" s="13" t="s">
        <v>4608</v>
      </c>
      <c r="D1222" s="13" t="s">
        <v>18</v>
      </c>
      <c r="E1222" s="13" t="s">
        <v>4609</v>
      </c>
      <c r="F1222" s="13" t="s">
        <v>4610</v>
      </c>
      <c r="G1222" s="13" t="s">
        <v>33</v>
      </c>
      <c r="H1222" s="13" t="s">
        <v>15</v>
      </c>
      <c r="I1222" s="13">
        <v>92307.0</v>
      </c>
      <c r="J1222" s="5" t="str">
        <f t="shared" si="1"/>
        <v>Joy Underwood</v>
      </c>
    </row>
    <row r="1223">
      <c r="A1223" s="13">
        <v>1222.0</v>
      </c>
      <c r="B1223" s="13" t="s">
        <v>4611</v>
      </c>
      <c r="C1223" s="13" t="s">
        <v>4612</v>
      </c>
      <c r="D1223" s="13" t="s">
        <v>18</v>
      </c>
      <c r="E1223" s="13" t="s">
        <v>4613</v>
      </c>
      <c r="F1223" s="13" t="s">
        <v>4614</v>
      </c>
      <c r="G1223" s="13" t="s">
        <v>117</v>
      </c>
      <c r="H1223" s="13" t="s">
        <v>16</v>
      </c>
      <c r="I1223" s="13">
        <v>11354.0</v>
      </c>
      <c r="J1223" s="5" t="str">
        <f t="shared" si="1"/>
        <v>Geraldine O'donnell</v>
      </c>
    </row>
    <row r="1224">
      <c r="A1224" s="13">
        <v>1223.0</v>
      </c>
      <c r="B1224" s="13" t="s">
        <v>4615</v>
      </c>
      <c r="C1224" s="13" t="s">
        <v>616</v>
      </c>
      <c r="D1224" s="13" t="s">
        <v>18</v>
      </c>
      <c r="E1224" s="13" t="s">
        <v>4616</v>
      </c>
      <c r="F1224" s="13" t="s">
        <v>4617</v>
      </c>
      <c r="G1224" s="13" t="s">
        <v>173</v>
      </c>
      <c r="H1224" s="13" t="s">
        <v>16</v>
      </c>
      <c r="I1224" s="13">
        <v>12553.0</v>
      </c>
      <c r="J1224" s="5" t="str">
        <f t="shared" si="1"/>
        <v>Bronwyn Vargas</v>
      </c>
    </row>
    <row r="1225">
      <c r="A1225" s="13">
        <v>1224.0</v>
      </c>
      <c r="B1225" s="13" t="s">
        <v>4618</v>
      </c>
      <c r="C1225" s="13" t="s">
        <v>4619</v>
      </c>
      <c r="D1225" s="13" t="s">
        <v>18</v>
      </c>
      <c r="E1225" s="13" t="s">
        <v>4620</v>
      </c>
      <c r="F1225" s="13" t="s">
        <v>4621</v>
      </c>
      <c r="G1225" s="13" t="s">
        <v>131</v>
      </c>
      <c r="H1225" s="13" t="s">
        <v>17</v>
      </c>
      <c r="I1225" s="13">
        <v>78552.0</v>
      </c>
      <c r="J1225" s="5" t="str">
        <f t="shared" si="1"/>
        <v>Abram Copeland</v>
      </c>
    </row>
    <row r="1226">
      <c r="A1226" s="13">
        <v>1225.0</v>
      </c>
      <c r="B1226" s="13" t="s">
        <v>1320</v>
      </c>
      <c r="C1226" s="13" t="s">
        <v>3780</v>
      </c>
      <c r="D1226" s="13" t="s">
        <v>18</v>
      </c>
      <c r="E1226" s="13" t="s">
        <v>4622</v>
      </c>
      <c r="F1226" s="13" t="s">
        <v>4623</v>
      </c>
      <c r="G1226" s="13" t="s">
        <v>157</v>
      </c>
      <c r="H1226" s="13" t="s">
        <v>15</v>
      </c>
      <c r="I1226" s="13">
        <v>93635.0</v>
      </c>
      <c r="J1226" s="5" t="str">
        <f t="shared" si="1"/>
        <v>Mellisa Griffin</v>
      </c>
    </row>
    <row r="1227">
      <c r="A1227" s="13">
        <v>1226.0</v>
      </c>
      <c r="B1227" s="13" t="s">
        <v>4624</v>
      </c>
      <c r="C1227" s="13" t="s">
        <v>464</v>
      </c>
      <c r="D1227" s="13" t="s">
        <v>18</v>
      </c>
      <c r="E1227" s="13" t="s">
        <v>4625</v>
      </c>
      <c r="F1227" s="13" t="s">
        <v>4626</v>
      </c>
      <c r="G1227" s="13" t="s">
        <v>104</v>
      </c>
      <c r="H1227" s="13" t="s">
        <v>16</v>
      </c>
      <c r="I1227" s="13">
        <v>11731.0</v>
      </c>
      <c r="J1227" s="5" t="str">
        <f t="shared" si="1"/>
        <v>Qiana Jackson</v>
      </c>
    </row>
    <row r="1228">
      <c r="A1228" s="13">
        <v>1227.0</v>
      </c>
      <c r="B1228" s="13" t="s">
        <v>4627</v>
      </c>
      <c r="C1228" s="13" t="s">
        <v>1921</v>
      </c>
      <c r="D1228" s="13" t="s">
        <v>4628</v>
      </c>
      <c r="E1228" s="13" t="s">
        <v>4629</v>
      </c>
      <c r="F1228" s="13" t="s">
        <v>4630</v>
      </c>
      <c r="G1228" s="13" t="s">
        <v>240</v>
      </c>
      <c r="H1228" s="13" t="s">
        <v>16</v>
      </c>
      <c r="I1228" s="13">
        <v>12180.0</v>
      </c>
      <c r="J1228" s="5" t="str">
        <f t="shared" si="1"/>
        <v>Magali Dixon</v>
      </c>
    </row>
    <row r="1229">
      <c r="A1229" s="13">
        <v>1228.0</v>
      </c>
      <c r="B1229" s="13" t="s">
        <v>2648</v>
      </c>
      <c r="C1229" s="13" t="s">
        <v>1800</v>
      </c>
      <c r="D1229" s="13" t="s">
        <v>4631</v>
      </c>
      <c r="E1229" s="13" t="s">
        <v>4632</v>
      </c>
      <c r="F1229" s="13" t="s">
        <v>4633</v>
      </c>
      <c r="G1229" s="13" t="s">
        <v>178</v>
      </c>
      <c r="H1229" s="13" t="s">
        <v>15</v>
      </c>
      <c r="I1229" s="13">
        <v>94603.0</v>
      </c>
      <c r="J1229" s="5" t="str">
        <f t="shared" si="1"/>
        <v>Zulema Clemons</v>
      </c>
    </row>
    <row r="1230">
      <c r="A1230" s="13">
        <v>1229.0</v>
      </c>
      <c r="B1230" s="13" t="s">
        <v>4634</v>
      </c>
      <c r="C1230" s="13" t="s">
        <v>4635</v>
      </c>
      <c r="D1230" s="13" t="s">
        <v>18</v>
      </c>
      <c r="E1230" s="13" t="s">
        <v>4636</v>
      </c>
      <c r="F1230" s="13" t="s">
        <v>4637</v>
      </c>
      <c r="G1230" s="13" t="s">
        <v>248</v>
      </c>
      <c r="H1230" s="13" t="s">
        <v>16</v>
      </c>
      <c r="I1230" s="13">
        <v>12590.0</v>
      </c>
      <c r="J1230" s="5" t="str">
        <f t="shared" si="1"/>
        <v>Carina Lynch</v>
      </c>
    </row>
    <row r="1231">
      <c r="A1231" s="13">
        <v>1230.0</v>
      </c>
      <c r="B1231" s="13" t="s">
        <v>4638</v>
      </c>
      <c r="C1231" s="13" t="s">
        <v>934</v>
      </c>
      <c r="D1231" s="13" t="s">
        <v>18</v>
      </c>
      <c r="E1231" s="13" t="s">
        <v>4639</v>
      </c>
      <c r="F1231" s="13" t="s">
        <v>4640</v>
      </c>
      <c r="G1231" s="13" t="s">
        <v>96</v>
      </c>
      <c r="H1231" s="13" t="s">
        <v>17</v>
      </c>
      <c r="I1231" s="13">
        <v>75115.0</v>
      </c>
      <c r="J1231" s="5" t="str">
        <f t="shared" si="1"/>
        <v>Jesus Burch</v>
      </c>
    </row>
    <row r="1232">
      <c r="A1232" s="13">
        <v>1231.0</v>
      </c>
      <c r="B1232" s="13" t="s">
        <v>2298</v>
      </c>
      <c r="C1232" s="13" t="s">
        <v>530</v>
      </c>
      <c r="D1232" s="13" t="s">
        <v>18</v>
      </c>
      <c r="E1232" s="13" t="s">
        <v>4641</v>
      </c>
      <c r="F1232" s="13" t="s">
        <v>4642</v>
      </c>
      <c r="G1232" s="13" t="s">
        <v>66</v>
      </c>
      <c r="H1232" s="13" t="s">
        <v>15</v>
      </c>
      <c r="I1232" s="13">
        <v>95008.0</v>
      </c>
      <c r="J1232" s="5" t="str">
        <f t="shared" si="1"/>
        <v>Selene Vega</v>
      </c>
    </row>
    <row r="1233">
      <c r="A1233" s="13">
        <v>1232.0</v>
      </c>
      <c r="B1233" s="13" t="s">
        <v>4643</v>
      </c>
      <c r="C1233" s="13" t="s">
        <v>4099</v>
      </c>
      <c r="D1233" s="13" t="s">
        <v>18</v>
      </c>
      <c r="E1233" s="13" t="s">
        <v>4644</v>
      </c>
      <c r="F1233" s="13" t="s">
        <v>4645</v>
      </c>
      <c r="G1233" s="13" t="s">
        <v>56</v>
      </c>
      <c r="H1233" s="13" t="s">
        <v>16</v>
      </c>
      <c r="I1233" s="13">
        <v>11714.0</v>
      </c>
      <c r="J1233" s="5" t="str">
        <f t="shared" si="1"/>
        <v>Jong Guthrie</v>
      </c>
    </row>
    <row r="1234">
      <c r="A1234" s="13">
        <v>1233.0</v>
      </c>
      <c r="B1234" s="13" t="s">
        <v>2160</v>
      </c>
      <c r="C1234" s="13" t="s">
        <v>1041</v>
      </c>
      <c r="D1234" s="13" t="s">
        <v>18</v>
      </c>
      <c r="E1234" s="13" t="s">
        <v>4646</v>
      </c>
      <c r="F1234" s="13" t="s">
        <v>4647</v>
      </c>
      <c r="G1234" s="13" t="s">
        <v>246</v>
      </c>
      <c r="H1234" s="13" t="s">
        <v>15</v>
      </c>
      <c r="I1234" s="13">
        <v>92083.0</v>
      </c>
      <c r="J1234" s="5" t="str">
        <f t="shared" si="1"/>
        <v>Lise Hebert</v>
      </c>
    </row>
    <row r="1235">
      <c r="A1235" s="13">
        <v>1234.0</v>
      </c>
      <c r="B1235" s="13" t="s">
        <v>2271</v>
      </c>
      <c r="C1235" s="13" t="s">
        <v>456</v>
      </c>
      <c r="D1235" s="13" t="s">
        <v>18</v>
      </c>
      <c r="E1235" s="13" t="s">
        <v>4648</v>
      </c>
      <c r="F1235" s="13" t="s">
        <v>4649</v>
      </c>
      <c r="G1235" s="13" t="s">
        <v>183</v>
      </c>
      <c r="H1235" s="13" t="s">
        <v>16</v>
      </c>
      <c r="I1235" s="13">
        <v>10562.0</v>
      </c>
      <c r="J1235" s="5" t="str">
        <f t="shared" si="1"/>
        <v>Joshua Berg</v>
      </c>
    </row>
    <row r="1236">
      <c r="A1236" s="13">
        <v>1235.0</v>
      </c>
      <c r="B1236" s="13" t="s">
        <v>4650</v>
      </c>
      <c r="C1236" s="13" t="s">
        <v>954</v>
      </c>
      <c r="D1236" s="13" t="s">
        <v>18</v>
      </c>
      <c r="E1236" s="13" t="s">
        <v>4651</v>
      </c>
      <c r="F1236" s="13" t="s">
        <v>4652</v>
      </c>
      <c r="G1236" s="13" t="s">
        <v>111</v>
      </c>
      <c r="H1236" s="13" t="s">
        <v>16</v>
      </c>
      <c r="I1236" s="13">
        <v>13760.0</v>
      </c>
      <c r="J1236" s="5" t="str">
        <f t="shared" si="1"/>
        <v>Georgina Gonzales</v>
      </c>
    </row>
    <row r="1237">
      <c r="A1237" s="13">
        <v>1236.0</v>
      </c>
      <c r="B1237" s="13" t="s">
        <v>4653</v>
      </c>
      <c r="C1237" s="13" t="s">
        <v>3563</v>
      </c>
      <c r="D1237" s="13" t="s">
        <v>18</v>
      </c>
      <c r="E1237" s="13" t="s">
        <v>4654</v>
      </c>
      <c r="F1237" s="13" t="s">
        <v>4655</v>
      </c>
      <c r="G1237" s="13" t="s">
        <v>167</v>
      </c>
      <c r="H1237" s="13" t="s">
        <v>16</v>
      </c>
      <c r="I1237" s="13">
        <v>10550.0</v>
      </c>
      <c r="J1237" s="5" t="str">
        <f t="shared" si="1"/>
        <v>Rudolph Velez</v>
      </c>
    </row>
    <row r="1238">
      <c r="A1238" s="13">
        <v>1237.0</v>
      </c>
      <c r="B1238" s="13" t="s">
        <v>1879</v>
      </c>
      <c r="C1238" s="13" t="s">
        <v>2062</v>
      </c>
      <c r="D1238" s="13" t="s">
        <v>18</v>
      </c>
      <c r="E1238" s="13" t="s">
        <v>4656</v>
      </c>
      <c r="F1238" s="13" t="s">
        <v>4657</v>
      </c>
      <c r="G1238" s="13" t="s">
        <v>56</v>
      </c>
      <c r="H1238" s="13" t="s">
        <v>16</v>
      </c>
      <c r="I1238" s="13">
        <v>11714.0</v>
      </c>
      <c r="J1238" s="5" t="str">
        <f t="shared" si="1"/>
        <v>Luke Kramer</v>
      </c>
    </row>
    <row r="1239">
      <c r="A1239" s="13">
        <v>1238.0</v>
      </c>
      <c r="B1239" s="13" t="s">
        <v>3204</v>
      </c>
      <c r="C1239" s="13" t="s">
        <v>439</v>
      </c>
      <c r="D1239" s="13" t="s">
        <v>18</v>
      </c>
      <c r="E1239" s="13" t="s">
        <v>4658</v>
      </c>
      <c r="F1239" s="13" t="s">
        <v>4659</v>
      </c>
      <c r="G1239" s="13" t="s">
        <v>131</v>
      </c>
      <c r="H1239" s="13" t="s">
        <v>17</v>
      </c>
      <c r="I1239" s="13">
        <v>78552.0</v>
      </c>
      <c r="J1239" s="5" t="str">
        <f t="shared" si="1"/>
        <v>Edgar Quinn</v>
      </c>
    </row>
    <row r="1240">
      <c r="A1240" s="13">
        <v>1239.0</v>
      </c>
      <c r="B1240" s="13" t="s">
        <v>4660</v>
      </c>
      <c r="C1240" s="13" t="s">
        <v>3208</v>
      </c>
      <c r="D1240" s="13" t="s">
        <v>18</v>
      </c>
      <c r="E1240" s="13" t="s">
        <v>4661</v>
      </c>
      <c r="F1240" s="13" t="s">
        <v>4662</v>
      </c>
      <c r="G1240" s="13" t="s">
        <v>151</v>
      </c>
      <c r="H1240" s="13" t="s">
        <v>16</v>
      </c>
      <c r="I1240" s="13">
        <v>11757.0</v>
      </c>
      <c r="J1240" s="5" t="str">
        <f t="shared" si="1"/>
        <v>Tara Maynard</v>
      </c>
    </row>
    <row r="1241">
      <c r="A1241" s="13">
        <v>1240.0</v>
      </c>
      <c r="B1241" s="13" t="s">
        <v>4663</v>
      </c>
      <c r="C1241" s="13" t="s">
        <v>2826</v>
      </c>
      <c r="D1241" s="13" t="s">
        <v>18</v>
      </c>
      <c r="E1241" s="13" t="s">
        <v>4664</v>
      </c>
      <c r="F1241" s="13" t="s">
        <v>4665</v>
      </c>
      <c r="G1241" s="13" t="s">
        <v>98</v>
      </c>
      <c r="H1241" s="13" t="s">
        <v>15</v>
      </c>
      <c r="I1241" s="13">
        <v>91010.0</v>
      </c>
      <c r="J1241" s="5" t="str">
        <f t="shared" si="1"/>
        <v>Bella Perez</v>
      </c>
    </row>
    <row r="1242">
      <c r="A1242" s="13">
        <v>1241.0</v>
      </c>
      <c r="B1242" s="13" t="s">
        <v>3547</v>
      </c>
      <c r="C1242" s="13" t="s">
        <v>4666</v>
      </c>
      <c r="D1242" s="13" t="s">
        <v>18</v>
      </c>
      <c r="E1242" s="13" t="s">
        <v>4667</v>
      </c>
      <c r="F1242" s="13" t="s">
        <v>4668</v>
      </c>
      <c r="G1242" s="13" t="s">
        <v>207</v>
      </c>
      <c r="H1242" s="13" t="s">
        <v>16</v>
      </c>
      <c r="I1242" s="13">
        <v>13440.0</v>
      </c>
      <c r="J1242" s="5" t="str">
        <f t="shared" si="1"/>
        <v>Nathaniel Davidson</v>
      </c>
    </row>
    <row r="1243">
      <c r="A1243" s="13">
        <v>1242.0</v>
      </c>
      <c r="B1243" s="13" t="s">
        <v>4669</v>
      </c>
      <c r="C1243" s="13" t="s">
        <v>4670</v>
      </c>
      <c r="D1243" s="13" t="s">
        <v>18</v>
      </c>
      <c r="E1243" s="13" t="s">
        <v>4671</v>
      </c>
      <c r="F1243" s="13" t="s">
        <v>4672</v>
      </c>
      <c r="G1243" s="13" t="s">
        <v>121</v>
      </c>
      <c r="H1243" s="13" t="s">
        <v>16</v>
      </c>
      <c r="I1243" s="13">
        <v>11010.0</v>
      </c>
      <c r="J1243" s="5" t="str">
        <f t="shared" si="1"/>
        <v>Chauncey Donaldson</v>
      </c>
    </row>
    <row r="1244">
      <c r="A1244" s="13">
        <v>1243.0</v>
      </c>
      <c r="B1244" s="13" t="s">
        <v>4673</v>
      </c>
      <c r="C1244" s="13" t="s">
        <v>1582</v>
      </c>
      <c r="D1244" s="13" t="s">
        <v>18</v>
      </c>
      <c r="E1244" s="13" t="s">
        <v>4674</v>
      </c>
      <c r="F1244" s="13" t="s">
        <v>4675</v>
      </c>
      <c r="G1244" s="13" t="s">
        <v>116</v>
      </c>
      <c r="H1244" s="13" t="s">
        <v>16</v>
      </c>
      <c r="I1244" s="13">
        <v>11001.0</v>
      </c>
      <c r="J1244" s="5" t="str">
        <f t="shared" si="1"/>
        <v>Heide Reed</v>
      </c>
    </row>
    <row r="1245">
      <c r="A1245" s="13">
        <v>1244.0</v>
      </c>
      <c r="B1245" s="13" t="s">
        <v>4676</v>
      </c>
      <c r="C1245" s="13" t="s">
        <v>340</v>
      </c>
      <c r="D1245" s="13" t="s">
        <v>18</v>
      </c>
      <c r="E1245" s="13" t="s">
        <v>4677</v>
      </c>
      <c r="F1245" s="13" t="s">
        <v>4678</v>
      </c>
      <c r="G1245" s="13" t="s">
        <v>94</v>
      </c>
      <c r="H1245" s="13" t="s">
        <v>16</v>
      </c>
      <c r="I1245" s="13">
        <v>14043.0</v>
      </c>
      <c r="J1245" s="5" t="str">
        <f t="shared" si="1"/>
        <v>Trang Hardin</v>
      </c>
    </row>
    <row r="1246">
      <c r="A1246" s="13">
        <v>1245.0</v>
      </c>
      <c r="B1246" s="13" t="s">
        <v>4679</v>
      </c>
      <c r="C1246" s="13" t="s">
        <v>3851</v>
      </c>
      <c r="D1246" s="13" t="s">
        <v>4680</v>
      </c>
      <c r="E1246" s="13" t="s">
        <v>4681</v>
      </c>
      <c r="F1246" s="13" t="s">
        <v>4682</v>
      </c>
      <c r="G1246" s="13" t="s">
        <v>154</v>
      </c>
      <c r="H1246" s="13" t="s">
        <v>16</v>
      </c>
      <c r="I1246" s="13">
        <v>11561.0</v>
      </c>
      <c r="J1246" s="5" t="str">
        <f t="shared" si="1"/>
        <v>Gabriela Warren</v>
      </c>
    </row>
    <row r="1247">
      <c r="A1247" s="13">
        <v>1246.0</v>
      </c>
      <c r="B1247" s="13" t="s">
        <v>3940</v>
      </c>
      <c r="C1247" s="13" t="s">
        <v>1195</v>
      </c>
      <c r="D1247" s="13" t="s">
        <v>18</v>
      </c>
      <c r="E1247" s="13" t="s">
        <v>4683</v>
      </c>
      <c r="F1247" s="13" t="s">
        <v>4684</v>
      </c>
      <c r="G1247" s="13" t="s">
        <v>146</v>
      </c>
      <c r="H1247" s="13" t="s">
        <v>16</v>
      </c>
      <c r="I1247" s="13">
        <v>12401.0</v>
      </c>
      <c r="J1247" s="5" t="str">
        <f t="shared" si="1"/>
        <v>Dale Rasmussen</v>
      </c>
    </row>
    <row r="1248">
      <c r="A1248" s="13">
        <v>1247.0</v>
      </c>
      <c r="B1248" s="13" t="s">
        <v>4685</v>
      </c>
      <c r="C1248" s="13" t="s">
        <v>2026</v>
      </c>
      <c r="D1248" s="13" t="s">
        <v>18</v>
      </c>
      <c r="E1248" s="13" t="s">
        <v>4686</v>
      </c>
      <c r="F1248" s="13" t="s">
        <v>4687</v>
      </c>
      <c r="G1248" s="13" t="s">
        <v>160</v>
      </c>
      <c r="H1248" s="13" t="s">
        <v>16</v>
      </c>
      <c r="I1248" s="13">
        <v>11758.0</v>
      </c>
      <c r="J1248" s="5" t="str">
        <f t="shared" si="1"/>
        <v>Tammie Cherry</v>
      </c>
    </row>
    <row r="1249">
      <c r="A1249" s="13">
        <v>1248.0</v>
      </c>
      <c r="B1249" s="13" t="s">
        <v>4688</v>
      </c>
      <c r="C1249" s="13" t="s">
        <v>4689</v>
      </c>
      <c r="D1249" s="13" t="s">
        <v>18</v>
      </c>
      <c r="E1249" s="13" t="s">
        <v>4690</v>
      </c>
      <c r="F1249" s="13" t="s">
        <v>4691</v>
      </c>
      <c r="G1249" s="13" t="s">
        <v>195</v>
      </c>
      <c r="H1249" s="13" t="s">
        <v>16</v>
      </c>
      <c r="I1249" s="13">
        <v>11776.0</v>
      </c>
      <c r="J1249" s="5" t="str">
        <f t="shared" si="1"/>
        <v>Bethany Herring</v>
      </c>
    </row>
    <row r="1250">
      <c r="A1250" s="13">
        <v>1249.0</v>
      </c>
      <c r="B1250" s="13" t="s">
        <v>4692</v>
      </c>
      <c r="C1250" s="13" t="s">
        <v>2537</v>
      </c>
      <c r="D1250" s="13" t="s">
        <v>18</v>
      </c>
      <c r="E1250" s="13" t="s">
        <v>4693</v>
      </c>
      <c r="F1250" s="13" t="s">
        <v>4694</v>
      </c>
      <c r="G1250" s="13" t="s">
        <v>203</v>
      </c>
      <c r="H1250" s="13" t="s">
        <v>15</v>
      </c>
      <c r="I1250" s="13">
        <v>93555.0</v>
      </c>
      <c r="J1250" s="5" t="str">
        <f t="shared" si="1"/>
        <v>Barbra Dickerson</v>
      </c>
    </row>
    <row r="1251">
      <c r="A1251" s="13">
        <v>1250.0</v>
      </c>
      <c r="B1251" s="13" t="s">
        <v>4695</v>
      </c>
      <c r="C1251" s="13" t="s">
        <v>4696</v>
      </c>
      <c r="D1251" s="13" t="s">
        <v>18</v>
      </c>
      <c r="E1251" s="13" t="s">
        <v>4697</v>
      </c>
      <c r="F1251" s="13" t="s">
        <v>4698</v>
      </c>
      <c r="G1251" s="13" t="s">
        <v>167</v>
      </c>
      <c r="H1251" s="13" t="s">
        <v>16</v>
      </c>
      <c r="I1251" s="13">
        <v>10550.0</v>
      </c>
      <c r="J1251" s="5" t="str">
        <f t="shared" si="1"/>
        <v>Neoma Daugherty</v>
      </c>
    </row>
    <row r="1252">
      <c r="A1252" s="13">
        <v>1251.0</v>
      </c>
      <c r="B1252" s="13" t="s">
        <v>4699</v>
      </c>
      <c r="C1252" s="13" t="s">
        <v>1722</v>
      </c>
      <c r="D1252" s="13" t="s">
        <v>18</v>
      </c>
      <c r="E1252" s="13" t="s">
        <v>4700</v>
      </c>
      <c r="F1252" s="13" t="s">
        <v>4701</v>
      </c>
      <c r="G1252" s="13" t="s">
        <v>129</v>
      </c>
      <c r="H1252" s="13" t="s">
        <v>15</v>
      </c>
      <c r="I1252" s="13">
        <v>91740.0</v>
      </c>
      <c r="J1252" s="5" t="str">
        <f t="shared" si="1"/>
        <v>Nanette Roman</v>
      </c>
    </row>
    <row r="1253">
      <c r="A1253" s="13">
        <v>1252.0</v>
      </c>
      <c r="B1253" s="13" t="s">
        <v>2460</v>
      </c>
      <c r="C1253" s="13" t="s">
        <v>1618</v>
      </c>
      <c r="D1253" s="13" t="s">
        <v>18</v>
      </c>
      <c r="E1253" s="13" t="s">
        <v>4702</v>
      </c>
      <c r="F1253" s="13" t="s">
        <v>4703</v>
      </c>
      <c r="G1253" s="13" t="s">
        <v>190</v>
      </c>
      <c r="H1253" s="13" t="s">
        <v>16</v>
      </c>
      <c r="I1253" s="13">
        <v>11803.0</v>
      </c>
      <c r="J1253" s="5" t="str">
        <f t="shared" si="1"/>
        <v>Adriene Rollins</v>
      </c>
    </row>
    <row r="1254">
      <c r="A1254" s="13">
        <v>1253.0</v>
      </c>
      <c r="B1254" s="13" t="s">
        <v>4704</v>
      </c>
      <c r="C1254" s="13" t="s">
        <v>1614</v>
      </c>
      <c r="D1254" s="13" t="s">
        <v>18</v>
      </c>
      <c r="E1254" s="13" t="s">
        <v>4705</v>
      </c>
      <c r="F1254" s="13" t="s">
        <v>4706</v>
      </c>
      <c r="G1254" s="13" t="s">
        <v>114</v>
      </c>
      <c r="H1254" s="13" t="s">
        <v>16</v>
      </c>
      <c r="I1254" s="13">
        <v>11691.0</v>
      </c>
      <c r="J1254" s="5" t="str">
        <f t="shared" si="1"/>
        <v>Susannah Fields</v>
      </c>
    </row>
    <row r="1255">
      <c r="A1255" s="13">
        <v>1254.0</v>
      </c>
      <c r="B1255" s="13" t="s">
        <v>4326</v>
      </c>
      <c r="C1255" s="13" t="s">
        <v>4382</v>
      </c>
      <c r="D1255" s="13" t="s">
        <v>18</v>
      </c>
      <c r="E1255" s="13" t="s">
        <v>4707</v>
      </c>
      <c r="F1255" s="13" t="s">
        <v>4708</v>
      </c>
      <c r="G1255" s="13" t="s">
        <v>70</v>
      </c>
      <c r="H1255" s="13" t="s">
        <v>15</v>
      </c>
      <c r="I1255" s="13">
        <v>91387.0</v>
      </c>
      <c r="J1255" s="5" t="str">
        <f t="shared" si="1"/>
        <v>Dung Reid</v>
      </c>
    </row>
    <row r="1256">
      <c r="A1256" s="13">
        <v>1255.0</v>
      </c>
      <c r="B1256" s="13" t="s">
        <v>4709</v>
      </c>
      <c r="C1256" s="13" t="s">
        <v>774</v>
      </c>
      <c r="D1256" s="13" t="s">
        <v>18</v>
      </c>
      <c r="E1256" s="13" t="s">
        <v>4710</v>
      </c>
      <c r="F1256" s="13" t="s">
        <v>4711</v>
      </c>
      <c r="G1256" s="13" t="s">
        <v>142</v>
      </c>
      <c r="H1256" s="13" t="s">
        <v>16</v>
      </c>
      <c r="I1256" s="13">
        <v>14850.0</v>
      </c>
      <c r="J1256" s="5" t="str">
        <f t="shared" si="1"/>
        <v>Ben Stone</v>
      </c>
    </row>
    <row r="1257">
      <c r="A1257" s="13">
        <v>1256.0</v>
      </c>
      <c r="B1257" s="13" t="s">
        <v>4712</v>
      </c>
      <c r="C1257" s="13" t="s">
        <v>1487</v>
      </c>
      <c r="D1257" s="13" t="s">
        <v>18</v>
      </c>
      <c r="E1257" s="13" t="s">
        <v>4713</v>
      </c>
      <c r="F1257" s="13" t="s">
        <v>4714</v>
      </c>
      <c r="G1257" s="13" t="s">
        <v>208</v>
      </c>
      <c r="H1257" s="13" t="s">
        <v>16</v>
      </c>
      <c r="I1257" s="13">
        <v>11779.0</v>
      </c>
      <c r="J1257" s="5" t="str">
        <f t="shared" si="1"/>
        <v>Nubia Anderson</v>
      </c>
    </row>
    <row r="1258">
      <c r="A1258" s="13">
        <v>1257.0</v>
      </c>
      <c r="B1258" s="13" t="s">
        <v>4715</v>
      </c>
      <c r="C1258" s="13" t="s">
        <v>4716</v>
      </c>
      <c r="D1258" s="13" t="s">
        <v>18</v>
      </c>
      <c r="E1258" s="13" t="s">
        <v>4717</v>
      </c>
      <c r="F1258" s="13" t="s">
        <v>4718</v>
      </c>
      <c r="G1258" s="13" t="s">
        <v>249</v>
      </c>
      <c r="H1258" s="13" t="s">
        <v>16</v>
      </c>
      <c r="I1258" s="13">
        <v>14580.0</v>
      </c>
      <c r="J1258" s="5" t="str">
        <f t="shared" si="1"/>
        <v>Rosamaria Meyer</v>
      </c>
    </row>
    <row r="1259">
      <c r="A1259" s="13">
        <v>1258.0</v>
      </c>
      <c r="B1259" s="13" t="s">
        <v>273</v>
      </c>
      <c r="C1259" s="13" t="s">
        <v>4719</v>
      </c>
      <c r="D1259" s="13" t="s">
        <v>18</v>
      </c>
      <c r="E1259" s="13" t="s">
        <v>4720</v>
      </c>
      <c r="F1259" s="13" t="s">
        <v>4721</v>
      </c>
      <c r="G1259" s="13" t="s">
        <v>50</v>
      </c>
      <c r="H1259" s="13" t="s">
        <v>16</v>
      </c>
      <c r="I1259" s="13">
        <v>11706.0</v>
      </c>
      <c r="J1259" s="5" t="str">
        <f t="shared" si="1"/>
        <v>Todd Waters</v>
      </c>
    </row>
    <row r="1260">
      <c r="A1260" s="13">
        <v>1259.0</v>
      </c>
      <c r="B1260" s="13" t="s">
        <v>4722</v>
      </c>
      <c r="C1260" s="13" t="s">
        <v>1944</v>
      </c>
      <c r="D1260" s="13" t="s">
        <v>18</v>
      </c>
      <c r="E1260" s="13" t="s">
        <v>4723</v>
      </c>
      <c r="F1260" s="13" t="s">
        <v>4724</v>
      </c>
      <c r="G1260" s="13" t="s">
        <v>215</v>
      </c>
      <c r="H1260" s="13" t="s">
        <v>15</v>
      </c>
      <c r="I1260" s="13">
        <v>94070.0</v>
      </c>
      <c r="J1260" s="5" t="str">
        <f t="shared" si="1"/>
        <v>Kimbery Nieves</v>
      </c>
    </row>
    <row r="1261">
      <c r="A1261" s="13">
        <v>1260.0</v>
      </c>
      <c r="B1261" s="13" t="s">
        <v>4725</v>
      </c>
      <c r="C1261" s="13" t="s">
        <v>4726</v>
      </c>
      <c r="D1261" s="13" t="s">
        <v>18</v>
      </c>
      <c r="E1261" s="13" t="s">
        <v>4727</v>
      </c>
      <c r="F1261" s="13" t="s">
        <v>4728</v>
      </c>
      <c r="G1261" s="13" t="s">
        <v>225</v>
      </c>
      <c r="H1261" s="13" t="s">
        <v>16</v>
      </c>
      <c r="I1261" s="13">
        <v>12302.0</v>
      </c>
      <c r="J1261" s="5" t="str">
        <f t="shared" si="1"/>
        <v>Phuong Wolf</v>
      </c>
    </row>
    <row r="1262">
      <c r="A1262" s="13">
        <v>1261.0</v>
      </c>
      <c r="B1262" s="13" t="s">
        <v>4729</v>
      </c>
      <c r="C1262" s="13" t="s">
        <v>3115</v>
      </c>
      <c r="D1262" s="13" t="s">
        <v>18</v>
      </c>
      <c r="E1262" s="13" t="s">
        <v>4730</v>
      </c>
      <c r="F1262" s="13" t="s">
        <v>4731</v>
      </c>
      <c r="G1262" s="13" t="s">
        <v>219</v>
      </c>
      <c r="H1262" s="13" t="s">
        <v>15</v>
      </c>
      <c r="I1262" s="13">
        <v>94806.0</v>
      </c>
      <c r="J1262" s="5" t="str">
        <f t="shared" si="1"/>
        <v>Adelaida Hancock</v>
      </c>
    </row>
    <row r="1263">
      <c r="A1263" s="13">
        <v>1262.0</v>
      </c>
      <c r="B1263" s="13" t="s">
        <v>4732</v>
      </c>
      <c r="C1263" s="13" t="s">
        <v>294</v>
      </c>
      <c r="D1263" s="13" t="s">
        <v>18</v>
      </c>
      <c r="E1263" s="13" t="s">
        <v>4733</v>
      </c>
      <c r="F1263" s="13" t="s">
        <v>4734</v>
      </c>
      <c r="G1263" s="13" t="s">
        <v>219</v>
      </c>
      <c r="H1263" s="13" t="s">
        <v>15</v>
      </c>
      <c r="I1263" s="13">
        <v>94806.0</v>
      </c>
      <c r="J1263" s="5" t="str">
        <f t="shared" si="1"/>
        <v>Brianne Hays</v>
      </c>
    </row>
    <row r="1264">
      <c r="A1264" s="13">
        <v>1263.0</v>
      </c>
      <c r="B1264" s="13" t="s">
        <v>4735</v>
      </c>
      <c r="C1264" s="13" t="s">
        <v>4736</v>
      </c>
      <c r="D1264" s="13" t="s">
        <v>18</v>
      </c>
      <c r="E1264" s="13" t="s">
        <v>4737</v>
      </c>
      <c r="F1264" s="13" t="s">
        <v>4738</v>
      </c>
      <c r="G1264" s="13" t="s">
        <v>171</v>
      </c>
      <c r="H1264" s="13" t="s">
        <v>16</v>
      </c>
      <c r="I1264" s="13">
        <v>11040.0</v>
      </c>
      <c r="J1264" s="5" t="str">
        <f t="shared" si="1"/>
        <v>Rufina Chandler</v>
      </c>
    </row>
    <row r="1265">
      <c r="A1265" s="13">
        <v>1264.0</v>
      </c>
      <c r="B1265" s="13" t="s">
        <v>2957</v>
      </c>
      <c r="C1265" s="13" t="s">
        <v>1296</v>
      </c>
      <c r="D1265" s="13" t="s">
        <v>4739</v>
      </c>
      <c r="E1265" s="13" t="s">
        <v>4740</v>
      </c>
      <c r="F1265" s="13" t="s">
        <v>4741</v>
      </c>
      <c r="G1265" s="13" t="s">
        <v>58</v>
      </c>
      <c r="H1265" s="13" t="s">
        <v>16</v>
      </c>
      <c r="I1265" s="13">
        <v>11717.0</v>
      </c>
      <c r="J1265" s="5" t="str">
        <f t="shared" si="1"/>
        <v>Devin Velazquez</v>
      </c>
    </row>
    <row r="1266">
      <c r="A1266" s="13">
        <v>1265.0</v>
      </c>
      <c r="B1266" s="13" t="s">
        <v>4742</v>
      </c>
      <c r="C1266" s="13" t="s">
        <v>1893</v>
      </c>
      <c r="D1266" s="13" t="s">
        <v>18</v>
      </c>
      <c r="E1266" s="13" t="s">
        <v>4743</v>
      </c>
      <c r="F1266" s="13" t="s">
        <v>4744</v>
      </c>
      <c r="G1266" s="13" t="s">
        <v>111</v>
      </c>
      <c r="H1266" s="13" t="s">
        <v>16</v>
      </c>
      <c r="I1266" s="13">
        <v>13760.0</v>
      </c>
      <c r="J1266" s="5" t="str">
        <f t="shared" si="1"/>
        <v>Bonita Marshall</v>
      </c>
    </row>
    <row r="1267">
      <c r="A1267" s="13">
        <v>1266.0</v>
      </c>
      <c r="B1267" s="13" t="s">
        <v>4745</v>
      </c>
      <c r="C1267" s="13" t="s">
        <v>4746</v>
      </c>
      <c r="D1267" s="13" t="s">
        <v>18</v>
      </c>
      <c r="E1267" s="13" t="s">
        <v>4747</v>
      </c>
      <c r="F1267" s="13" t="s">
        <v>4748</v>
      </c>
      <c r="G1267" s="13" t="s">
        <v>127</v>
      </c>
      <c r="H1267" s="13" t="s">
        <v>17</v>
      </c>
      <c r="I1267" s="13">
        <v>75043.0</v>
      </c>
      <c r="J1267" s="5" t="str">
        <f t="shared" si="1"/>
        <v>Myrl Gay</v>
      </c>
    </row>
    <row r="1268">
      <c r="A1268" s="13">
        <v>1267.0</v>
      </c>
      <c r="B1268" s="13" t="s">
        <v>1987</v>
      </c>
      <c r="C1268" s="13" t="s">
        <v>1270</v>
      </c>
      <c r="D1268" s="13" t="s">
        <v>18</v>
      </c>
      <c r="E1268" s="13" t="s">
        <v>4749</v>
      </c>
      <c r="F1268" s="13" t="s">
        <v>4750</v>
      </c>
      <c r="G1268" s="13" t="s">
        <v>208</v>
      </c>
      <c r="H1268" s="13" t="s">
        <v>16</v>
      </c>
      <c r="I1268" s="13">
        <v>11779.0</v>
      </c>
      <c r="J1268" s="5" t="str">
        <f t="shared" si="1"/>
        <v>Earline Gordon</v>
      </c>
    </row>
    <row r="1269">
      <c r="A1269" s="13">
        <v>1268.0</v>
      </c>
      <c r="B1269" s="13" t="s">
        <v>4751</v>
      </c>
      <c r="C1269" s="13" t="s">
        <v>3095</v>
      </c>
      <c r="D1269" s="13" t="s">
        <v>18</v>
      </c>
      <c r="E1269" s="13" t="s">
        <v>4752</v>
      </c>
      <c r="F1269" s="13" t="s">
        <v>4753</v>
      </c>
      <c r="G1269" s="13" t="s">
        <v>146</v>
      </c>
      <c r="H1269" s="13" t="s">
        <v>16</v>
      </c>
      <c r="I1269" s="13">
        <v>12401.0</v>
      </c>
      <c r="J1269" s="5" t="str">
        <f t="shared" si="1"/>
        <v>Sung Chambers</v>
      </c>
    </row>
    <row r="1270">
      <c r="A1270" s="13">
        <v>1269.0</v>
      </c>
      <c r="B1270" s="13" t="s">
        <v>4754</v>
      </c>
      <c r="C1270" s="13" t="s">
        <v>571</v>
      </c>
      <c r="D1270" s="13" t="s">
        <v>18</v>
      </c>
      <c r="E1270" s="13" t="s">
        <v>4755</v>
      </c>
      <c r="F1270" s="13" t="s">
        <v>4756</v>
      </c>
      <c r="G1270" s="13" t="s">
        <v>196</v>
      </c>
      <c r="H1270" s="13" t="s">
        <v>16</v>
      </c>
      <c r="I1270" s="13">
        <v>11050.0</v>
      </c>
      <c r="J1270" s="5" t="str">
        <f t="shared" si="1"/>
        <v>Gustavo Gamble</v>
      </c>
    </row>
    <row r="1271">
      <c r="A1271" s="13">
        <v>1270.0</v>
      </c>
      <c r="B1271" s="13" t="s">
        <v>3764</v>
      </c>
      <c r="C1271" s="13" t="s">
        <v>4207</v>
      </c>
      <c r="D1271" s="13" t="s">
        <v>18</v>
      </c>
      <c r="E1271" s="13" t="s">
        <v>4757</v>
      </c>
      <c r="F1271" s="13" t="s">
        <v>4758</v>
      </c>
      <c r="G1271" s="13" t="s">
        <v>182</v>
      </c>
      <c r="H1271" s="13" t="s">
        <v>16</v>
      </c>
      <c r="I1271" s="13">
        <v>14127.0</v>
      </c>
      <c r="J1271" s="5" t="str">
        <f t="shared" si="1"/>
        <v>Ciera Webb</v>
      </c>
    </row>
    <row r="1272">
      <c r="A1272" s="13">
        <v>1271.0</v>
      </c>
      <c r="B1272" s="13" t="s">
        <v>3608</v>
      </c>
      <c r="C1272" s="13" t="s">
        <v>2920</v>
      </c>
      <c r="D1272" s="13" t="s">
        <v>18</v>
      </c>
      <c r="E1272" s="13" t="s">
        <v>4759</v>
      </c>
      <c r="F1272" s="13" t="s">
        <v>4760</v>
      </c>
      <c r="G1272" s="13" t="s">
        <v>193</v>
      </c>
      <c r="H1272" s="13" t="s">
        <v>15</v>
      </c>
      <c r="I1272" s="13">
        <v>91768.0</v>
      </c>
      <c r="J1272" s="5" t="str">
        <f t="shared" si="1"/>
        <v>Roy Chan</v>
      </c>
    </row>
    <row r="1273">
      <c r="A1273" s="13">
        <v>1272.0</v>
      </c>
      <c r="B1273" s="13" t="s">
        <v>138</v>
      </c>
      <c r="C1273" s="13" t="s">
        <v>4761</v>
      </c>
      <c r="D1273" s="13" t="s">
        <v>18</v>
      </c>
      <c r="E1273" s="13" t="s">
        <v>4762</v>
      </c>
      <c r="F1273" s="13" t="s">
        <v>4763</v>
      </c>
      <c r="G1273" s="13" t="s">
        <v>125</v>
      </c>
      <c r="H1273" s="13" t="s">
        <v>15</v>
      </c>
      <c r="I1273" s="13">
        <v>92831.0</v>
      </c>
      <c r="J1273" s="5" t="str">
        <f t="shared" si="1"/>
        <v>Houston Vasquez</v>
      </c>
    </row>
    <row r="1274">
      <c r="A1274" s="13">
        <v>1273.0</v>
      </c>
      <c r="B1274" s="13" t="s">
        <v>4764</v>
      </c>
      <c r="C1274" s="13" t="s">
        <v>4765</v>
      </c>
      <c r="D1274" s="13" t="s">
        <v>18</v>
      </c>
      <c r="E1274" s="13" t="s">
        <v>4766</v>
      </c>
      <c r="F1274" s="13" t="s">
        <v>4767</v>
      </c>
      <c r="G1274" s="13" t="s">
        <v>184</v>
      </c>
      <c r="H1274" s="13" t="s">
        <v>16</v>
      </c>
      <c r="I1274" s="13">
        <v>13126.0</v>
      </c>
      <c r="J1274" s="5" t="str">
        <f t="shared" si="1"/>
        <v>Cheree Hale</v>
      </c>
    </row>
    <row r="1275">
      <c r="A1275" s="13">
        <v>1274.0</v>
      </c>
      <c r="B1275" s="13" t="s">
        <v>4768</v>
      </c>
      <c r="C1275" s="13" t="s">
        <v>1166</v>
      </c>
      <c r="D1275" s="13" t="s">
        <v>18</v>
      </c>
      <c r="E1275" s="13" t="s">
        <v>4769</v>
      </c>
      <c r="F1275" s="13" t="s">
        <v>4770</v>
      </c>
      <c r="G1275" s="13" t="s">
        <v>175</v>
      </c>
      <c r="H1275" s="13" t="s">
        <v>16</v>
      </c>
      <c r="I1275" s="13">
        <v>12550.0</v>
      </c>
      <c r="J1275" s="5" t="str">
        <f t="shared" si="1"/>
        <v>Odette Moses</v>
      </c>
    </row>
    <row r="1276">
      <c r="A1276" s="13">
        <v>1275.0</v>
      </c>
      <c r="B1276" s="13" t="s">
        <v>4771</v>
      </c>
      <c r="C1276" s="13" t="s">
        <v>596</v>
      </c>
      <c r="D1276" s="13" t="s">
        <v>18</v>
      </c>
      <c r="E1276" s="13" t="s">
        <v>4772</v>
      </c>
      <c r="F1276" s="13" t="s">
        <v>4773</v>
      </c>
      <c r="G1276" s="13" t="s">
        <v>157</v>
      </c>
      <c r="H1276" s="13" t="s">
        <v>15</v>
      </c>
      <c r="I1276" s="13">
        <v>93635.0</v>
      </c>
      <c r="J1276" s="5" t="str">
        <f t="shared" si="1"/>
        <v>Lenita Bonner</v>
      </c>
    </row>
    <row r="1277">
      <c r="A1277" s="13">
        <v>1276.0</v>
      </c>
      <c r="B1277" s="13" t="s">
        <v>4774</v>
      </c>
      <c r="C1277" s="13" t="s">
        <v>1440</v>
      </c>
      <c r="D1277" s="13" t="s">
        <v>18</v>
      </c>
      <c r="E1277" s="13" t="s">
        <v>4775</v>
      </c>
      <c r="F1277" s="13" t="s">
        <v>4776</v>
      </c>
      <c r="G1277" s="13" t="s">
        <v>33</v>
      </c>
      <c r="H1277" s="13" t="s">
        <v>15</v>
      </c>
      <c r="I1277" s="13">
        <v>92307.0</v>
      </c>
      <c r="J1277" s="5" t="str">
        <f t="shared" si="1"/>
        <v>Shona Mcmillan</v>
      </c>
    </row>
    <row r="1278">
      <c r="A1278" s="13">
        <v>1277.0</v>
      </c>
      <c r="B1278" s="13" t="s">
        <v>4777</v>
      </c>
      <c r="C1278" s="13" t="s">
        <v>802</v>
      </c>
      <c r="D1278" s="13" t="s">
        <v>18</v>
      </c>
      <c r="E1278" s="13" t="s">
        <v>4778</v>
      </c>
      <c r="F1278" s="13" t="s">
        <v>4779</v>
      </c>
      <c r="G1278" s="13" t="s">
        <v>86</v>
      </c>
      <c r="H1278" s="13" t="s">
        <v>16</v>
      </c>
      <c r="I1278" s="13">
        <v>11727.0</v>
      </c>
      <c r="J1278" s="5" t="str">
        <f t="shared" si="1"/>
        <v>Piedad Irwin</v>
      </c>
    </row>
    <row r="1279">
      <c r="A1279" s="13">
        <v>1278.0</v>
      </c>
      <c r="B1279" s="13" t="s">
        <v>4780</v>
      </c>
      <c r="C1279" s="13" t="s">
        <v>1514</v>
      </c>
      <c r="D1279" s="13" t="s">
        <v>18</v>
      </c>
      <c r="E1279" s="13" t="s">
        <v>4781</v>
      </c>
      <c r="F1279" s="13" t="s">
        <v>4782</v>
      </c>
      <c r="G1279" s="13" t="s">
        <v>143</v>
      </c>
      <c r="H1279" s="13" t="s">
        <v>16</v>
      </c>
      <c r="I1279" s="13">
        <v>11372.0</v>
      </c>
      <c r="J1279" s="5" t="str">
        <f t="shared" si="1"/>
        <v>Loan Graham</v>
      </c>
    </row>
    <row r="1280">
      <c r="A1280" s="13">
        <v>1279.0</v>
      </c>
      <c r="B1280" s="13" t="s">
        <v>4783</v>
      </c>
      <c r="C1280" s="13" t="s">
        <v>1904</v>
      </c>
      <c r="D1280" s="13" t="s">
        <v>18</v>
      </c>
      <c r="E1280" s="13" t="s">
        <v>4784</v>
      </c>
      <c r="F1280" s="13" t="s">
        <v>4785</v>
      </c>
      <c r="G1280" s="13" t="s">
        <v>68</v>
      </c>
      <c r="H1280" s="13" t="s">
        <v>16</v>
      </c>
      <c r="I1280" s="13">
        <v>14424.0</v>
      </c>
      <c r="J1280" s="5" t="str">
        <f t="shared" si="1"/>
        <v>Stan Saunders</v>
      </c>
    </row>
    <row r="1281">
      <c r="A1281" s="13">
        <v>1280.0</v>
      </c>
      <c r="B1281" s="13" t="s">
        <v>4786</v>
      </c>
      <c r="C1281" s="13" t="s">
        <v>2626</v>
      </c>
      <c r="D1281" s="13" t="s">
        <v>18</v>
      </c>
      <c r="E1281" s="13" t="s">
        <v>4787</v>
      </c>
      <c r="F1281" s="13" t="s">
        <v>4788</v>
      </c>
      <c r="G1281" s="13" t="s">
        <v>248</v>
      </c>
      <c r="H1281" s="13" t="s">
        <v>16</v>
      </c>
      <c r="I1281" s="13">
        <v>12590.0</v>
      </c>
      <c r="J1281" s="5" t="str">
        <f t="shared" si="1"/>
        <v>Jackeline Colon</v>
      </c>
    </row>
    <row r="1282">
      <c r="A1282" s="13">
        <v>1281.0</v>
      </c>
      <c r="B1282" s="13" t="s">
        <v>4789</v>
      </c>
      <c r="C1282" s="13" t="s">
        <v>966</v>
      </c>
      <c r="D1282" s="13" t="s">
        <v>18</v>
      </c>
      <c r="E1282" s="13" t="s">
        <v>4790</v>
      </c>
      <c r="F1282" s="13" t="s">
        <v>4791</v>
      </c>
      <c r="G1282" s="13" t="s">
        <v>256</v>
      </c>
      <c r="H1282" s="13" t="s">
        <v>16</v>
      </c>
      <c r="I1282" s="13">
        <v>11377.0</v>
      </c>
      <c r="J1282" s="5" t="str">
        <f t="shared" si="1"/>
        <v>Marlen Dawson</v>
      </c>
    </row>
    <row r="1283">
      <c r="A1283" s="13">
        <v>1282.0</v>
      </c>
      <c r="B1283" s="13" t="s">
        <v>4792</v>
      </c>
      <c r="C1283" s="13" t="s">
        <v>1568</v>
      </c>
      <c r="D1283" s="13" t="s">
        <v>4793</v>
      </c>
      <c r="E1283" s="13" t="s">
        <v>4794</v>
      </c>
      <c r="F1283" s="13" t="s">
        <v>4795</v>
      </c>
      <c r="G1283" s="13" t="s">
        <v>170</v>
      </c>
      <c r="H1283" s="13" t="s">
        <v>16</v>
      </c>
      <c r="I1283" s="13">
        <v>10956.0</v>
      </c>
      <c r="J1283" s="5" t="str">
        <f t="shared" si="1"/>
        <v>Alexis Mack</v>
      </c>
    </row>
    <row r="1284">
      <c r="A1284" s="13">
        <v>1283.0</v>
      </c>
      <c r="B1284" s="13" t="s">
        <v>4796</v>
      </c>
      <c r="C1284" s="13" t="s">
        <v>1416</v>
      </c>
      <c r="D1284" s="13" t="s">
        <v>18</v>
      </c>
      <c r="E1284" s="13" t="s">
        <v>4797</v>
      </c>
      <c r="F1284" s="13" t="s">
        <v>4798</v>
      </c>
      <c r="G1284" s="13" t="s">
        <v>137</v>
      </c>
      <c r="H1284" s="13" t="s">
        <v>16</v>
      </c>
      <c r="I1284" s="13">
        <v>12533.0</v>
      </c>
      <c r="J1284" s="5" t="str">
        <f t="shared" si="1"/>
        <v>Mica Barry</v>
      </c>
    </row>
    <row r="1285">
      <c r="A1285" s="13">
        <v>1284.0</v>
      </c>
      <c r="B1285" s="13" t="s">
        <v>4799</v>
      </c>
      <c r="C1285" s="13" t="s">
        <v>2933</v>
      </c>
      <c r="D1285" s="13" t="s">
        <v>18</v>
      </c>
      <c r="E1285" s="13" t="s">
        <v>4800</v>
      </c>
      <c r="F1285" s="13" t="s">
        <v>4801</v>
      </c>
      <c r="G1285" s="13" t="s">
        <v>62</v>
      </c>
      <c r="H1285" s="13" t="s">
        <v>16</v>
      </c>
      <c r="I1285" s="13">
        <v>11201.0</v>
      </c>
      <c r="J1285" s="5" t="str">
        <f t="shared" si="1"/>
        <v>Shanice Spears</v>
      </c>
    </row>
    <row r="1286">
      <c r="A1286" s="13">
        <v>1285.0</v>
      </c>
      <c r="B1286" s="13" t="s">
        <v>4802</v>
      </c>
      <c r="C1286" s="13" t="s">
        <v>4144</v>
      </c>
      <c r="D1286" s="13" t="s">
        <v>18</v>
      </c>
      <c r="E1286" s="13" t="s">
        <v>4803</v>
      </c>
      <c r="F1286" s="13" t="s">
        <v>4804</v>
      </c>
      <c r="G1286" s="13" t="s">
        <v>129</v>
      </c>
      <c r="H1286" s="13" t="s">
        <v>15</v>
      </c>
      <c r="I1286" s="13">
        <v>91740.0</v>
      </c>
      <c r="J1286" s="5" t="str">
        <f t="shared" si="1"/>
        <v>Garth Huff</v>
      </c>
    </row>
    <row r="1287">
      <c r="A1287" s="13">
        <v>1286.0</v>
      </c>
      <c r="B1287" s="13" t="s">
        <v>4805</v>
      </c>
      <c r="C1287" s="13" t="s">
        <v>1031</v>
      </c>
      <c r="D1287" s="13" t="s">
        <v>18</v>
      </c>
      <c r="E1287" s="13" t="s">
        <v>4806</v>
      </c>
      <c r="F1287" s="13" t="s">
        <v>4807</v>
      </c>
      <c r="G1287" s="13" t="s">
        <v>192</v>
      </c>
      <c r="H1287" s="13" t="s">
        <v>15</v>
      </c>
      <c r="I1287" s="13">
        <v>94566.0</v>
      </c>
      <c r="J1287" s="5" t="str">
        <f t="shared" si="1"/>
        <v>Dione Pratt</v>
      </c>
    </row>
    <row r="1288">
      <c r="A1288" s="13">
        <v>1287.0</v>
      </c>
      <c r="B1288" s="13" t="s">
        <v>4808</v>
      </c>
      <c r="C1288" s="13" t="s">
        <v>1092</v>
      </c>
      <c r="D1288" s="13" t="s">
        <v>18</v>
      </c>
      <c r="E1288" s="13" t="s">
        <v>4809</v>
      </c>
      <c r="F1288" s="13" t="s">
        <v>4810</v>
      </c>
      <c r="G1288" s="13" t="s">
        <v>34</v>
      </c>
      <c r="H1288" s="13" t="s">
        <v>16</v>
      </c>
      <c r="I1288" s="13">
        <v>11102.0</v>
      </c>
      <c r="J1288" s="5" t="str">
        <f t="shared" si="1"/>
        <v>Victor Pittman</v>
      </c>
    </row>
    <row r="1289">
      <c r="A1289" s="13">
        <v>1288.0</v>
      </c>
      <c r="B1289" s="13" t="s">
        <v>4811</v>
      </c>
      <c r="C1289" s="13" t="s">
        <v>3045</v>
      </c>
      <c r="D1289" s="13" t="s">
        <v>18</v>
      </c>
      <c r="E1289" s="13" t="s">
        <v>4812</v>
      </c>
      <c r="F1289" s="13" t="s">
        <v>4813</v>
      </c>
      <c r="G1289" s="13" t="s">
        <v>149</v>
      </c>
      <c r="H1289" s="13" t="s">
        <v>15</v>
      </c>
      <c r="I1289" s="13">
        <v>90260.0</v>
      </c>
      <c r="J1289" s="5" t="str">
        <f t="shared" si="1"/>
        <v>Allie Conley</v>
      </c>
    </row>
    <row r="1290">
      <c r="A1290" s="13">
        <v>1289.0</v>
      </c>
      <c r="B1290" s="13" t="s">
        <v>4814</v>
      </c>
      <c r="C1290" s="13" t="s">
        <v>1487</v>
      </c>
      <c r="D1290" s="13" t="s">
        <v>18</v>
      </c>
      <c r="E1290" s="13" t="s">
        <v>4815</v>
      </c>
      <c r="F1290" s="13" t="s">
        <v>4816</v>
      </c>
      <c r="G1290" s="13" t="s">
        <v>56</v>
      </c>
      <c r="H1290" s="13" t="s">
        <v>16</v>
      </c>
      <c r="I1290" s="13">
        <v>11714.0</v>
      </c>
      <c r="J1290" s="5" t="str">
        <f t="shared" si="1"/>
        <v>Shanelle Anderson</v>
      </c>
    </row>
    <row r="1291">
      <c r="A1291" s="13">
        <v>1290.0</v>
      </c>
      <c r="B1291" s="13" t="s">
        <v>4817</v>
      </c>
      <c r="C1291" s="13" t="s">
        <v>1984</v>
      </c>
      <c r="D1291" s="13" t="s">
        <v>18</v>
      </c>
      <c r="E1291" s="13" t="s">
        <v>4818</v>
      </c>
      <c r="F1291" s="13" t="s">
        <v>4819</v>
      </c>
      <c r="G1291" s="13" t="s">
        <v>231</v>
      </c>
      <c r="H1291" s="13" t="s">
        <v>16</v>
      </c>
      <c r="I1291" s="13">
        <v>11419.0</v>
      </c>
      <c r="J1291" s="5" t="str">
        <f t="shared" si="1"/>
        <v>Minnie Compton</v>
      </c>
    </row>
    <row r="1292">
      <c r="A1292" s="13">
        <v>1291.0</v>
      </c>
      <c r="B1292" s="13" t="s">
        <v>3901</v>
      </c>
      <c r="C1292" s="13" t="s">
        <v>689</v>
      </c>
      <c r="D1292" s="13" t="s">
        <v>18</v>
      </c>
      <c r="E1292" s="13" t="s">
        <v>4820</v>
      </c>
      <c r="F1292" s="13" t="s">
        <v>4821</v>
      </c>
      <c r="G1292" s="13" t="s">
        <v>166</v>
      </c>
      <c r="H1292" s="13" t="s">
        <v>16</v>
      </c>
      <c r="I1292" s="13">
        <v>10952.0</v>
      </c>
      <c r="J1292" s="5" t="str">
        <f t="shared" si="1"/>
        <v>Shiloh Bates</v>
      </c>
    </row>
    <row r="1293">
      <c r="A1293" s="13">
        <v>1292.0</v>
      </c>
      <c r="B1293" s="13" t="s">
        <v>4822</v>
      </c>
      <c r="C1293" s="13" t="s">
        <v>2050</v>
      </c>
      <c r="D1293" s="13" t="s">
        <v>18</v>
      </c>
      <c r="E1293" s="13" t="s">
        <v>4823</v>
      </c>
      <c r="F1293" s="13" t="s">
        <v>4824</v>
      </c>
      <c r="G1293" s="13" t="s">
        <v>218</v>
      </c>
      <c r="H1293" s="13" t="s">
        <v>15</v>
      </c>
      <c r="I1293" s="13">
        <v>94580.0</v>
      </c>
      <c r="J1293" s="5" t="str">
        <f t="shared" si="1"/>
        <v>Lakenya Oliver</v>
      </c>
    </row>
    <row r="1294">
      <c r="A1294" s="13">
        <v>1293.0</v>
      </c>
      <c r="B1294" s="13" t="s">
        <v>4825</v>
      </c>
      <c r="C1294" s="13" t="s">
        <v>2249</v>
      </c>
      <c r="D1294" s="13" t="s">
        <v>18</v>
      </c>
      <c r="E1294" s="13" t="s">
        <v>4826</v>
      </c>
      <c r="F1294" s="13" t="s">
        <v>4827</v>
      </c>
      <c r="G1294" s="13" t="s">
        <v>116</v>
      </c>
      <c r="H1294" s="13" t="s">
        <v>16</v>
      </c>
      <c r="I1294" s="13">
        <v>11001.0</v>
      </c>
      <c r="J1294" s="5" t="str">
        <f t="shared" si="1"/>
        <v>Sally Kinney</v>
      </c>
    </row>
    <row r="1295">
      <c r="A1295" s="13">
        <v>1294.0</v>
      </c>
      <c r="B1295" s="13" t="s">
        <v>4828</v>
      </c>
      <c r="C1295" s="13" t="s">
        <v>831</v>
      </c>
      <c r="D1295" s="13" t="s">
        <v>18</v>
      </c>
      <c r="E1295" s="13" t="s">
        <v>4829</v>
      </c>
      <c r="F1295" s="13" t="s">
        <v>4830</v>
      </c>
      <c r="G1295" s="13" t="s">
        <v>181</v>
      </c>
      <c r="H1295" s="13" t="s">
        <v>15</v>
      </c>
      <c r="I1295" s="13">
        <v>91762.0</v>
      </c>
      <c r="J1295" s="5" t="str">
        <f t="shared" si="1"/>
        <v>Edith Davenport</v>
      </c>
    </row>
    <row r="1296">
      <c r="A1296" s="13">
        <v>1295.0</v>
      </c>
      <c r="B1296" s="13" t="s">
        <v>4831</v>
      </c>
      <c r="C1296" s="13" t="s">
        <v>4832</v>
      </c>
      <c r="D1296" s="13" t="s">
        <v>18</v>
      </c>
      <c r="E1296" s="13" t="s">
        <v>4833</v>
      </c>
      <c r="F1296" s="13" t="s">
        <v>4834</v>
      </c>
      <c r="G1296" s="13" t="s">
        <v>177</v>
      </c>
      <c r="H1296" s="13" t="s">
        <v>16</v>
      </c>
      <c r="I1296" s="13">
        <v>14120.0</v>
      </c>
      <c r="J1296" s="5" t="str">
        <f t="shared" si="1"/>
        <v>Alline Beasley</v>
      </c>
    </row>
    <row r="1297">
      <c r="A1297" s="13">
        <v>1296.0</v>
      </c>
      <c r="B1297" s="13" t="s">
        <v>2168</v>
      </c>
      <c r="C1297" s="13" t="s">
        <v>4835</v>
      </c>
      <c r="D1297" s="13" t="s">
        <v>18</v>
      </c>
      <c r="E1297" s="13" t="s">
        <v>4836</v>
      </c>
      <c r="F1297" s="13" t="s">
        <v>4837</v>
      </c>
      <c r="G1297" s="13" t="s">
        <v>212</v>
      </c>
      <c r="H1297" s="13" t="s">
        <v>16</v>
      </c>
      <c r="I1297" s="13">
        <v>11412.0</v>
      </c>
      <c r="J1297" s="5" t="str">
        <f t="shared" si="1"/>
        <v>Travis Whitley</v>
      </c>
    </row>
    <row r="1298">
      <c r="A1298" s="13">
        <v>1297.0</v>
      </c>
      <c r="B1298" s="13" t="s">
        <v>4838</v>
      </c>
      <c r="C1298" s="13" t="s">
        <v>4839</v>
      </c>
      <c r="D1298" s="13" t="s">
        <v>18</v>
      </c>
      <c r="E1298" s="13" t="s">
        <v>4840</v>
      </c>
      <c r="F1298" s="13" t="s">
        <v>4841</v>
      </c>
      <c r="G1298" s="13" t="s">
        <v>172</v>
      </c>
      <c r="H1298" s="13" t="s">
        <v>16</v>
      </c>
      <c r="I1298" s="13">
        <v>10801.0</v>
      </c>
      <c r="J1298" s="5" t="str">
        <f t="shared" si="1"/>
        <v>Vanessa West</v>
      </c>
    </row>
    <row r="1299">
      <c r="A1299" s="13">
        <v>1298.0</v>
      </c>
      <c r="B1299" s="13" t="s">
        <v>4842</v>
      </c>
      <c r="C1299" s="13" t="s">
        <v>1096</v>
      </c>
      <c r="D1299" s="13" t="s">
        <v>18</v>
      </c>
      <c r="E1299" s="13" t="s">
        <v>4843</v>
      </c>
      <c r="F1299" s="13" t="s">
        <v>4844</v>
      </c>
      <c r="G1299" s="13" t="s">
        <v>225</v>
      </c>
      <c r="H1299" s="13" t="s">
        <v>16</v>
      </c>
      <c r="I1299" s="13">
        <v>12302.0</v>
      </c>
      <c r="J1299" s="5" t="str">
        <f t="shared" si="1"/>
        <v>Trudy Riddle</v>
      </c>
    </row>
    <row r="1300">
      <c r="A1300" s="13">
        <v>1299.0</v>
      </c>
      <c r="B1300" s="13" t="s">
        <v>4845</v>
      </c>
      <c r="C1300" s="13" t="s">
        <v>1868</v>
      </c>
      <c r="D1300" s="13" t="s">
        <v>18</v>
      </c>
      <c r="E1300" s="13" t="s">
        <v>4846</v>
      </c>
      <c r="F1300" s="13" t="s">
        <v>4847</v>
      </c>
      <c r="G1300" s="13" t="s">
        <v>258</v>
      </c>
      <c r="H1300" s="13" t="s">
        <v>16</v>
      </c>
      <c r="I1300" s="13">
        <v>10598.0</v>
      </c>
      <c r="J1300" s="5" t="str">
        <f t="shared" si="1"/>
        <v>Shauna Edwards</v>
      </c>
    </row>
    <row r="1301">
      <c r="A1301" s="13">
        <v>1300.0</v>
      </c>
      <c r="B1301" s="13" t="s">
        <v>4848</v>
      </c>
      <c r="C1301" s="13" t="s">
        <v>4598</v>
      </c>
      <c r="D1301" s="13" t="s">
        <v>18</v>
      </c>
      <c r="E1301" s="13" t="s">
        <v>4849</v>
      </c>
      <c r="F1301" s="13" t="s">
        <v>4850</v>
      </c>
      <c r="G1301" s="13" t="s">
        <v>145</v>
      </c>
      <c r="H1301" s="13" t="s">
        <v>16</v>
      </c>
      <c r="I1301" s="13">
        <v>14701.0</v>
      </c>
      <c r="J1301" s="5" t="str">
        <f t="shared" si="1"/>
        <v>Clorinda Donovan</v>
      </c>
    </row>
    <row r="1302">
      <c r="A1302" s="13">
        <v>1301.0</v>
      </c>
      <c r="B1302" s="13" t="s">
        <v>4851</v>
      </c>
      <c r="C1302" s="13" t="s">
        <v>4502</v>
      </c>
      <c r="D1302" s="13" t="s">
        <v>18</v>
      </c>
      <c r="E1302" s="13" t="s">
        <v>4852</v>
      </c>
      <c r="F1302" s="13" t="s">
        <v>4853</v>
      </c>
      <c r="G1302" s="13" t="s">
        <v>149</v>
      </c>
      <c r="H1302" s="13" t="s">
        <v>15</v>
      </c>
      <c r="I1302" s="13">
        <v>90260.0</v>
      </c>
      <c r="J1302" s="5" t="str">
        <f t="shared" si="1"/>
        <v>Raven Curtis</v>
      </c>
    </row>
    <row r="1303">
      <c r="A1303" s="13">
        <v>1302.0</v>
      </c>
      <c r="B1303" s="13" t="s">
        <v>4854</v>
      </c>
      <c r="C1303" s="13" t="s">
        <v>2252</v>
      </c>
      <c r="D1303" s="13" t="s">
        <v>18</v>
      </c>
      <c r="E1303" s="13" t="s">
        <v>4855</v>
      </c>
      <c r="F1303" s="13" t="s">
        <v>4856</v>
      </c>
      <c r="G1303" s="13" t="s">
        <v>104</v>
      </c>
      <c r="H1303" s="13" t="s">
        <v>16</v>
      </c>
      <c r="I1303" s="13">
        <v>11731.0</v>
      </c>
      <c r="J1303" s="5" t="str">
        <f t="shared" si="1"/>
        <v>Verda Gilbert</v>
      </c>
    </row>
    <row r="1304">
      <c r="A1304" s="13">
        <v>1303.0</v>
      </c>
      <c r="B1304" s="13" t="s">
        <v>4857</v>
      </c>
      <c r="C1304" s="13" t="s">
        <v>4858</v>
      </c>
      <c r="D1304" s="13" t="s">
        <v>18</v>
      </c>
      <c r="E1304" s="13" t="s">
        <v>4859</v>
      </c>
      <c r="F1304" s="13" t="s">
        <v>4860</v>
      </c>
      <c r="G1304" s="13" t="s">
        <v>256</v>
      </c>
      <c r="H1304" s="13" t="s">
        <v>16</v>
      </c>
      <c r="I1304" s="13">
        <v>11377.0</v>
      </c>
      <c r="J1304" s="5" t="str">
        <f t="shared" si="1"/>
        <v>Renay Atkins</v>
      </c>
    </row>
    <row r="1305">
      <c r="A1305" s="13">
        <v>1304.0</v>
      </c>
      <c r="B1305" s="13" t="s">
        <v>4861</v>
      </c>
      <c r="C1305" s="13" t="s">
        <v>456</v>
      </c>
      <c r="D1305" s="13" t="s">
        <v>18</v>
      </c>
      <c r="E1305" s="13" t="s">
        <v>4862</v>
      </c>
      <c r="F1305" s="13" t="s">
        <v>4863</v>
      </c>
      <c r="G1305" s="13" t="s">
        <v>136</v>
      </c>
      <c r="H1305" s="13" t="s">
        <v>16</v>
      </c>
      <c r="I1305" s="13">
        <v>11423.0</v>
      </c>
      <c r="J1305" s="5" t="str">
        <f t="shared" si="1"/>
        <v>Tama Berg</v>
      </c>
    </row>
    <row r="1306">
      <c r="A1306" s="13">
        <v>1305.0</v>
      </c>
      <c r="B1306" s="13" t="s">
        <v>4864</v>
      </c>
      <c r="C1306" s="13" t="s">
        <v>551</v>
      </c>
      <c r="D1306" s="13" t="s">
        <v>4865</v>
      </c>
      <c r="E1306" s="13" t="s">
        <v>4866</v>
      </c>
      <c r="F1306" s="13" t="s">
        <v>4867</v>
      </c>
      <c r="G1306" s="13" t="s">
        <v>204</v>
      </c>
      <c r="H1306" s="13" t="s">
        <v>16</v>
      </c>
      <c r="I1306" s="13">
        <v>14606.0</v>
      </c>
      <c r="J1306" s="5" t="str">
        <f t="shared" si="1"/>
        <v>Dalia Carson</v>
      </c>
    </row>
    <row r="1307">
      <c r="A1307" s="13">
        <v>1306.0</v>
      </c>
      <c r="B1307" s="13" t="s">
        <v>4868</v>
      </c>
      <c r="C1307" s="13" t="s">
        <v>3038</v>
      </c>
      <c r="D1307" s="13" t="s">
        <v>18</v>
      </c>
      <c r="E1307" s="13" t="s">
        <v>4869</v>
      </c>
      <c r="F1307" s="13" t="s">
        <v>4870</v>
      </c>
      <c r="G1307" s="13" t="s">
        <v>249</v>
      </c>
      <c r="H1307" s="13" t="s">
        <v>16</v>
      </c>
      <c r="I1307" s="13">
        <v>14580.0</v>
      </c>
      <c r="J1307" s="5" t="str">
        <f t="shared" si="1"/>
        <v>America Swanson</v>
      </c>
    </row>
    <row r="1308">
      <c r="A1308" s="13">
        <v>1307.0</v>
      </c>
      <c r="B1308" s="13" t="s">
        <v>4871</v>
      </c>
      <c r="C1308" s="13" t="s">
        <v>2750</v>
      </c>
      <c r="D1308" s="13" t="s">
        <v>18</v>
      </c>
      <c r="E1308" s="13" t="s">
        <v>4872</v>
      </c>
      <c r="F1308" s="13" t="s">
        <v>4873</v>
      </c>
      <c r="G1308" s="13" t="s">
        <v>157</v>
      </c>
      <c r="H1308" s="13" t="s">
        <v>15</v>
      </c>
      <c r="I1308" s="13">
        <v>93635.0</v>
      </c>
      <c r="J1308" s="5" t="str">
        <f t="shared" si="1"/>
        <v>Cinda Rocha</v>
      </c>
    </row>
    <row r="1309">
      <c r="A1309" s="13">
        <v>1308.0</v>
      </c>
      <c r="B1309" s="13" t="s">
        <v>4874</v>
      </c>
      <c r="C1309" s="13" t="s">
        <v>677</v>
      </c>
      <c r="D1309" s="13" t="s">
        <v>18</v>
      </c>
      <c r="E1309" s="13" t="s">
        <v>4875</v>
      </c>
      <c r="F1309" s="13" t="s">
        <v>4876</v>
      </c>
      <c r="G1309" s="13" t="s">
        <v>229</v>
      </c>
      <c r="H1309" s="13" t="s">
        <v>15</v>
      </c>
      <c r="I1309" s="13">
        <v>91733.0</v>
      </c>
      <c r="J1309" s="5" t="str">
        <f t="shared" si="1"/>
        <v>Shea Howell</v>
      </c>
    </row>
    <row r="1310">
      <c r="A1310" s="13">
        <v>1309.0</v>
      </c>
      <c r="B1310" s="13" t="s">
        <v>4877</v>
      </c>
      <c r="C1310" s="13" t="s">
        <v>4878</v>
      </c>
      <c r="D1310" s="13" t="s">
        <v>18</v>
      </c>
      <c r="E1310" s="13" t="s">
        <v>4879</v>
      </c>
      <c r="F1310" s="13" t="s">
        <v>4880</v>
      </c>
      <c r="G1310" s="13" t="s">
        <v>74</v>
      </c>
      <c r="H1310" s="13" t="s">
        <v>16</v>
      </c>
      <c r="I1310" s="13">
        <v>11720.0</v>
      </c>
      <c r="J1310" s="5" t="str">
        <f t="shared" si="1"/>
        <v>Kimberli Cline</v>
      </c>
    </row>
    <row r="1311">
      <c r="A1311" s="13">
        <v>1310.0</v>
      </c>
      <c r="B1311" s="13" t="s">
        <v>4881</v>
      </c>
      <c r="C1311" s="13" t="s">
        <v>591</v>
      </c>
      <c r="D1311" s="13" t="s">
        <v>18</v>
      </c>
      <c r="E1311" s="13" t="s">
        <v>4882</v>
      </c>
      <c r="F1311" s="13" t="s">
        <v>4883</v>
      </c>
      <c r="G1311" s="13" t="s">
        <v>225</v>
      </c>
      <c r="H1311" s="13" t="s">
        <v>16</v>
      </c>
      <c r="I1311" s="13">
        <v>12302.0</v>
      </c>
      <c r="J1311" s="5" t="str">
        <f t="shared" si="1"/>
        <v>Emanuel Mckee</v>
      </c>
    </row>
    <row r="1312">
      <c r="A1312" s="13">
        <v>1311.0</v>
      </c>
      <c r="B1312" s="13" t="s">
        <v>4835</v>
      </c>
      <c r="C1312" s="13" t="s">
        <v>3524</v>
      </c>
      <c r="D1312" s="13" t="s">
        <v>18</v>
      </c>
      <c r="E1312" s="13" t="s">
        <v>4884</v>
      </c>
      <c r="F1312" s="13" t="s">
        <v>4885</v>
      </c>
      <c r="G1312" s="13" t="s">
        <v>86</v>
      </c>
      <c r="H1312" s="13" t="s">
        <v>16</v>
      </c>
      <c r="I1312" s="13">
        <v>11727.0</v>
      </c>
      <c r="J1312" s="5" t="str">
        <f t="shared" si="1"/>
        <v>Whitley Cannon</v>
      </c>
    </row>
    <row r="1313">
      <c r="A1313" s="13">
        <v>1312.0</v>
      </c>
      <c r="B1313" s="13" t="s">
        <v>4886</v>
      </c>
      <c r="C1313" s="13" t="s">
        <v>4887</v>
      </c>
      <c r="D1313" s="13" t="s">
        <v>18</v>
      </c>
      <c r="E1313" s="13" t="s">
        <v>4888</v>
      </c>
      <c r="F1313" s="13" t="s">
        <v>4889</v>
      </c>
      <c r="G1313" s="13" t="s">
        <v>208</v>
      </c>
      <c r="H1313" s="13" t="s">
        <v>16</v>
      </c>
      <c r="I1313" s="13">
        <v>11779.0</v>
      </c>
      <c r="J1313" s="5" t="str">
        <f t="shared" si="1"/>
        <v>Tereasa Bird</v>
      </c>
    </row>
    <row r="1314">
      <c r="A1314" s="13">
        <v>1313.0</v>
      </c>
      <c r="B1314" s="13" t="s">
        <v>4890</v>
      </c>
      <c r="C1314" s="13" t="s">
        <v>4891</v>
      </c>
      <c r="D1314" s="13" t="s">
        <v>18</v>
      </c>
      <c r="E1314" s="13" t="s">
        <v>4892</v>
      </c>
      <c r="F1314" s="13" t="s">
        <v>4893</v>
      </c>
      <c r="G1314" s="13" t="s">
        <v>98</v>
      </c>
      <c r="H1314" s="13" t="s">
        <v>15</v>
      </c>
      <c r="I1314" s="13">
        <v>91010.0</v>
      </c>
      <c r="J1314" s="5" t="str">
        <f t="shared" si="1"/>
        <v>Dante Grimes</v>
      </c>
    </row>
    <row r="1315">
      <c r="A1315" s="13">
        <v>1314.0</v>
      </c>
      <c r="B1315" s="13" t="s">
        <v>4894</v>
      </c>
      <c r="C1315" s="13" t="s">
        <v>2778</v>
      </c>
      <c r="D1315" s="13" t="s">
        <v>18</v>
      </c>
      <c r="E1315" s="13" t="s">
        <v>4895</v>
      </c>
      <c r="F1315" s="13" t="s">
        <v>4896</v>
      </c>
      <c r="G1315" s="13" t="s">
        <v>181</v>
      </c>
      <c r="H1315" s="13" t="s">
        <v>15</v>
      </c>
      <c r="I1315" s="13">
        <v>91762.0</v>
      </c>
      <c r="J1315" s="5" t="str">
        <f t="shared" si="1"/>
        <v>Joeann Garrison</v>
      </c>
    </row>
    <row r="1316">
      <c r="A1316" s="13">
        <v>1315.0</v>
      </c>
      <c r="B1316" s="13" t="s">
        <v>4897</v>
      </c>
      <c r="C1316" s="13" t="s">
        <v>943</v>
      </c>
      <c r="D1316" s="13" t="s">
        <v>18</v>
      </c>
      <c r="E1316" s="13" t="s">
        <v>4898</v>
      </c>
      <c r="F1316" s="13" t="s">
        <v>4899</v>
      </c>
      <c r="G1316" s="13" t="s">
        <v>70</v>
      </c>
      <c r="H1316" s="13" t="s">
        <v>15</v>
      </c>
      <c r="I1316" s="13">
        <v>91387.0</v>
      </c>
      <c r="J1316" s="5" t="str">
        <f t="shared" si="1"/>
        <v>Omega Johnston</v>
      </c>
    </row>
    <row r="1317">
      <c r="A1317" s="13">
        <v>1316.0</v>
      </c>
      <c r="B1317" s="13" t="s">
        <v>4900</v>
      </c>
      <c r="C1317" s="13" t="s">
        <v>4901</v>
      </c>
      <c r="D1317" s="13" t="s">
        <v>18</v>
      </c>
      <c r="E1317" s="13" t="s">
        <v>4902</v>
      </c>
      <c r="F1317" s="13" t="s">
        <v>4903</v>
      </c>
      <c r="G1317" s="13" t="s">
        <v>160</v>
      </c>
      <c r="H1317" s="13" t="s">
        <v>16</v>
      </c>
      <c r="I1317" s="13">
        <v>11758.0</v>
      </c>
      <c r="J1317" s="5" t="str">
        <f t="shared" si="1"/>
        <v>Conrad Mueller</v>
      </c>
    </row>
    <row r="1318">
      <c r="A1318" s="13">
        <v>1317.0</v>
      </c>
      <c r="B1318" s="13" t="s">
        <v>4904</v>
      </c>
      <c r="C1318" s="13" t="s">
        <v>4905</v>
      </c>
      <c r="D1318" s="13" t="s">
        <v>18</v>
      </c>
      <c r="E1318" s="13" t="s">
        <v>4906</v>
      </c>
      <c r="F1318" s="13" t="s">
        <v>4907</v>
      </c>
      <c r="G1318" s="13" t="s">
        <v>237</v>
      </c>
      <c r="H1318" s="13" t="s">
        <v>16</v>
      </c>
      <c r="I1318" s="13">
        <v>11791.0</v>
      </c>
      <c r="J1318" s="5" t="str">
        <f t="shared" si="1"/>
        <v>Glady Wells</v>
      </c>
    </row>
    <row r="1319">
      <c r="A1319" s="13">
        <v>1318.0</v>
      </c>
      <c r="B1319" s="13" t="s">
        <v>4908</v>
      </c>
      <c r="C1319" s="13" t="s">
        <v>4909</v>
      </c>
      <c r="D1319" s="13" t="s">
        <v>4910</v>
      </c>
      <c r="E1319" s="13" t="s">
        <v>4911</v>
      </c>
      <c r="F1319" s="13" t="s">
        <v>4912</v>
      </c>
      <c r="G1319" s="13" t="s">
        <v>214</v>
      </c>
      <c r="H1319" s="13" t="s">
        <v>17</v>
      </c>
      <c r="I1319" s="13">
        <v>78213.0</v>
      </c>
      <c r="J1319" s="5" t="str">
        <f t="shared" si="1"/>
        <v>Tisha Petty</v>
      </c>
    </row>
    <row r="1320">
      <c r="A1320" s="13">
        <v>1319.0</v>
      </c>
      <c r="B1320" s="13" t="s">
        <v>4913</v>
      </c>
      <c r="C1320" s="13" t="s">
        <v>4914</v>
      </c>
      <c r="D1320" s="13" t="s">
        <v>18</v>
      </c>
      <c r="E1320" s="13" t="s">
        <v>4915</v>
      </c>
      <c r="F1320" s="13" t="s">
        <v>4916</v>
      </c>
      <c r="G1320" s="13" t="s">
        <v>175</v>
      </c>
      <c r="H1320" s="13" t="s">
        <v>16</v>
      </c>
      <c r="I1320" s="13">
        <v>12550.0</v>
      </c>
      <c r="J1320" s="5" t="str">
        <f t="shared" si="1"/>
        <v>Claris Santiago</v>
      </c>
    </row>
    <row r="1321">
      <c r="A1321" s="13">
        <v>1320.0</v>
      </c>
      <c r="B1321" s="13" t="s">
        <v>4917</v>
      </c>
      <c r="C1321" s="13" t="s">
        <v>1036</v>
      </c>
      <c r="D1321" s="13" t="s">
        <v>18</v>
      </c>
      <c r="E1321" s="13" t="s">
        <v>4918</v>
      </c>
      <c r="F1321" s="13" t="s">
        <v>4919</v>
      </c>
      <c r="G1321" s="13" t="s">
        <v>175</v>
      </c>
      <c r="H1321" s="13" t="s">
        <v>16</v>
      </c>
      <c r="I1321" s="13">
        <v>12550.0</v>
      </c>
      <c r="J1321" s="5" t="str">
        <f t="shared" si="1"/>
        <v>Obdulia Barber</v>
      </c>
    </row>
    <row r="1322">
      <c r="A1322" s="13">
        <v>1321.0</v>
      </c>
      <c r="B1322" s="13" t="s">
        <v>4920</v>
      </c>
      <c r="C1322" s="13" t="s">
        <v>3164</v>
      </c>
      <c r="D1322" s="13" t="s">
        <v>18</v>
      </c>
      <c r="E1322" s="13" t="s">
        <v>4921</v>
      </c>
      <c r="F1322" s="13" t="s">
        <v>4922</v>
      </c>
      <c r="G1322" s="13" t="s">
        <v>252</v>
      </c>
      <c r="H1322" s="13" t="s">
        <v>16</v>
      </c>
      <c r="I1322" s="13">
        <v>11795.0</v>
      </c>
      <c r="J1322" s="5" t="str">
        <f t="shared" si="1"/>
        <v>Shantel Gregory</v>
      </c>
    </row>
    <row r="1323">
      <c r="A1323" s="13">
        <v>1322.0</v>
      </c>
      <c r="B1323" s="13" t="s">
        <v>4923</v>
      </c>
      <c r="C1323" s="13" t="s">
        <v>4924</v>
      </c>
      <c r="D1323" s="13" t="s">
        <v>18</v>
      </c>
      <c r="E1323" s="13" t="s">
        <v>4925</v>
      </c>
      <c r="F1323" s="13" t="s">
        <v>4926</v>
      </c>
      <c r="G1323" s="13" t="s">
        <v>121</v>
      </c>
      <c r="H1323" s="13" t="s">
        <v>16</v>
      </c>
      <c r="I1323" s="13">
        <v>11010.0</v>
      </c>
      <c r="J1323" s="5" t="str">
        <f t="shared" si="1"/>
        <v>Ai Forbes</v>
      </c>
    </row>
    <row r="1324">
      <c r="A1324" s="13">
        <v>1323.0</v>
      </c>
      <c r="B1324" s="13" t="s">
        <v>4927</v>
      </c>
      <c r="C1324" s="13" t="s">
        <v>1472</v>
      </c>
      <c r="D1324" s="13" t="s">
        <v>18</v>
      </c>
      <c r="E1324" s="13" t="s">
        <v>4928</v>
      </c>
      <c r="F1324" s="13" t="s">
        <v>4929</v>
      </c>
      <c r="G1324" s="13" t="s">
        <v>250</v>
      </c>
      <c r="H1324" s="13" t="s">
        <v>16</v>
      </c>
      <c r="I1324" s="13">
        <v>11704.0</v>
      </c>
      <c r="J1324" s="5" t="str">
        <f t="shared" si="1"/>
        <v>Ebony Cotton</v>
      </c>
    </row>
    <row r="1325">
      <c r="A1325" s="13">
        <v>1324.0</v>
      </c>
      <c r="B1325" s="13" t="s">
        <v>4930</v>
      </c>
      <c r="C1325" s="13" t="s">
        <v>3667</v>
      </c>
      <c r="D1325" s="13" t="s">
        <v>18</v>
      </c>
      <c r="E1325" s="13" t="s">
        <v>4931</v>
      </c>
      <c r="F1325" s="13" t="s">
        <v>4932</v>
      </c>
      <c r="G1325" s="13" t="s">
        <v>243</v>
      </c>
      <c r="H1325" s="13" t="s">
        <v>16</v>
      </c>
      <c r="I1325" s="13">
        <v>13501.0</v>
      </c>
      <c r="J1325" s="5" t="str">
        <f t="shared" si="1"/>
        <v>Arla Ellis</v>
      </c>
    </row>
    <row r="1326">
      <c r="A1326" s="13">
        <v>1325.0</v>
      </c>
      <c r="B1326" s="13" t="s">
        <v>4933</v>
      </c>
      <c r="C1326" s="13" t="s">
        <v>1151</v>
      </c>
      <c r="D1326" s="13" t="s">
        <v>18</v>
      </c>
      <c r="E1326" s="13" t="s">
        <v>4934</v>
      </c>
      <c r="F1326" s="13" t="s">
        <v>4935</v>
      </c>
      <c r="G1326" s="13" t="s">
        <v>184</v>
      </c>
      <c r="H1326" s="13" t="s">
        <v>16</v>
      </c>
      <c r="I1326" s="13">
        <v>13126.0</v>
      </c>
      <c r="J1326" s="5" t="str">
        <f t="shared" si="1"/>
        <v>Magdalena Sherman</v>
      </c>
    </row>
    <row r="1327">
      <c r="A1327" s="13">
        <v>1326.0</v>
      </c>
      <c r="B1327" s="13" t="s">
        <v>4936</v>
      </c>
      <c r="C1327" s="13" t="s">
        <v>1845</v>
      </c>
      <c r="D1327" s="13" t="s">
        <v>18</v>
      </c>
      <c r="E1327" s="13" t="s">
        <v>4937</v>
      </c>
      <c r="F1327" s="13" t="s">
        <v>4938</v>
      </c>
      <c r="G1327" s="13" t="s">
        <v>38</v>
      </c>
      <c r="H1327" s="13" t="s">
        <v>16</v>
      </c>
      <c r="I1327" s="13">
        <v>13021.0</v>
      </c>
      <c r="J1327" s="5" t="str">
        <f t="shared" si="1"/>
        <v>Tarra Guerrero</v>
      </c>
    </row>
    <row r="1328">
      <c r="A1328" s="13">
        <v>1327.0</v>
      </c>
      <c r="B1328" s="13" t="s">
        <v>4538</v>
      </c>
      <c r="C1328" s="13" t="s">
        <v>4939</v>
      </c>
      <c r="D1328" s="13" t="s">
        <v>18</v>
      </c>
      <c r="E1328" s="13" t="s">
        <v>4940</v>
      </c>
      <c r="F1328" s="13" t="s">
        <v>4941</v>
      </c>
      <c r="G1328" s="13" t="s">
        <v>165</v>
      </c>
      <c r="H1328" s="13" t="s">
        <v>16</v>
      </c>
      <c r="I1328" s="13">
        <v>10950.0</v>
      </c>
      <c r="J1328" s="5" t="str">
        <f t="shared" si="1"/>
        <v>Consuela Romero</v>
      </c>
    </row>
    <row r="1329">
      <c r="A1329" s="13">
        <v>1328.0</v>
      </c>
      <c r="B1329" s="13" t="s">
        <v>4942</v>
      </c>
      <c r="C1329" s="13" t="s">
        <v>4943</v>
      </c>
      <c r="D1329" s="13" t="s">
        <v>18</v>
      </c>
      <c r="E1329" s="13" t="s">
        <v>4944</v>
      </c>
      <c r="F1329" s="13" t="s">
        <v>4945</v>
      </c>
      <c r="G1329" s="13" t="s">
        <v>149</v>
      </c>
      <c r="H1329" s="13" t="s">
        <v>15</v>
      </c>
      <c r="I1329" s="13">
        <v>90260.0</v>
      </c>
      <c r="J1329" s="5" t="str">
        <f t="shared" si="1"/>
        <v>Cindie Franklin</v>
      </c>
    </row>
    <row r="1330">
      <c r="A1330" s="13">
        <v>1329.0</v>
      </c>
      <c r="B1330" s="13" t="s">
        <v>649</v>
      </c>
      <c r="C1330" s="13" t="s">
        <v>4946</v>
      </c>
      <c r="D1330" s="13" t="s">
        <v>18</v>
      </c>
      <c r="E1330" s="13" t="s">
        <v>4947</v>
      </c>
      <c r="F1330" s="13" t="s">
        <v>4948</v>
      </c>
      <c r="G1330" s="13" t="s">
        <v>136</v>
      </c>
      <c r="H1330" s="13" t="s">
        <v>16</v>
      </c>
      <c r="I1330" s="13">
        <v>11423.0</v>
      </c>
      <c r="J1330" s="5" t="str">
        <f t="shared" si="1"/>
        <v>Sharyn Brewer</v>
      </c>
    </row>
    <row r="1331">
      <c r="A1331" s="13">
        <v>1330.0</v>
      </c>
      <c r="B1331" s="13" t="s">
        <v>4949</v>
      </c>
      <c r="C1331" s="13" t="s">
        <v>3746</v>
      </c>
      <c r="D1331" s="13" t="s">
        <v>18</v>
      </c>
      <c r="E1331" s="13" t="s">
        <v>4950</v>
      </c>
      <c r="F1331" s="13" t="s">
        <v>4951</v>
      </c>
      <c r="G1331" s="13" t="s">
        <v>215</v>
      </c>
      <c r="H1331" s="13" t="s">
        <v>15</v>
      </c>
      <c r="I1331" s="13">
        <v>94070.0</v>
      </c>
      <c r="J1331" s="5" t="str">
        <f t="shared" si="1"/>
        <v>Karren Stevenson</v>
      </c>
    </row>
    <row r="1332">
      <c r="A1332" s="13">
        <v>1331.0</v>
      </c>
      <c r="B1332" s="13" t="s">
        <v>4164</v>
      </c>
      <c r="C1332" s="13" t="s">
        <v>2551</v>
      </c>
      <c r="D1332" s="13" t="s">
        <v>18</v>
      </c>
      <c r="E1332" s="13" t="s">
        <v>4952</v>
      </c>
      <c r="F1332" s="13" t="s">
        <v>4953</v>
      </c>
      <c r="G1332" s="13" t="s">
        <v>175</v>
      </c>
      <c r="H1332" s="13" t="s">
        <v>16</v>
      </c>
      <c r="I1332" s="13">
        <v>12550.0</v>
      </c>
      <c r="J1332" s="5" t="str">
        <f t="shared" si="1"/>
        <v>Divina Reeves</v>
      </c>
    </row>
    <row r="1333">
      <c r="A1333" s="13">
        <v>1332.0</v>
      </c>
      <c r="B1333" s="13" t="s">
        <v>3793</v>
      </c>
      <c r="C1333" s="13" t="s">
        <v>1125</v>
      </c>
      <c r="D1333" s="13" t="s">
        <v>18</v>
      </c>
      <c r="E1333" s="13" t="s">
        <v>4954</v>
      </c>
      <c r="F1333" s="13" t="s">
        <v>4955</v>
      </c>
      <c r="G1333" s="13" t="s">
        <v>129</v>
      </c>
      <c r="H1333" s="13" t="s">
        <v>15</v>
      </c>
      <c r="I1333" s="13">
        <v>91740.0</v>
      </c>
      <c r="J1333" s="5" t="str">
        <f t="shared" si="1"/>
        <v>Novella Ross</v>
      </c>
    </row>
    <row r="1334">
      <c r="A1334" s="13">
        <v>1333.0</v>
      </c>
      <c r="B1334" s="13" t="s">
        <v>4897</v>
      </c>
      <c r="C1334" s="13" t="s">
        <v>4144</v>
      </c>
      <c r="D1334" s="13" t="s">
        <v>18</v>
      </c>
      <c r="E1334" s="13" t="s">
        <v>4956</v>
      </c>
      <c r="F1334" s="13" t="s">
        <v>4957</v>
      </c>
      <c r="G1334" s="13" t="s">
        <v>222</v>
      </c>
      <c r="H1334" s="13" t="s">
        <v>15</v>
      </c>
      <c r="I1334" s="13">
        <v>90403.0</v>
      </c>
      <c r="J1334" s="5" t="str">
        <f t="shared" si="1"/>
        <v>Omega Huff</v>
      </c>
    </row>
    <row r="1335">
      <c r="A1335" s="13">
        <v>1334.0</v>
      </c>
      <c r="B1335" s="13" t="s">
        <v>2585</v>
      </c>
      <c r="C1335" s="13" t="s">
        <v>4958</v>
      </c>
      <c r="D1335" s="13" t="s">
        <v>18</v>
      </c>
      <c r="E1335" s="13" t="s">
        <v>4959</v>
      </c>
      <c r="F1335" s="13" t="s">
        <v>4960</v>
      </c>
      <c r="G1335" s="13" t="s">
        <v>175</v>
      </c>
      <c r="H1335" s="13" t="s">
        <v>16</v>
      </c>
      <c r="I1335" s="13">
        <v>12550.0</v>
      </c>
      <c r="J1335" s="5" t="str">
        <f t="shared" si="1"/>
        <v>Ashleigh Finch</v>
      </c>
    </row>
    <row r="1336">
      <c r="A1336" s="13">
        <v>1335.0</v>
      </c>
      <c r="B1336" s="13" t="s">
        <v>4961</v>
      </c>
      <c r="C1336" s="13" t="s">
        <v>4635</v>
      </c>
      <c r="D1336" s="13" t="s">
        <v>18</v>
      </c>
      <c r="E1336" s="13" t="s">
        <v>4962</v>
      </c>
      <c r="F1336" s="13" t="s">
        <v>4963</v>
      </c>
      <c r="G1336" s="13" t="s">
        <v>209</v>
      </c>
      <c r="H1336" s="13" t="s">
        <v>16</v>
      </c>
      <c r="I1336" s="13">
        <v>11422.0</v>
      </c>
      <c r="J1336" s="5" t="str">
        <f t="shared" si="1"/>
        <v>Corina Lynch</v>
      </c>
    </row>
    <row r="1337">
      <c r="A1337" s="13">
        <v>1336.0</v>
      </c>
      <c r="B1337" s="13" t="s">
        <v>4964</v>
      </c>
      <c r="C1337" s="13" t="s">
        <v>538</v>
      </c>
      <c r="D1337" s="13" t="s">
        <v>18</v>
      </c>
      <c r="E1337" s="13" t="s">
        <v>4965</v>
      </c>
      <c r="F1337" s="13" t="s">
        <v>4966</v>
      </c>
      <c r="G1337" s="13" t="s">
        <v>173</v>
      </c>
      <c r="H1337" s="13" t="s">
        <v>16</v>
      </c>
      <c r="I1337" s="13">
        <v>12553.0</v>
      </c>
      <c r="J1337" s="5" t="str">
        <f t="shared" si="1"/>
        <v>Joe Melton</v>
      </c>
    </row>
    <row r="1338">
      <c r="A1338" s="13">
        <v>1337.0</v>
      </c>
      <c r="B1338" s="13" t="s">
        <v>862</v>
      </c>
      <c r="C1338" s="13" t="s">
        <v>2084</v>
      </c>
      <c r="D1338" s="13" t="s">
        <v>18</v>
      </c>
      <c r="E1338" s="13" t="s">
        <v>4967</v>
      </c>
      <c r="F1338" s="13" t="s">
        <v>4968</v>
      </c>
      <c r="G1338" s="13" t="s">
        <v>155</v>
      </c>
      <c r="H1338" s="13" t="s">
        <v>17</v>
      </c>
      <c r="I1338" s="13">
        <v>75604.0</v>
      </c>
      <c r="J1338" s="5" t="str">
        <f t="shared" si="1"/>
        <v>Bernetta Summers</v>
      </c>
    </row>
    <row r="1339">
      <c r="A1339" s="13">
        <v>1338.0</v>
      </c>
      <c r="B1339" s="13" t="s">
        <v>4969</v>
      </c>
      <c r="C1339" s="13" t="s">
        <v>4970</v>
      </c>
      <c r="D1339" s="13" t="s">
        <v>18</v>
      </c>
      <c r="E1339" s="13" t="s">
        <v>4971</v>
      </c>
      <c r="F1339" s="13" t="s">
        <v>4972</v>
      </c>
      <c r="G1339" s="13" t="s">
        <v>208</v>
      </c>
      <c r="H1339" s="13" t="s">
        <v>16</v>
      </c>
      <c r="I1339" s="13">
        <v>11779.0</v>
      </c>
      <c r="J1339" s="5" t="str">
        <f t="shared" si="1"/>
        <v>Inez Snider</v>
      </c>
    </row>
    <row r="1340">
      <c r="A1340" s="13">
        <v>1339.0</v>
      </c>
      <c r="B1340" s="13" t="s">
        <v>4973</v>
      </c>
      <c r="C1340" s="13" t="s">
        <v>1088</v>
      </c>
      <c r="D1340" s="13" t="s">
        <v>4974</v>
      </c>
      <c r="E1340" s="13" t="s">
        <v>4975</v>
      </c>
      <c r="F1340" s="13" t="s">
        <v>4976</v>
      </c>
      <c r="G1340" s="13" t="s">
        <v>180</v>
      </c>
      <c r="H1340" s="13" t="s">
        <v>16</v>
      </c>
      <c r="I1340" s="13">
        <v>11572.0</v>
      </c>
      <c r="J1340" s="5" t="str">
        <f t="shared" si="1"/>
        <v>Neida King</v>
      </c>
    </row>
    <row r="1341">
      <c r="A1341" s="13">
        <v>1340.0</v>
      </c>
      <c r="B1341" s="13" t="s">
        <v>4977</v>
      </c>
      <c r="C1341" s="13" t="s">
        <v>4978</v>
      </c>
      <c r="D1341" s="13" t="s">
        <v>18</v>
      </c>
      <c r="E1341" s="13" t="s">
        <v>4979</v>
      </c>
      <c r="F1341" s="13" t="s">
        <v>4980</v>
      </c>
      <c r="G1341" s="13" t="s">
        <v>254</v>
      </c>
      <c r="H1341" s="13" t="s">
        <v>16</v>
      </c>
      <c r="I1341" s="13">
        <v>11357.0</v>
      </c>
      <c r="J1341" s="5" t="str">
        <f t="shared" si="1"/>
        <v>Tona Velasquez</v>
      </c>
    </row>
    <row r="1342">
      <c r="A1342" s="13">
        <v>1341.0</v>
      </c>
      <c r="B1342" s="13" t="s">
        <v>4981</v>
      </c>
      <c r="C1342" s="13" t="s">
        <v>3252</v>
      </c>
      <c r="D1342" s="13" t="s">
        <v>18</v>
      </c>
      <c r="E1342" s="13" t="s">
        <v>4982</v>
      </c>
      <c r="F1342" s="13" t="s">
        <v>4983</v>
      </c>
      <c r="G1342" s="13" t="s">
        <v>126</v>
      </c>
      <c r="H1342" s="13" t="s">
        <v>16</v>
      </c>
      <c r="I1342" s="13">
        <v>11530.0</v>
      </c>
      <c r="J1342" s="5" t="str">
        <f t="shared" si="1"/>
        <v>Rozanne Reyes</v>
      </c>
    </row>
    <row r="1343">
      <c r="A1343" s="13">
        <v>1342.0</v>
      </c>
      <c r="B1343" s="13" t="s">
        <v>4984</v>
      </c>
      <c r="C1343" s="13" t="s">
        <v>1167</v>
      </c>
      <c r="D1343" s="13" t="s">
        <v>18</v>
      </c>
      <c r="E1343" s="13" t="s">
        <v>4985</v>
      </c>
      <c r="F1343" s="13" t="s">
        <v>4986</v>
      </c>
      <c r="G1343" s="13" t="s">
        <v>122</v>
      </c>
      <c r="H1343" s="13" t="s">
        <v>16</v>
      </c>
      <c r="I1343" s="13">
        <v>11520.0</v>
      </c>
      <c r="J1343" s="5" t="str">
        <f t="shared" si="1"/>
        <v>Lekisha Pope</v>
      </c>
    </row>
    <row r="1344">
      <c r="A1344" s="13">
        <v>1343.0</v>
      </c>
      <c r="B1344" s="13" t="s">
        <v>4987</v>
      </c>
      <c r="C1344" s="13" t="s">
        <v>903</v>
      </c>
      <c r="D1344" s="13" t="s">
        <v>18</v>
      </c>
      <c r="E1344" s="13" t="s">
        <v>4988</v>
      </c>
      <c r="F1344" s="13" t="s">
        <v>4989</v>
      </c>
      <c r="G1344" s="13" t="s">
        <v>242</v>
      </c>
      <c r="H1344" s="13" t="s">
        <v>15</v>
      </c>
      <c r="I1344" s="13">
        <v>91784.0</v>
      </c>
      <c r="J1344" s="5" t="str">
        <f t="shared" si="1"/>
        <v>Jama Rodriquez</v>
      </c>
    </row>
    <row r="1345">
      <c r="A1345" s="13">
        <v>1344.0</v>
      </c>
      <c r="B1345" s="13" t="s">
        <v>4990</v>
      </c>
      <c r="C1345" s="13" t="s">
        <v>4991</v>
      </c>
      <c r="D1345" s="13" t="s">
        <v>18</v>
      </c>
      <c r="E1345" s="13" t="s">
        <v>4992</v>
      </c>
      <c r="F1345" s="13" t="s">
        <v>4993</v>
      </c>
      <c r="G1345" s="13" t="s">
        <v>139</v>
      </c>
      <c r="H1345" s="13" t="s">
        <v>16</v>
      </c>
      <c r="I1345" s="13">
        <v>11414.0</v>
      </c>
      <c r="J1345" s="5" t="str">
        <f t="shared" si="1"/>
        <v>Eloisa Tucker</v>
      </c>
    </row>
    <row r="1346">
      <c r="A1346" s="13">
        <v>1345.0</v>
      </c>
      <c r="B1346" s="13" t="s">
        <v>4994</v>
      </c>
      <c r="C1346" s="13" t="s">
        <v>518</v>
      </c>
      <c r="D1346" s="13" t="s">
        <v>18</v>
      </c>
      <c r="E1346" s="13" t="s">
        <v>4995</v>
      </c>
      <c r="F1346" s="13" t="s">
        <v>4996</v>
      </c>
      <c r="G1346" s="13" t="s">
        <v>117</v>
      </c>
      <c r="H1346" s="13" t="s">
        <v>16</v>
      </c>
      <c r="I1346" s="13">
        <v>11354.0</v>
      </c>
      <c r="J1346" s="5" t="str">
        <f t="shared" si="1"/>
        <v>Arie Hunter</v>
      </c>
    </row>
    <row r="1347">
      <c r="A1347" s="13">
        <v>1346.0</v>
      </c>
      <c r="B1347" s="13" t="s">
        <v>4997</v>
      </c>
      <c r="C1347" s="13" t="s">
        <v>249</v>
      </c>
      <c r="D1347" s="13" t="s">
        <v>4998</v>
      </c>
      <c r="E1347" s="13" t="s">
        <v>4999</v>
      </c>
      <c r="F1347" s="13" t="s">
        <v>5000</v>
      </c>
      <c r="G1347" s="13" t="s">
        <v>156</v>
      </c>
      <c r="H1347" s="13" t="s">
        <v>15</v>
      </c>
      <c r="I1347" s="13">
        <v>90008.0</v>
      </c>
      <c r="J1347" s="5" t="str">
        <f t="shared" si="1"/>
        <v>Sanora Webster</v>
      </c>
    </row>
    <row r="1348">
      <c r="A1348" s="13">
        <v>1347.0</v>
      </c>
      <c r="B1348" s="13" t="s">
        <v>5001</v>
      </c>
      <c r="C1348" s="13" t="s">
        <v>1036</v>
      </c>
      <c r="D1348" s="13" t="s">
        <v>18</v>
      </c>
      <c r="E1348" s="13" t="s">
        <v>5002</v>
      </c>
      <c r="F1348" s="13" t="s">
        <v>5003</v>
      </c>
      <c r="G1348" s="13" t="s">
        <v>223</v>
      </c>
      <c r="H1348" s="13" t="s">
        <v>16</v>
      </c>
      <c r="I1348" s="13">
        <v>12866.0</v>
      </c>
      <c r="J1348" s="5" t="str">
        <f t="shared" si="1"/>
        <v>Kate Barber</v>
      </c>
    </row>
    <row r="1349">
      <c r="A1349" s="13">
        <v>1348.0</v>
      </c>
      <c r="B1349" s="13" t="s">
        <v>3122</v>
      </c>
      <c r="C1349" s="13" t="s">
        <v>1845</v>
      </c>
      <c r="D1349" s="13" t="s">
        <v>18</v>
      </c>
      <c r="E1349" s="13" t="s">
        <v>5004</v>
      </c>
      <c r="F1349" s="13" t="s">
        <v>5005</v>
      </c>
      <c r="G1349" s="13" t="s">
        <v>163</v>
      </c>
      <c r="H1349" s="13" t="s">
        <v>16</v>
      </c>
      <c r="I1349" s="13">
        <v>11566.0</v>
      </c>
      <c r="J1349" s="5" t="str">
        <f t="shared" si="1"/>
        <v>Yvone Guerrero</v>
      </c>
    </row>
    <row r="1350">
      <c r="A1350" s="13">
        <v>1349.0</v>
      </c>
      <c r="B1350" s="13" t="s">
        <v>5006</v>
      </c>
      <c r="C1350" s="13" t="s">
        <v>2054</v>
      </c>
      <c r="D1350" s="13" t="s">
        <v>18</v>
      </c>
      <c r="E1350" s="13" t="s">
        <v>5007</v>
      </c>
      <c r="F1350" s="13" t="s">
        <v>5008</v>
      </c>
      <c r="G1350" s="13" t="s">
        <v>110</v>
      </c>
      <c r="H1350" s="13" t="s">
        <v>15</v>
      </c>
      <c r="I1350" s="13">
        <v>91316.0</v>
      </c>
      <c r="J1350" s="5" t="str">
        <f t="shared" si="1"/>
        <v>Kami Rios</v>
      </c>
    </row>
    <row r="1351">
      <c r="A1351" s="13">
        <v>1350.0</v>
      </c>
      <c r="B1351" s="13" t="s">
        <v>1457</v>
      </c>
      <c r="C1351" s="13" t="s">
        <v>5009</v>
      </c>
      <c r="D1351" s="13" t="s">
        <v>18</v>
      </c>
      <c r="E1351" s="13" t="s">
        <v>5010</v>
      </c>
      <c r="F1351" s="13" t="s">
        <v>5011</v>
      </c>
      <c r="G1351" s="13" t="s">
        <v>209</v>
      </c>
      <c r="H1351" s="13" t="s">
        <v>16</v>
      </c>
      <c r="I1351" s="13">
        <v>11422.0</v>
      </c>
      <c r="J1351" s="5" t="str">
        <f t="shared" si="1"/>
        <v>Annett Rush</v>
      </c>
    </row>
    <row r="1352">
      <c r="A1352" s="13">
        <v>1351.0</v>
      </c>
      <c r="B1352" s="13" t="s">
        <v>5012</v>
      </c>
      <c r="C1352" s="13" t="s">
        <v>5013</v>
      </c>
      <c r="D1352" s="13" t="s">
        <v>18</v>
      </c>
      <c r="E1352" s="13" t="s">
        <v>5014</v>
      </c>
      <c r="F1352" s="13" t="s">
        <v>5015</v>
      </c>
      <c r="G1352" s="13" t="s">
        <v>145</v>
      </c>
      <c r="H1352" s="13" t="s">
        <v>16</v>
      </c>
      <c r="I1352" s="13">
        <v>14701.0</v>
      </c>
      <c r="J1352" s="5" t="str">
        <f t="shared" si="1"/>
        <v>Carman Hardy</v>
      </c>
    </row>
    <row r="1353">
      <c r="A1353" s="13">
        <v>1352.0</v>
      </c>
      <c r="B1353" s="13" t="s">
        <v>2866</v>
      </c>
      <c r="C1353" s="13" t="s">
        <v>3068</v>
      </c>
      <c r="D1353" s="13" t="s">
        <v>18</v>
      </c>
      <c r="E1353" s="13" t="s">
        <v>5016</v>
      </c>
      <c r="F1353" s="13" t="s">
        <v>5017</v>
      </c>
      <c r="G1353" s="13" t="s">
        <v>242</v>
      </c>
      <c r="H1353" s="13" t="s">
        <v>15</v>
      </c>
      <c r="I1353" s="13">
        <v>91784.0</v>
      </c>
      <c r="J1353" s="5" t="str">
        <f t="shared" si="1"/>
        <v>Dorothea Miranda</v>
      </c>
    </row>
    <row r="1354">
      <c r="A1354" s="13">
        <v>1353.0</v>
      </c>
      <c r="B1354" s="13" t="s">
        <v>3125</v>
      </c>
      <c r="C1354" s="13" t="s">
        <v>2414</v>
      </c>
      <c r="D1354" s="13" t="s">
        <v>18</v>
      </c>
      <c r="E1354" s="13" t="s">
        <v>5018</v>
      </c>
      <c r="F1354" s="13" t="s">
        <v>5019</v>
      </c>
      <c r="G1354" s="13" t="s">
        <v>229</v>
      </c>
      <c r="H1354" s="13" t="s">
        <v>15</v>
      </c>
      <c r="I1354" s="13">
        <v>91733.0</v>
      </c>
      <c r="J1354" s="5" t="str">
        <f t="shared" si="1"/>
        <v>Agatha Daniels</v>
      </c>
    </row>
    <row r="1355">
      <c r="A1355" s="13">
        <v>1354.0</v>
      </c>
      <c r="B1355" s="13" t="s">
        <v>5020</v>
      </c>
      <c r="C1355" s="13" t="s">
        <v>1468</v>
      </c>
      <c r="D1355" s="13" t="s">
        <v>18</v>
      </c>
      <c r="E1355" s="13" t="s">
        <v>5021</v>
      </c>
      <c r="F1355" s="13" t="s">
        <v>5022</v>
      </c>
      <c r="G1355" s="13" t="s">
        <v>225</v>
      </c>
      <c r="H1355" s="13" t="s">
        <v>16</v>
      </c>
      <c r="I1355" s="13">
        <v>12302.0</v>
      </c>
      <c r="J1355" s="5" t="str">
        <f t="shared" si="1"/>
        <v>Alexandria Zamora</v>
      </c>
    </row>
    <row r="1356">
      <c r="A1356" s="13">
        <v>1355.0</v>
      </c>
      <c r="B1356" s="13" t="s">
        <v>2360</v>
      </c>
      <c r="C1356" s="13" t="s">
        <v>918</v>
      </c>
      <c r="D1356" s="13" t="s">
        <v>18</v>
      </c>
      <c r="E1356" s="13" t="s">
        <v>5023</v>
      </c>
      <c r="F1356" s="13" t="s">
        <v>5024</v>
      </c>
      <c r="G1356" s="13" t="s">
        <v>150</v>
      </c>
      <c r="H1356" s="13" t="s">
        <v>16</v>
      </c>
      <c r="I1356" s="13">
        <v>11756.0</v>
      </c>
      <c r="J1356" s="5" t="str">
        <f t="shared" si="1"/>
        <v>Thad Gilliam</v>
      </c>
    </row>
    <row r="1357">
      <c r="A1357" s="13">
        <v>1356.0</v>
      </c>
      <c r="B1357" s="13" t="s">
        <v>5025</v>
      </c>
      <c r="C1357" s="13" t="s">
        <v>5026</v>
      </c>
      <c r="D1357" s="13" t="s">
        <v>18</v>
      </c>
      <c r="E1357" s="13" t="s">
        <v>5027</v>
      </c>
      <c r="F1357" s="13" t="s">
        <v>5028</v>
      </c>
      <c r="G1357" s="13" t="s">
        <v>188</v>
      </c>
      <c r="H1357" s="13" t="s">
        <v>16</v>
      </c>
      <c r="I1357" s="13">
        <v>11772.0</v>
      </c>
      <c r="J1357" s="5" t="str">
        <f t="shared" si="1"/>
        <v>Inger Jennings</v>
      </c>
    </row>
    <row r="1358">
      <c r="A1358" s="13">
        <v>1357.0</v>
      </c>
      <c r="B1358" s="13" t="s">
        <v>4949</v>
      </c>
      <c r="C1358" s="13" t="s">
        <v>3222</v>
      </c>
      <c r="D1358" s="13" t="s">
        <v>5029</v>
      </c>
      <c r="E1358" s="13" t="s">
        <v>5030</v>
      </c>
      <c r="F1358" s="13" t="s">
        <v>5031</v>
      </c>
      <c r="G1358" s="13" t="s">
        <v>124</v>
      </c>
      <c r="H1358" s="13" t="s">
        <v>15</v>
      </c>
      <c r="I1358" s="13">
        <v>93706.0</v>
      </c>
      <c r="J1358" s="5" t="str">
        <f t="shared" si="1"/>
        <v>Karren Lamb</v>
      </c>
    </row>
    <row r="1359">
      <c r="A1359" s="13">
        <v>1358.0</v>
      </c>
      <c r="B1359" s="13" t="s">
        <v>410</v>
      </c>
      <c r="C1359" s="13" t="s">
        <v>1557</v>
      </c>
      <c r="D1359" s="13" t="s">
        <v>18</v>
      </c>
      <c r="E1359" s="13" t="s">
        <v>5032</v>
      </c>
      <c r="F1359" s="13" t="s">
        <v>5033</v>
      </c>
      <c r="G1359" s="13" t="s">
        <v>182</v>
      </c>
      <c r="H1359" s="13" t="s">
        <v>16</v>
      </c>
      <c r="I1359" s="13">
        <v>14127.0</v>
      </c>
      <c r="J1359" s="5" t="str">
        <f t="shared" si="1"/>
        <v>Noble Glover</v>
      </c>
    </row>
    <row r="1360">
      <c r="A1360" s="13">
        <v>1359.0</v>
      </c>
      <c r="B1360" s="13" t="s">
        <v>1858</v>
      </c>
      <c r="C1360" s="13" t="s">
        <v>4670</v>
      </c>
      <c r="D1360" s="13" t="s">
        <v>18</v>
      </c>
      <c r="E1360" s="13" t="s">
        <v>5034</v>
      </c>
      <c r="F1360" s="13" t="s">
        <v>5035</v>
      </c>
      <c r="G1360" s="13" t="s">
        <v>150</v>
      </c>
      <c r="H1360" s="13" t="s">
        <v>16</v>
      </c>
      <c r="I1360" s="13">
        <v>11756.0</v>
      </c>
      <c r="J1360" s="5" t="str">
        <f t="shared" si="1"/>
        <v>Octavia Donaldson</v>
      </c>
    </row>
    <row r="1361">
      <c r="A1361" s="13">
        <v>1360.0</v>
      </c>
      <c r="B1361" s="13" t="s">
        <v>5036</v>
      </c>
      <c r="C1361" s="13" t="s">
        <v>2168</v>
      </c>
      <c r="D1361" s="13" t="s">
        <v>18</v>
      </c>
      <c r="E1361" s="13" t="s">
        <v>5037</v>
      </c>
      <c r="F1361" s="13" t="s">
        <v>5038</v>
      </c>
      <c r="G1361" s="13" t="s">
        <v>242</v>
      </c>
      <c r="H1361" s="13" t="s">
        <v>15</v>
      </c>
      <c r="I1361" s="13">
        <v>91784.0</v>
      </c>
      <c r="J1361" s="5" t="str">
        <f t="shared" si="1"/>
        <v>Latashia Travis</v>
      </c>
    </row>
    <row r="1362">
      <c r="A1362" s="13">
        <v>1361.0</v>
      </c>
      <c r="B1362" s="13" t="s">
        <v>5039</v>
      </c>
      <c r="C1362" s="13" t="s">
        <v>681</v>
      </c>
      <c r="D1362" s="13" t="s">
        <v>18</v>
      </c>
      <c r="E1362" s="13" t="s">
        <v>5040</v>
      </c>
      <c r="F1362" s="13" t="s">
        <v>5041</v>
      </c>
      <c r="G1362" s="13" t="s">
        <v>253</v>
      </c>
      <c r="H1362" s="13" t="s">
        <v>16</v>
      </c>
      <c r="I1362" s="13">
        <v>11590.0</v>
      </c>
      <c r="J1362" s="5" t="str">
        <f t="shared" si="1"/>
        <v>Destiny Goodman</v>
      </c>
    </row>
    <row r="1363">
      <c r="A1363" s="13">
        <v>1362.0</v>
      </c>
      <c r="B1363" s="13" t="s">
        <v>5042</v>
      </c>
      <c r="C1363" s="13" t="s">
        <v>3936</v>
      </c>
      <c r="D1363" s="13" t="s">
        <v>18</v>
      </c>
      <c r="E1363" s="13" t="s">
        <v>5043</v>
      </c>
      <c r="F1363" s="13" t="s">
        <v>5044</v>
      </c>
      <c r="G1363" s="13" t="s">
        <v>182</v>
      </c>
      <c r="H1363" s="13" t="s">
        <v>16</v>
      </c>
      <c r="I1363" s="13">
        <v>14127.0</v>
      </c>
      <c r="J1363" s="5" t="str">
        <f t="shared" si="1"/>
        <v>Christiana Gross</v>
      </c>
    </row>
    <row r="1364">
      <c r="A1364" s="13">
        <v>1363.0</v>
      </c>
      <c r="B1364" s="13" t="s">
        <v>5045</v>
      </c>
      <c r="C1364" s="13" t="s">
        <v>5046</v>
      </c>
      <c r="D1364" s="13" t="s">
        <v>5047</v>
      </c>
      <c r="E1364" s="13" t="s">
        <v>5048</v>
      </c>
      <c r="F1364" s="13" t="s">
        <v>5049</v>
      </c>
      <c r="G1364" s="13" t="s">
        <v>138</v>
      </c>
      <c r="H1364" s="13" t="s">
        <v>17</v>
      </c>
      <c r="I1364" s="13">
        <v>77016.0</v>
      </c>
      <c r="J1364" s="5" t="str">
        <f t="shared" si="1"/>
        <v>Nestor Haynes</v>
      </c>
    </row>
    <row r="1365">
      <c r="A1365" s="13">
        <v>1364.0</v>
      </c>
      <c r="B1365" s="13" t="s">
        <v>5050</v>
      </c>
      <c r="C1365" s="13" t="s">
        <v>3208</v>
      </c>
      <c r="D1365" s="13" t="s">
        <v>18</v>
      </c>
      <c r="E1365" s="13" t="s">
        <v>5051</v>
      </c>
      <c r="F1365" s="13" t="s">
        <v>5052</v>
      </c>
      <c r="G1365" s="13" t="s">
        <v>46</v>
      </c>
      <c r="H1365" s="13" t="s">
        <v>16</v>
      </c>
      <c r="I1365" s="13">
        <v>12020.0</v>
      </c>
      <c r="J1365" s="5" t="str">
        <f t="shared" si="1"/>
        <v>Grisel Maynard</v>
      </c>
    </row>
    <row r="1366">
      <c r="A1366" s="13">
        <v>1365.0</v>
      </c>
      <c r="B1366" s="13" t="s">
        <v>3951</v>
      </c>
      <c r="C1366" s="13" t="s">
        <v>323</v>
      </c>
      <c r="D1366" s="13" t="s">
        <v>18</v>
      </c>
      <c r="E1366" s="13" t="s">
        <v>5053</v>
      </c>
      <c r="F1366" s="13" t="s">
        <v>5054</v>
      </c>
      <c r="G1366" s="13" t="s">
        <v>198</v>
      </c>
      <c r="H1366" s="13" t="s">
        <v>16</v>
      </c>
      <c r="I1366" s="13">
        <v>12804.0</v>
      </c>
      <c r="J1366" s="5" t="str">
        <f t="shared" si="1"/>
        <v>Shenna Espinoza</v>
      </c>
    </row>
    <row r="1367">
      <c r="A1367" s="13">
        <v>1366.0</v>
      </c>
      <c r="B1367" s="13" t="s">
        <v>2756</v>
      </c>
      <c r="C1367" s="13" t="s">
        <v>2655</v>
      </c>
      <c r="D1367" s="13" t="s">
        <v>18</v>
      </c>
      <c r="E1367" s="13" t="s">
        <v>5055</v>
      </c>
      <c r="F1367" s="13" t="s">
        <v>5056</v>
      </c>
      <c r="G1367" s="13" t="s">
        <v>66</v>
      </c>
      <c r="H1367" s="13" t="s">
        <v>15</v>
      </c>
      <c r="I1367" s="13">
        <v>95008.0</v>
      </c>
      <c r="J1367" s="5" t="str">
        <f t="shared" si="1"/>
        <v>Trena Rogers</v>
      </c>
    </row>
    <row r="1368">
      <c r="A1368" s="13">
        <v>1367.0</v>
      </c>
      <c r="B1368" s="13" t="s">
        <v>5057</v>
      </c>
      <c r="C1368" s="13" t="s">
        <v>3034</v>
      </c>
      <c r="D1368" s="13" t="s">
        <v>18</v>
      </c>
      <c r="E1368" s="13" t="s">
        <v>5058</v>
      </c>
      <c r="F1368" s="13" t="s">
        <v>5059</v>
      </c>
      <c r="G1368" s="13" t="s">
        <v>66</v>
      </c>
      <c r="H1368" s="13" t="s">
        <v>15</v>
      </c>
      <c r="I1368" s="13">
        <v>95008.0</v>
      </c>
      <c r="J1368" s="5" t="str">
        <f t="shared" si="1"/>
        <v>Lucile Manning</v>
      </c>
    </row>
    <row r="1369">
      <c r="A1369" s="13">
        <v>1368.0</v>
      </c>
      <c r="B1369" s="13" t="s">
        <v>5060</v>
      </c>
      <c r="C1369" s="13" t="s">
        <v>5061</v>
      </c>
      <c r="D1369" s="13" t="s">
        <v>18</v>
      </c>
      <c r="E1369" s="13" t="s">
        <v>5062</v>
      </c>
      <c r="F1369" s="13" t="s">
        <v>5063</v>
      </c>
      <c r="G1369" s="13" t="s">
        <v>46</v>
      </c>
      <c r="H1369" s="13" t="s">
        <v>16</v>
      </c>
      <c r="I1369" s="13">
        <v>12020.0</v>
      </c>
      <c r="J1369" s="5" t="str">
        <f t="shared" si="1"/>
        <v>Veronique Fulton</v>
      </c>
    </row>
    <row r="1370">
      <c r="A1370" s="13">
        <v>1369.0</v>
      </c>
      <c r="B1370" s="13" t="s">
        <v>5064</v>
      </c>
      <c r="C1370" s="13" t="s">
        <v>1897</v>
      </c>
      <c r="D1370" s="13" t="s">
        <v>18</v>
      </c>
      <c r="E1370" s="13" t="s">
        <v>5065</v>
      </c>
      <c r="F1370" s="13" t="s">
        <v>5066</v>
      </c>
      <c r="G1370" s="13" t="s">
        <v>227</v>
      </c>
      <c r="H1370" s="13" t="s">
        <v>16</v>
      </c>
      <c r="I1370" s="13">
        <v>11967.0</v>
      </c>
      <c r="J1370" s="5" t="str">
        <f t="shared" si="1"/>
        <v>Starr Schneider</v>
      </c>
    </row>
    <row r="1371">
      <c r="A1371" s="13">
        <v>1370.0</v>
      </c>
      <c r="B1371" s="13" t="s">
        <v>5067</v>
      </c>
      <c r="C1371" s="13" t="s">
        <v>1698</v>
      </c>
      <c r="D1371" s="13" t="s">
        <v>5068</v>
      </c>
      <c r="E1371" s="13" t="s">
        <v>5069</v>
      </c>
      <c r="F1371" s="13" t="s">
        <v>5070</v>
      </c>
      <c r="G1371" s="13" t="s">
        <v>217</v>
      </c>
      <c r="H1371" s="13" t="s">
        <v>15</v>
      </c>
      <c r="I1371" s="13">
        <v>95127.0</v>
      </c>
      <c r="J1371" s="5" t="str">
        <f t="shared" si="1"/>
        <v>Rona Rojas</v>
      </c>
    </row>
    <row r="1372">
      <c r="A1372" s="13">
        <v>1371.0</v>
      </c>
      <c r="B1372" s="13" t="s">
        <v>5071</v>
      </c>
      <c r="C1372" s="13" t="s">
        <v>1183</v>
      </c>
      <c r="D1372" s="13" t="s">
        <v>18</v>
      </c>
      <c r="E1372" s="13" t="s">
        <v>5072</v>
      </c>
      <c r="F1372" s="13" t="s">
        <v>5073</v>
      </c>
      <c r="G1372" s="13" t="s">
        <v>171</v>
      </c>
      <c r="H1372" s="13" t="s">
        <v>16</v>
      </c>
      <c r="I1372" s="13">
        <v>11040.0</v>
      </c>
      <c r="J1372" s="5" t="str">
        <f t="shared" si="1"/>
        <v>Pandora Estes</v>
      </c>
    </row>
    <row r="1373">
      <c r="A1373" s="13">
        <v>1372.0</v>
      </c>
      <c r="B1373" s="13" t="s">
        <v>5074</v>
      </c>
      <c r="C1373" s="13" t="s">
        <v>3532</v>
      </c>
      <c r="D1373" s="13" t="s">
        <v>18</v>
      </c>
      <c r="E1373" s="13" t="s">
        <v>5075</v>
      </c>
      <c r="F1373" s="13" t="s">
        <v>5076</v>
      </c>
      <c r="G1373" s="13" t="s">
        <v>230</v>
      </c>
      <c r="H1373" s="13" t="s">
        <v>16</v>
      </c>
      <c r="I1373" s="13">
        <v>11420.0</v>
      </c>
      <c r="J1373" s="5" t="str">
        <f t="shared" si="1"/>
        <v>Renna Williams</v>
      </c>
    </row>
    <row r="1374">
      <c r="A1374" s="13">
        <v>1373.0</v>
      </c>
      <c r="B1374" s="13" t="s">
        <v>5077</v>
      </c>
      <c r="C1374" s="13" t="s">
        <v>887</v>
      </c>
      <c r="D1374" s="13" t="s">
        <v>18</v>
      </c>
      <c r="E1374" s="13" t="s">
        <v>5078</v>
      </c>
      <c r="F1374" s="13" t="s">
        <v>5079</v>
      </c>
      <c r="G1374" s="13" t="s">
        <v>250</v>
      </c>
      <c r="H1374" s="13" t="s">
        <v>16</v>
      </c>
      <c r="I1374" s="13">
        <v>11704.0</v>
      </c>
      <c r="J1374" s="5" t="str">
        <f t="shared" si="1"/>
        <v>Lanora Robbins</v>
      </c>
    </row>
    <row r="1375">
      <c r="A1375" s="13">
        <v>1374.0</v>
      </c>
      <c r="B1375" s="13" t="s">
        <v>5080</v>
      </c>
      <c r="C1375" s="13" t="s">
        <v>749</v>
      </c>
      <c r="D1375" s="13" t="s">
        <v>18</v>
      </c>
      <c r="E1375" s="13" t="s">
        <v>5081</v>
      </c>
      <c r="F1375" s="13" t="s">
        <v>5082</v>
      </c>
      <c r="G1375" s="13" t="s">
        <v>129</v>
      </c>
      <c r="H1375" s="13" t="s">
        <v>15</v>
      </c>
      <c r="I1375" s="13">
        <v>91740.0</v>
      </c>
      <c r="J1375" s="5" t="str">
        <f t="shared" si="1"/>
        <v>Juliane Dillard</v>
      </c>
    </row>
    <row r="1376">
      <c r="A1376" s="13">
        <v>1375.0</v>
      </c>
      <c r="B1376" s="13" t="s">
        <v>5083</v>
      </c>
      <c r="C1376" s="13" t="s">
        <v>1286</v>
      </c>
      <c r="D1376" s="13" t="s">
        <v>18</v>
      </c>
      <c r="E1376" s="13" t="s">
        <v>5084</v>
      </c>
      <c r="F1376" s="13" t="s">
        <v>5085</v>
      </c>
      <c r="G1376" s="13" t="s">
        <v>144</v>
      </c>
      <c r="H1376" s="13" t="s">
        <v>16</v>
      </c>
      <c r="I1376" s="13">
        <v>11432.0</v>
      </c>
      <c r="J1376" s="5" t="str">
        <f t="shared" si="1"/>
        <v>Carlena Salinas</v>
      </c>
    </row>
    <row r="1377">
      <c r="A1377" s="13">
        <v>1376.0</v>
      </c>
      <c r="B1377" s="13" t="s">
        <v>5086</v>
      </c>
      <c r="C1377" s="13" t="s">
        <v>978</v>
      </c>
      <c r="D1377" s="13" t="s">
        <v>18</v>
      </c>
      <c r="E1377" s="13" t="s">
        <v>5087</v>
      </c>
      <c r="F1377" s="13" t="s">
        <v>5088</v>
      </c>
      <c r="G1377" s="13" t="s">
        <v>196</v>
      </c>
      <c r="H1377" s="13" t="s">
        <v>16</v>
      </c>
      <c r="I1377" s="13">
        <v>11050.0</v>
      </c>
      <c r="J1377" s="5" t="str">
        <f t="shared" si="1"/>
        <v>Kimberley Reynolds</v>
      </c>
    </row>
    <row r="1378">
      <c r="A1378" s="13">
        <v>1377.0</v>
      </c>
      <c r="B1378" s="13" t="s">
        <v>5089</v>
      </c>
      <c r="C1378" s="13" t="s">
        <v>3177</v>
      </c>
      <c r="D1378" s="13" t="s">
        <v>5090</v>
      </c>
      <c r="E1378" s="13" t="s">
        <v>5091</v>
      </c>
      <c r="F1378" s="13" t="s">
        <v>5092</v>
      </c>
      <c r="G1378" s="13" t="s">
        <v>204</v>
      </c>
      <c r="H1378" s="13" t="s">
        <v>16</v>
      </c>
      <c r="I1378" s="13">
        <v>14606.0</v>
      </c>
      <c r="J1378" s="5" t="str">
        <f t="shared" si="1"/>
        <v>Johana Jacobson</v>
      </c>
    </row>
    <row r="1379">
      <c r="A1379" s="13">
        <v>1378.0</v>
      </c>
      <c r="B1379" s="13" t="s">
        <v>5093</v>
      </c>
      <c r="C1379" s="13" t="s">
        <v>1662</v>
      </c>
      <c r="D1379" s="13" t="s">
        <v>5094</v>
      </c>
      <c r="E1379" s="13" t="s">
        <v>5095</v>
      </c>
      <c r="F1379" s="13" t="s">
        <v>5096</v>
      </c>
      <c r="G1379" s="13" t="s">
        <v>124</v>
      </c>
      <c r="H1379" s="13" t="s">
        <v>15</v>
      </c>
      <c r="I1379" s="13">
        <v>93706.0</v>
      </c>
      <c r="J1379" s="5" t="str">
        <f t="shared" si="1"/>
        <v>Enoch Rosario</v>
      </c>
    </row>
    <row r="1380">
      <c r="A1380" s="13">
        <v>1379.0</v>
      </c>
      <c r="B1380" s="13" t="s">
        <v>1047</v>
      </c>
      <c r="C1380" s="13" t="s">
        <v>2409</v>
      </c>
      <c r="D1380" s="13" t="s">
        <v>18</v>
      </c>
      <c r="E1380" s="13" t="s">
        <v>5097</v>
      </c>
      <c r="F1380" s="13" t="s">
        <v>5098</v>
      </c>
      <c r="G1380" s="13" t="s">
        <v>236</v>
      </c>
      <c r="H1380" s="13" t="s">
        <v>16</v>
      </c>
      <c r="I1380" s="13">
        <v>11104.0</v>
      </c>
      <c r="J1380" s="5" t="str">
        <f t="shared" si="1"/>
        <v>Dorine Thornton</v>
      </c>
    </row>
    <row r="1381">
      <c r="A1381" s="13">
        <v>1380.0</v>
      </c>
      <c r="B1381" s="13" t="s">
        <v>1519</v>
      </c>
      <c r="C1381" s="13" t="s">
        <v>4635</v>
      </c>
      <c r="D1381" s="13" t="s">
        <v>18</v>
      </c>
      <c r="E1381" s="13" t="s">
        <v>5099</v>
      </c>
      <c r="F1381" s="13" t="s">
        <v>5100</v>
      </c>
      <c r="G1381" s="13" t="s">
        <v>241</v>
      </c>
      <c r="H1381" s="13" t="s">
        <v>16</v>
      </c>
      <c r="I1381" s="13">
        <v>11553.0</v>
      </c>
      <c r="J1381" s="5" t="str">
        <f t="shared" si="1"/>
        <v>Eliz Lynch</v>
      </c>
    </row>
    <row r="1382">
      <c r="A1382" s="13">
        <v>1381.0</v>
      </c>
      <c r="B1382" s="13" t="s">
        <v>5101</v>
      </c>
      <c r="C1382" s="13" t="s">
        <v>5102</v>
      </c>
      <c r="D1382" s="13" t="s">
        <v>18</v>
      </c>
      <c r="E1382" s="13" t="s">
        <v>5103</v>
      </c>
      <c r="F1382" s="13" t="s">
        <v>5104</v>
      </c>
      <c r="G1382" s="13" t="s">
        <v>98</v>
      </c>
      <c r="H1382" s="13" t="s">
        <v>15</v>
      </c>
      <c r="I1382" s="13">
        <v>91010.0</v>
      </c>
      <c r="J1382" s="5" t="str">
        <f t="shared" si="1"/>
        <v>Mercedez Brooks</v>
      </c>
    </row>
    <row r="1383">
      <c r="A1383" s="13">
        <v>1382.0</v>
      </c>
      <c r="B1383" s="13" t="s">
        <v>5105</v>
      </c>
      <c r="C1383" s="13" t="s">
        <v>3245</v>
      </c>
      <c r="D1383" s="13" t="s">
        <v>18</v>
      </c>
      <c r="E1383" s="13" t="s">
        <v>5106</v>
      </c>
      <c r="F1383" s="13" t="s">
        <v>5107</v>
      </c>
      <c r="G1383" s="13" t="s">
        <v>131</v>
      </c>
      <c r="H1383" s="13" t="s">
        <v>17</v>
      </c>
      <c r="I1383" s="13">
        <v>78552.0</v>
      </c>
      <c r="J1383" s="5" t="str">
        <f t="shared" si="1"/>
        <v>Wynona Douglas</v>
      </c>
    </row>
    <row r="1384">
      <c r="A1384" s="13">
        <v>1383.0</v>
      </c>
      <c r="B1384" s="13" t="s">
        <v>5108</v>
      </c>
      <c r="C1384" s="13" t="s">
        <v>620</v>
      </c>
      <c r="D1384" s="13" t="s">
        <v>5109</v>
      </c>
      <c r="E1384" s="13" t="s">
        <v>5110</v>
      </c>
      <c r="F1384" s="13" t="s">
        <v>5111</v>
      </c>
      <c r="G1384" s="13" t="s">
        <v>40</v>
      </c>
      <c r="H1384" s="13" t="s">
        <v>15</v>
      </c>
      <c r="I1384" s="13">
        <v>93306.0</v>
      </c>
      <c r="J1384" s="5" t="str">
        <f t="shared" si="1"/>
        <v>Desire Mcgowan</v>
      </c>
    </row>
    <row r="1385">
      <c r="A1385" s="13">
        <v>1384.0</v>
      </c>
      <c r="B1385" s="13" t="s">
        <v>2371</v>
      </c>
      <c r="C1385" s="13" t="s">
        <v>5112</v>
      </c>
      <c r="D1385" s="13" t="s">
        <v>18</v>
      </c>
      <c r="E1385" s="13" t="s">
        <v>5113</v>
      </c>
      <c r="F1385" s="13" t="s">
        <v>5114</v>
      </c>
      <c r="G1385" s="13" t="s">
        <v>215</v>
      </c>
      <c r="H1385" s="13" t="s">
        <v>15</v>
      </c>
      <c r="I1385" s="13">
        <v>94070.0</v>
      </c>
      <c r="J1385" s="5" t="str">
        <f t="shared" si="1"/>
        <v>Elmo Sweeney</v>
      </c>
    </row>
    <row r="1386">
      <c r="A1386" s="13">
        <v>1385.0</v>
      </c>
      <c r="B1386" s="13" t="s">
        <v>5115</v>
      </c>
      <c r="C1386" s="13" t="s">
        <v>2417</v>
      </c>
      <c r="D1386" s="13" t="s">
        <v>18</v>
      </c>
      <c r="E1386" s="13" t="s">
        <v>5116</v>
      </c>
      <c r="F1386" s="13" t="s">
        <v>5117</v>
      </c>
      <c r="G1386" s="13" t="s">
        <v>68</v>
      </c>
      <c r="H1386" s="13" t="s">
        <v>16</v>
      </c>
      <c r="I1386" s="13">
        <v>14424.0</v>
      </c>
      <c r="J1386" s="5" t="str">
        <f t="shared" si="1"/>
        <v>Kenton Hughes</v>
      </c>
    </row>
    <row r="1387">
      <c r="A1387" s="13">
        <v>1386.0</v>
      </c>
      <c r="B1387" s="13" t="s">
        <v>463</v>
      </c>
      <c r="C1387" s="13" t="s">
        <v>806</v>
      </c>
      <c r="D1387" s="13" t="s">
        <v>5118</v>
      </c>
      <c r="E1387" s="13" t="s">
        <v>5119</v>
      </c>
      <c r="F1387" s="13" t="s">
        <v>5120</v>
      </c>
      <c r="G1387" s="13" t="s">
        <v>216</v>
      </c>
      <c r="H1387" s="13" t="s">
        <v>15</v>
      </c>
      <c r="I1387" s="13">
        <v>92111.0</v>
      </c>
      <c r="J1387" s="5" t="str">
        <f t="shared" si="1"/>
        <v>Cesar Wilkins</v>
      </c>
    </row>
    <row r="1388">
      <c r="A1388" s="13">
        <v>1387.0</v>
      </c>
      <c r="B1388" s="13" t="s">
        <v>5121</v>
      </c>
      <c r="C1388" s="13" t="s">
        <v>5122</v>
      </c>
      <c r="D1388" s="13" t="s">
        <v>18</v>
      </c>
      <c r="E1388" s="13" t="s">
        <v>5123</v>
      </c>
      <c r="F1388" s="13" t="s">
        <v>5124</v>
      </c>
      <c r="G1388" s="13" t="s">
        <v>68</v>
      </c>
      <c r="H1388" s="13" t="s">
        <v>16</v>
      </c>
      <c r="I1388" s="13">
        <v>14424.0</v>
      </c>
      <c r="J1388" s="5" t="str">
        <f t="shared" si="1"/>
        <v>Phylicia Stout</v>
      </c>
    </row>
    <row r="1389">
      <c r="A1389" s="13">
        <v>1388.0</v>
      </c>
      <c r="B1389" s="13" t="s">
        <v>4699</v>
      </c>
      <c r="C1389" s="13" t="s">
        <v>1091</v>
      </c>
      <c r="D1389" s="13" t="s">
        <v>18</v>
      </c>
      <c r="E1389" s="13" t="s">
        <v>5125</v>
      </c>
      <c r="F1389" s="13" t="s">
        <v>5126</v>
      </c>
      <c r="G1389" s="13" t="s">
        <v>102</v>
      </c>
      <c r="H1389" s="13" t="s">
        <v>16</v>
      </c>
      <c r="I1389" s="13">
        <v>11554.0</v>
      </c>
      <c r="J1389" s="5" t="str">
        <f t="shared" si="1"/>
        <v>Nanette Harris</v>
      </c>
    </row>
    <row r="1390">
      <c r="A1390" s="13">
        <v>1389.0</v>
      </c>
      <c r="B1390" s="13" t="s">
        <v>5127</v>
      </c>
      <c r="C1390" s="13" t="s">
        <v>2920</v>
      </c>
      <c r="D1390" s="13" t="s">
        <v>18</v>
      </c>
      <c r="E1390" s="13" t="s">
        <v>5128</v>
      </c>
      <c r="F1390" s="13" t="s">
        <v>5129</v>
      </c>
      <c r="G1390" s="13" t="s">
        <v>194</v>
      </c>
      <c r="H1390" s="13" t="s">
        <v>16</v>
      </c>
      <c r="I1390" s="13">
        <v>10573.0</v>
      </c>
      <c r="J1390" s="5" t="str">
        <f t="shared" si="1"/>
        <v>Ulrike Chan</v>
      </c>
    </row>
    <row r="1391">
      <c r="A1391" s="13">
        <v>1390.0</v>
      </c>
      <c r="B1391" s="13" t="s">
        <v>302</v>
      </c>
      <c r="C1391" s="13" t="s">
        <v>1329</v>
      </c>
      <c r="D1391" s="13" t="s">
        <v>18</v>
      </c>
      <c r="E1391" s="13" t="s">
        <v>5130</v>
      </c>
      <c r="F1391" s="13" t="s">
        <v>5131</v>
      </c>
      <c r="G1391" s="13" t="s">
        <v>52</v>
      </c>
      <c r="H1391" s="13" t="s">
        <v>16</v>
      </c>
      <c r="I1391" s="13">
        <v>11361.0</v>
      </c>
      <c r="J1391" s="5" t="str">
        <f t="shared" si="1"/>
        <v>Genoveva Lloyd</v>
      </c>
    </row>
    <row r="1392">
      <c r="A1392" s="13">
        <v>1391.0</v>
      </c>
      <c r="B1392" s="13" t="s">
        <v>5132</v>
      </c>
      <c r="C1392" s="13" t="s">
        <v>1386</v>
      </c>
      <c r="D1392" s="13" t="s">
        <v>18</v>
      </c>
      <c r="E1392" s="13" t="s">
        <v>5133</v>
      </c>
      <c r="F1392" s="13" t="s">
        <v>5134</v>
      </c>
      <c r="G1392" s="13" t="s">
        <v>116</v>
      </c>
      <c r="H1392" s="13" t="s">
        <v>16</v>
      </c>
      <c r="I1392" s="13">
        <v>11001.0</v>
      </c>
      <c r="J1392" s="5" t="str">
        <f t="shared" si="1"/>
        <v>Sheryl Chase</v>
      </c>
    </row>
    <row r="1393">
      <c r="A1393" s="13">
        <v>1392.0</v>
      </c>
      <c r="B1393" s="13" t="s">
        <v>5135</v>
      </c>
      <c r="C1393" s="13" t="s">
        <v>5136</v>
      </c>
      <c r="D1393" s="13" t="s">
        <v>18</v>
      </c>
      <c r="E1393" s="13" t="s">
        <v>5137</v>
      </c>
      <c r="F1393" s="13" t="s">
        <v>5138</v>
      </c>
      <c r="G1393" s="13" t="s">
        <v>113</v>
      </c>
      <c r="H1393" s="13" t="s">
        <v>16</v>
      </c>
      <c r="I1393" s="13">
        <v>14450.0</v>
      </c>
      <c r="J1393" s="5" t="str">
        <f t="shared" si="1"/>
        <v>Trista Lambert</v>
      </c>
    </row>
    <row r="1394">
      <c r="A1394" s="13">
        <v>1393.0</v>
      </c>
      <c r="B1394" s="13" t="s">
        <v>5139</v>
      </c>
      <c r="C1394" s="13" t="s">
        <v>1227</v>
      </c>
      <c r="D1394" s="13" t="s">
        <v>18</v>
      </c>
      <c r="E1394" s="13" t="s">
        <v>5140</v>
      </c>
      <c r="F1394" s="13" t="s">
        <v>5141</v>
      </c>
      <c r="G1394" s="13" t="s">
        <v>144</v>
      </c>
      <c r="H1394" s="13" t="s">
        <v>16</v>
      </c>
      <c r="I1394" s="13">
        <v>11432.0</v>
      </c>
      <c r="J1394" s="5" t="str">
        <f t="shared" si="1"/>
        <v>Vivian Deleon</v>
      </c>
    </row>
    <row r="1395">
      <c r="A1395" s="13">
        <v>1394.0</v>
      </c>
      <c r="B1395" s="13" t="s">
        <v>3013</v>
      </c>
      <c r="C1395" s="13" t="s">
        <v>1614</v>
      </c>
      <c r="D1395" s="13" t="s">
        <v>18</v>
      </c>
      <c r="E1395" s="13" t="s">
        <v>5142</v>
      </c>
      <c r="F1395" s="13" t="s">
        <v>5143</v>
      </c>
      <c r="G1395" s="13" t="s">
        <v>29</v>
      </c>
      <c r="H1395" s="13" t="s">
        <v>16</v>
      </c>
      <c r="I1395" s="13">
        <v>11701.0</v>
      </c>
      <c r="J1395" s="5" t="str">
        <f t="shared" si="1"/>
        <v>Genny Fields</v>
      </c>
    </row>
    <row r="1396">
      <c r="A1396" s="13">
        <v>1395.0</v>
      </c>
      <c r="B1396" s="13" t="s">
        <v>5144</v>
      </c>
      <c r="C1396" s="13" t="s">
        <v>5145</v>
      </c>
      <c r="D1396" s="13" t="s">
        <v>18</v>
      </c>
      <c r="E1396" s="13" t="s">
        <v>5146</v>
      </c>
      <c r="F1396" s="13" t="s">
        <v>5147</v>
      </c>
      <c r="G1396" s="13" t="s">
        <v>255</v>
      </c>
      <c r="H1396" s="13" t="s">
        <v>16</v>
      </c>
      <c r="I1396" s="13">
        <v>11421.0</v>
      </c>
      <c r="J1396" s="5" t="str">
        <f t="shared" si="1"/>
        <v>Eliseo Knight</v>
      </c>
    </row>
    <row r="1397">
      <c r="A1397" s="13">
        <v>1396.0</v>
      </c>
      <c r="B1397" s="13" t="s">
        <v>5148</v>
      </c>
      <c r="C1397" s="13" t="s">
        <v>2719</v>
      </c>
      <c r="D1397" s="13" t="s">
        <v>5149</v>
      </c>
      <c r="E1397" s="13" t="s">
        <v>5150</v>
      </c>
      <c r="F1397" s="13" t="s">
        <v>5151</v>
      </c>
      <c r="G1397" s="13" t="s">
        <v>32</v>
      </c>
      <c r="H1397" s="13" t="s">
        <v>15</v>
      </c>
      <c r="I1397" s="13">
        <v>92806.0</v>
      </c>
      <c r="J1397" s="5" t="str">
        <f t="shared" si="1"/>
        <v>Delma Bailey</v>
      </c>
    </row>
    <row r="1398">
      <c r="A1398" s="13">
        <v>1397.0</v>
      </c>
      <c r="B1398" s="13" t="s">
        <v>5152</v>
      </c>
      <c r="C1398" s="13" t="s">
        <v>4689</v>
      </c>
      <c r="D1398" s="13" t="s">
        <v>18</v>
      </c>
      <c r="E1398" s="13" t="s">
        <v>5153</v>
      </c>
      <c r="F1398" s="13" t="s">
        <v>5154</v>
      </c>
      <c r="G1398" s="13" t="s">
        <v>249</v>
      </c>
      <c r="H1398" s="13" t="s">
        <v>16</v>
      </c>
      <c r="I1398" s="13">
        <v>14580.0</v>
      </c>
      <c r="J1398" s="5" t="str">
        <f t="shared" si="1"/>
        <v>Dewayne Herring</v>
      </c>
    </row>
    <row r="1399">
      <c r="A1399" s="13">
        <v>1398.0</v>
      </c>
      <c r="B1399" s="13" t="s">
        <v>5155</v>
      </c>
      <c r="C1399" s="13" t="s">
        <v>2763</v>
      </c>
      <c r="D1399" s="13" t="s">
        <v>18</v>
      </c>
      <c r="E1399" s="13" t="s">
        <v>5156</v>
      </c>
      <c r="F1399" s="13" t="s">
        <v>5157</v>
      </c>
      <c r="G1399" s="13" t="s">
        <v>137</v>
      </c>
      <c r="H1399" s="13" t="s">
        <v>16</v>
      </c>
      <c r="I1399" s="13">
        <v>12533.0</v>
      </c>
      <c r="J1399" s="5" t="str">
        <f t="shared" si="1"/>
        <v>Nevada Hood</v>
      </c>
    </row>
    <row r="1400">
      <c r="A1400" s="13">
        <v>1399.0</v>
      </c>
      <c r="B1400" s="13" t="s">
        <v>5158</v>
      </c>
      <c r="C1400" s="13" t="s">
        <v>1382</v>
      </c>
      <c r="D1400" s="13" t="s">
        <v>18</v>
      </c>
      <c r="E1400" s="13" t="s">
        <v>5159</v>
      </c>
      <c r="F1400" s="13" t="s">
        <v>5160</v>
      </c>
      <c r="G1400" s="13" t="s">
        <v>68</v>
      </c>
      <c r="H1400" s="13" t="s">
        <v>16</v>
      </c>
      <c r="I1400" s="13">
        <v>14424.0</v>
      </c>
      <c r="J1400" s="5" t="str">
        <f t="shared" si="1"/>
        <v>Angelika Perry</v>
      </c>
    </row>
    <row r="1401">
      <c r="A1401" s="13">
        <v>1400.0</v>
      </c>
      <c r="B1401" s="13" t="s">
        <v>5161</v>
      </c>
      <c r="C1401" s="13" t="s">
        <v>2944</v>
      </c>
      <c r="D1401" s="13" t="s">
        <v>18</v>
      </c>
      <c r="E1401" s="13" t="s">
        <v>5162</v>
      </c>
      <c r="F1401" s="13" t="s">
        <v>5163</v>
      </c>
      <c r="G1401" s="13" t="s">
        <v>255</v>
      </c>
      <c r="H1401" s="13" t="s">
        <v>16</v>
      </c>
      <c r="I1401" s="13">
        <v>11421.0</v>
      </c>
      <c r="J1401" s="5" t="str">
        <f t="shared" si="1"/>
        <v>Shayla Hart</v>
      </c>
    </row>
    <row r="1402">
      <c r="A1402" s="13">
        <v>1401.0</v>
      </c>
      <c r="B1402" s="13" t="s">
        <v>5164</v>
      </c>
      <c r="C1402" s="13" t="s">
        <v>5165</v>
      </c>
      <c r="D1402" s="13" t="s">
        <v>18</v>
      </c>
      <c r="E1402" s="13" t="s">
        <v>5166</v>
      </c>
      <c r="F1402" s="13" t="s">
        <v>5167</v>
      </c>
      <c r="G1402" s="13" t="s">
        <v>100</v>
      </c>
      <c r="H1402" s="13" t="s">
        <v>16</v>
      </c>
      <c r="I1402" s="13">
        <v>11369.0</v>
      </c>
      <c r="J1402" s="5" t="str">
        <f t="shared" si="1"/>
        <v>Willetta Murphy</v>
      </c>
    </row>
    <row r="1403">
      <c r="A1403" s="13">
        <v>1402.0</v>
      </c>
      <c r="B1403" s="13" t="s">
        <v>5168</v>
      </c>
      <c r="C1403" s="13" t="s">
        <v>2161</v>
      </c>
      <c r="D1403" s="13" t="s">
        <v>18</v>
      </c>
      <c r="E1403" s="13" t="s">
        <v>5169</v>
      </c>
      <c r="F1403" s="13" t="s">
        <v>5170</v>
      </c>
      <c r="G1403" s="13" t="s">
        <v>94</v>
      </c>
      <c r="H1403" s="13" t="s">
        <v>16</v>
      </c>
      <c r="I1403" s="13">
        <v>14043.0</v>
      </c>
      <c r="J1403" s="5" t="str">
        <f t="shared" si="1"/>
        <v>Sandee Alvarado</v>
      </c>
    </row>
    <row r="1404">
      <c r="A1404" s="13">
        <v>1403.0</v>
      </c>
      <c r="B1404" s="13" t="s">
        <v>3481</v>
      </c>
      <c r="C1404" s="13" t="s">
        <v>2230</v>
      </c>
      <c r="D1404" s="13" t="s">
        <v>5171</v>
      </c>
      <c r="E1404" s="13" t="s">
        <v>5172</v>
      </c>
      <c r="F1404" s="13" t="s">
        <v>5173</v>
      </c>
      <c r="G1404" s="13" t="s">
        <v>240</v>
      </c>
      <c r="H1404" s="13" t="s">
        <v>16</v>
      </c>
      <c r="I1404" s="13">
        <v>12180.0</v>
      </c>
      <c r="J1404" s="5" t="str">
        <f t="shared" si="1"/>
        <v>Mila Moody</v>
      </c>
    </row>
    <row r="1405">
      <c r="A1405" s="13">
        <v>1404.0</v>
      </c>
      <c r="B1405" s="13" t="s">
        <v>5174</v>
      </c>
      <c r="C1405" s="13" t="s">
        <v>5175</v>
      </c>
      <c r="D1405" s="13" t="s">
        <v>18</v>
      </c>
      <c r="E1405" s="13" t="s">
        <v>5176</v>
      </c>
      <c r="F1405" s="13" t="s">
        <v>5177</v>
      </c>
      <c r="G1405" s="13" t="s">
        <v>76</v>
      </c>
      <c r="H1405" s="13" t="s">
        <v>16</v>
      </c>
      <c r="I1405" s="13">
        <v>11722.0</v>
      </c>
      <c r="J1405" s="5" t="str">
        <f t="shared" si="1"/>
        <v>Loyce Conway</v>
      </c>
    </row>
    <row r="1406">
      <c r="A1406" s="13">
        <v>1405.0</v>
      </c>
      <c r="B1406" s="13" t="s">
        <v>5178</v>
      </c>
      <c r="C1406" s="13" t="s">
        <v>3437</v>
      </c>
      <c r="D1406" s="13" t="s">
        <v>18</v>
      </c>
      <c r="E1406" s="13" t="s">
        <v>5179</v>
      </c>
      <c r="F1406" s="13" t="s">
        <v>5180</v>
      </c>
      <c r="G1406" s="13" t="s">
        <v>167</v>
      </c>
      <c r="H1406" s="13" t="s">
        <v>16</v>
      </c>
      <c r="I1406" s="13">
        <v>10550.0</v>
      </c>
      <c r="J1406" s="5" t="str">
        <f t="shared" si="1"/>
        <v>Thanh Figueroa</v>
      </c>
    </row>
    <row r="1407">
      <c r="A1407" s="13">
        <v>1406.0</v>
      </c>
      <c r="B1407" s="13" t="s">
        <v>5181</v>
      </c>
      <c r="C1407" s="13" t="s">
        <v>2095</v>
      </c>
      <c r="D1407" s="13" t="s">
        <v>18</v>
      </c>
      <c r="E1407" s="13" t="s">
        <v>5182</v>
      </c>
      <c r="F1407" s="13" t="s">
        <v>5183</v>
      </c>
      <c r="G1407" s="13" t="s">
        <v>171</v>
      </c>
      <c r="H1407" s="13" t="s">
        <v>16</v>
      </c>
      <c r="I1407" s="13">
        <v>11040.0</v>
      </c>
      <c r="J1407" s="5" t="str">
        <f t="shared" si="1"/>
        <v>Farrah Orr</v>
      </c>
    </row>
    <row r="1408">
      <c r="A1408" s="13">
        <v>1407.0</v>
      </c>
      <c r="B1408" s="13" t="s">
        <v>5184</v>
      </c>
      <c r="C1408" s="13" t="s">
        <v>2841</v>
      </c>
      <c r="D1408" s="13" t="s">
        <v>18</v>
      </c>
      <c r="E1408" s="13" t="s">
        <v>5185</v>
      </c>
      <c r="F1408" s="13" t="s">
        <v>5186</v>
      </c>
      <c r="G1408" s="13" t="s">
        <v>74</v>
      </c>
      <c r="H1408" s="13" t="s">
        <v>16</v>
      </c>
      <c r="I1408" s="13">
        <v>11720.0</v>
      </c>
      <c r="J1408" s="5" t="str">
        <f t="shared" si="1"/>
        <v>Hugh Craft</v>
      </c>
    </row>
    <row r="1409">
      <c r="A1409" s="13">
        <v>1408.0</v>
      </c>
      <c r="B1409" s="13" t="s">
        <v>5187</v>
      </c>
      <c r="C1409" s="13" t="s">
        <v>2354</v>
      </c>
      <c r="D1409" s="13" t="s">
        <v>18</v>
      </c>
      <c r="E1409" s="13" t="s">
        <v>5188</v>
      </c>
      <c r="F1409" s="13" t="s">
        <v>5189</v>
      </c>
      <c r="G1409" s="13" t="s">
        <v>194</v>
      </c>
      <c r="H1409" s="13" t="s">
        <v>16</v>
      </c>
      <c r="I1409" s="13">
        <v>10573.0</v>
      </c>
      <c r="J1409" s="5" t="str">
        <f t="shared" si="1"/>
        <v>Eleanor Mendez</v>
      </c>
    </row>
    <row r="1410">
      <c r="A1410" s="13">
        <v>1409.0</v>
      </c>
      <c r="B1410" s="13" t="s">
        <v>3083</v>
      </c>
      <c r="C1410" s="13" t="s">
        <v>1792</v>
      </c>
      <c r="D1410" s="13" t="s">
        <v>5190</v>
      </c>
      <c r="E1410" s="13" t="s">
        <v>5191</v>
      </c>
      <c r="F1410" s="13" t="s">
        <v>5192</v>
      </c>
      <c r="G1410" s="13" t="s">
        <v>64</v>
      </c>
      <c r="H1410" s="13" t="s">
        <v>16</v>
      </c>
      <c r="I1410" s="13">
        <v>14215.0</v>
      </c>
      <c r="J1410" s="5" t="str">
        <f t="shared" si="1"/>
        <v>Lamar Bush</v>
      </c>
    </row>
    <row r="1411">
      <c r="A1411" s="13">
        <v>1410.0</v>
      </c>
      <c r="B1411" s="13" t="s">
        <v>5193</v>
      </c>
      <c r="C1411" s="13" t="s">
        <v>4958</v>
      </c>
      <c r="D1411" s="13" t="s">
        <v>5194</v>
      </c>
      <c r="E1411" s="13" t="s">
        <v>5195</v>
      </c>
      <c r="F1411" s="13" t="s">
        <v>5196</v>
      </c>
      <c r="G1411" s="13" t="s">
        <v>257</v>
      </c>
      <c r="H1411" s="13" t="s">
        <v>16</v>
      </c>
      <c r="I1411" s="13">
        <v>10701.0</v>
      </c>
      <c r="J1411" s="5" t="str">
        <f t="shared" si="1"/>
        <v>Lurlene Finch</v>
      </c>
    </row>
    <row r="1412">
      <c r="A1412" s="13">
        <v>1411.0</v>
      </c>
      <c r="B1412" s="13" t="s">
        <v>5197</v>
      </c>
      <c r="C1412" s="13" t="s">
        <v>3746</v>
      </c>
      <c r="D1412" s="13" t="s">
        <v>18</v>
      </c>
      <c r="E1412" s="13" t="s">
        <v>5198</v>
      </c>
      <c r="F1412" s="13" t="s">
        <v>5199</v>
      </c>
      <c r="G1412" s="13" t="s">
        <v>122</v>
      </c>
      <c r="H1412" s="13" t="s">
        <v>16</v>
      </c>
      <c r="I1412" s="13">
        <v>11520.0</v>
      </c>
      <c r="J1412" s="5" t="str">
        <f t="shared" si="1"/>
        <v>Shanda Stevenson</v>
      </c>
    </row>
    <row r="1413">
      <c r="A1413" s="13">
        <v>1412.0</v>
      </c>
      <c r="B1413" s="13" t="s">
        <v>5200</v>
      </c>
      <c r="C1413" s="13" t="s">
        <v>518</v>
      </c>
      <c r="D1413" s="13" t="s">
        <v>18</v>
      </c>
      <c r="E1413" s="13" t="s">
        <v>5201</v>
      </c>
      <c r="F1413" s="13" t="s">
        <v>5202</v>
      </c>
      <c r="G1413" s="13" t="s">
        <v>200</v>
      </c>
      <c r="H1413" s="13" t="s">
        <v>16</v>
      </c>
      <c r="I1413" s="13">
        <v>11374.0</v>
      </c>
      <c r="J1413" s="5" t="str">
        <f t="shared" si="1"/>
        <v>Adrien Hunter</v>
      </c>
    </row>
    <row r="1414">
      <c r="A1414" s="13">
        <v>1413.0</v>
      </c>
      <c r="B1414" s="13" t="s">
        <v>3234</v>
      </c>
      <c r="C1414" s="13" t="s">
        <v>1083</v>
      </c>
      <c r="D1414" s="13" t="s">
        <v>18</v>
      </c>
      <c r="E1414" s="13" t="s">
        <v>5203</v>
      </c>
      <c r="F1414" s="13" t="s">
        <v>5204</v>
      </c>
      <c r="G1414" s="13" t="s">
        <v>173</v>
      </c>
      <c r="H1414" s="13" t="s">
        <v>16</v>
      </c>
      <c r="I1414" s="13">
        <v>12553.0</v>
      </c>
      <c r="J1414" s="5" t="str">
        <f t="shared" si="1"/>
        <v>Ophelia Decker</v>
      </c>
    </row>
    <row r="1415">
      <c r="A1415" s="13">
        <v>1414.0</v>
      </c>
      <c r="B1415" s="13" t="s">
        <v>5205</v>
      </c>
      <c r="C1415" s="13" t="s">
        <v>5206</v>
      </c>
      <c r="D1415" s="13" t="s">
        <v>18</v>
      </c>
      <c r="E1415" s="13" t="s">
        <v>5207</v>
      </c>
      <c r="F1415" s="13" t="s">
        <v>5208</v>
      </c>
      <c r="G1415" s="13" t="s">
        <v>198</v>
      </c>
      <c r="H1415" s="13" t="s">
        <v>16</v>
      </c>
      <c r="I1415" s="13">
        <v>12804.0</v>
      </c>
      <c r="J1415" s="5" t="str">
        <f t="shared" si="1"/>
        <v>Sonja Walls</v>
      </c>
    </row>
    <row r="1416">
      <c r="A1416" s="13">
        <v>1415.0</v>
      </c>
      <c r="B1416" s="13" t="s">
        <v>5209</v>
      </c>
      <c r="C1416" s="13" t="s">
        <v>3694</v>
      </c>
      <c r="D1416" s="13" t="s">
        <v>18</v>
      </c>
      <c r="E1416" s="13" t="s">
        <v>5210</v>
      </c>
      <c r="F1416" s="13" t="s">
        <v>5211</v>
      </c>
      <c r="G1416" s="13" t="s">
        <v>221</v>
      </c>
      <c r="H1416" s="13" t="s">
        <v>15</v>
      </c>
      <c r="I1416" s="13">
        <v>95060.0</v>
      </c>
      <c r="J1416" s="5" t="str">
        <f t="shared" si="1"/>
        <v>Harold O'connor</v>
      </c>
    </row>
    <row r="1417">
      <c r="A1417" s="13">
        <v>1416.0</v>
      </c>
      <c r="B1417" s="13" t="s">
        <v>3068</v>
      </c>
      <c r="C1417" s="13" t="s">
        <v>547</v>
      </c>
      <c r="D1417" s="13" t="s">
        <v>18</v>
      </c>
      <c r="E1417" s="13" t="s">
        <v>5212</v>
      </c>
      <c r="F1417" s="13" t="s">
        <v>5213</v>
      </c>
      <c r="G1417" s="13" t="s">
        <v>34</v>
      </c>
      <c r="H1417" s="13" t="s">
        <v>16</v>
      </c>
      <c r="I1417" s="13">
        <v>11102.0</v>
      </c>
      <c r="J1417" s="5" t="str">
        <f t="shared" si="1"/>
        <v>Miranda Kennedy</v>
      </c>
    </row>
    <row r="1418">
      <c r="A1418" s="13">
        <v>1417.0</v>
      </c>
      <c r="B1418" s="13" t="s">
        <v>5214</v>
      </c>
      <c r="C1418" s="13" t="s">
        <v>2361</v>
      </c>
      <c r="D1418" s="13" t="s">
        <v>18</v>
      </c>
      <c r="E1418" s="13" t="s">
        <v>5215</v>
      </c>
      <c r="F1418" s="13" t="s">
        <v>5216</v>
      </c>
      <c r="G1418" s="13" t="s">
        <v>119</v>
      </c>
      <c r="H1418" s="13" t="s">
        <v>17</v>
      </c>
      <c r="I1418" s="13">
        <v>75126.0</v>
      </c>
      <c r="J1418" s="5" t="str">
        <f t="shared" si="1"/>
        <v>Jasper Castro</v>
      </c>
    </row>
    <row r="1419">
      <c r="A1419" s="13">
        <v>1418.0</v>
      </c>
      <c r="B1419" s="13" t="s">
        <v>5217</v>
      </c>
      <c r="C1419" s="13" t="s">
        <v>4336</v>
      </c>
      <c r="D1419" s="13" t="s">
        <v>5218</v>
      </c>
      <c r="E1419" s="13" t="s">
        <v>5219</v>
      </c>
      <c r="F1419" s="13" t="s">
        <v>5220</v>
      </c>
      <c r="G1419" s="13" t="s">
        <v>32</v>
      </c>
      <c r="H1419" s="13" t="s">
        <v>15</v>
      </c>
      <c r="I1419" s="13">
        <v>92806.0</v>
      </c>
      <c r="J1419" s="5" t="str">
        <f t="shared" si="1"/>
        <v>Penni Best</v>
      </c>
    </row>
    <row r="1420">
      <c r="A1420" s="13">
        <v>1419.0</v>
      </c>
      <c r="B1420" s="13" t="s">
        <v>5193</v>
      </c>
      <c r="C1420" s="13" t="s">
        <v>1472</v>
      </c>
      <c r="D1420" s="13" t="s">
        <v>18</v>
      </c>
      <c r="E1420" s="13" t="s">
        <v>5221</v>
      </c>
      <c r="F1420" s="13" t="s">
        <v>5222</v>
      </c>
      <c r="G1420" s="13" t="s">
        <v>192</v>
      </c>
      <c r="H1420" s="13" t="s">
        <v>15</v>
      </c>
      <c r="I1420" s="13">
        <v>94566.0</v>
      </c>
      <c r="J1420" s="5" t="str">
        <f t="shared" si="1"/>
        <v>Lurlene Cotton</v>
      </c>
    </row>
    <row r="1421">
      <c r="A1421" s="13">
        <v>1420.0</v>
      </c>
      <c r="B1421" s="13" t="s">
        <v>5223</v>
      </c>
      <c r="C1421" s="13" t="s">
        <v>410</v>
      </c>
      <c r="D1421" s="13" t="s">
        <v>18</v>
      </c>
      <c r="E1421" s="13" t="s">
        <v>5224</v>
      </c>
      <c r="F1421" s="13" t="s">
        <v>5225</v>
      </c>
      <c r="G1421" s="13" t="s">
        <v>167</v>
      </c>
      <c r="H1421" s="13" t="s">
        <v>16</v>
      </c>
      <c r="I1421" s="13">
        <v>10550.0</v>
      </c>
      <c r="J1421" s="5" t="str">
        <f t="shared" si="1"/>
        <v>Kelsey Noble</v>
      </c>
    </row>
    <row r="1422">
      <c r="A1422" s="13">
        <v>1421.0</v>
      </c>
      <c r="B1422" s="13" t="s">
        <v>5226</v>
      </c>
      <c r="C1422" s="13" t="s">
        <v>3238</v>
      </c>
      <c r="D1422" s="13" t="s">
        <v>18</v>
      </c>
      <c r="E1422" s="13" t="s">
        <v>5227</v>
      </c>
      <c r="F1422" s="13" t="s">
        <v>5228</v>
      </c>
      <c r="G1422" s="13" t="s">
        <v>191</v>
      </c>
      <c r="H1422" s="13" t="s">
        <v>16</v>
      </c>
      <c r="I1422" s="13">
        <v>12901.0</v>
      </c>
      <c r="J1422" s="5" t="str">
        <f t="shared" si="1"/>
        <v>Edris Barrett</v>
      </c>
    </row>
    <row r="1423">
      <c r="A1423" s="13">
        <v>1422.0</v>
      </c>
      <c r="B1423" s="13" t="s">
        <v>5229</v>
      </c>
      <c r="C1423" s="13" t="s">
        <v>3177</v>
      </c>
      <c r="D1423" s="13" t="s">
        <v>18</v>
      </c>
      <c r="E1423" s="13" t="s">
        <v>5230</v>
      </c>
      <c r="F1423" s="13" t="s">
        <v>5231</v>
      </c>
      <c r="G1423" s="13" t="s">
        <v>228</v>
      </c>
      <c r="H1423" s="13" t="s">
        <v>16</v>
      </c>
      <c r="I1423" s="13">
        <v>11787.0</v>
      </c>
      <c r="J1423" s="5" t="str">
        <f t="shared" si="1"/>
        <v>Tempie Jacobson</v>
      </c>
    </row>
    <row r="1424">
      <c r="A1424" s="13">
        <v>1423.0</v>
      </c>
      <c r="B1424" s="13" t="s">
        <v>5232</v>
      </c>
      <c r="C1424" s="13" t="s">
        <v>5233</v>
      </c>
      <c r="D1424" s="13" t="s">
        <v>5234</v>
      </c>
      <c r="E1424" s="13" t="s">
        <v>5235</v>
      </c>
      <c r="F1424" s="13" t="s">
        <v>5236</v>
      </c>
      <c r="G1424" s="13" t="s">
        <v>120</v>
      </c>
      <c r="H1424" s="13" t="s">
        <v>17</v>
      </c>
      <c r="I1424" s="13">
        <v>76110.0</v>
      </c>
      <c r="J1424" s="5" t="str">
        <f t="shared" si="1"/>
        <v>Dollie Cervantes</v>
      </c>
    </row>
    <row r="1425">
      <c r="A1425" s="13">
        <v>1424.0</v>
      </c>
      <c r="B1425" s="13" t="s">
        <v>5237</v>
      </c>
      <c r="C1425" s="13" t="s">
        <v>1666</v>
      </c>
      <c r="D1425" s="13" t="s">
        <v>18</v>
      </c>
      <c r="E1425" s="13" t="s">
        <v>5238</v>
      </c>
      <c r="F1425" s="13" t="s">
        <v>5239</v>
      </c>
      <c r="G1425" s="13" t="s">
        <v>166</v>
      </c>
      <c r="H1425" s="13" t="s">
        <v>16</v>
      </c>
      <c r="I1425" s="13">
        <v>10952.0</v>
      </c>
      <c r="J1425" s="5" t="str">
        <f t="shared" si="1"/>
        <v>Lashunda Cole</v>
      </c>
    </row>
    <row r="1426">
      <c r="A1426" s="13">
        <v>1425.0</v>
      </c>
      <c r="B1426" s="13" t="s">
        <v>1374</v>
      </c>
      <c r="C1426" s="13" t="s">
        <v>1510</v>
      </c>
      <c r="D1426" s="13" t="s">
        <v>18</v>
      </c>
      <c r="E1426" s="13" t="s">
        <v>5240</v>
      </c>
      <c r="F1426" s="13" t="s">
        <v>5241</v>
      </c>
      <c r="G1426" s="13" t="s">
        <v>227</v>
      </c>
      <c r="H1426" s="13" t="s">
        <v>16</v>
      </c>
      <c r="I1426" s="13">
        <v>11967.0</v>
      </c>
      <c r="J1426" s="5" t="str">
        <f t="shared" si="1"/>
        <v>Justina Jenkins</v>
      </c>
    </row>
    <row r="1427">
      <c r="A1427" s="13">
        <v>1426.0</v>
      </c>
      <c r="B1427" s="13" t="s">
        <v>5242</v>
      </c>
      <c r="C1427" s="13" t="s">
        <v>1398</v>
      </c>
      <c r="D1427" s="13" t="s">
        <v>5243</v>
      </c>
      <c r="E1427" s="13" t="s">
        <v>5244</v>
      </c>
      <c r="F1427" s="13" t="s">
        <v>5245</v>
      </c>
      <c r="G1427" s="13" t="s">
        <v>90</v>
      </c>
      <c r="H1427" s="13" t="s">
        <v>17</v>
      </c>
      <c r="I1427" s="13">
        <v>78418.0</v>
      </c>
      <c r="J1427" s="5" t="str">
        <f t="shared" si="1"/>
        <v>Londa Gould</v>
      </c>
    </row>
    <row r="1428">
      <c r="A1428" s="13">
        <v>1427.0</v>
      </c>
      <c r="B1428" s="13" t="s">
        <v>5246</v>
      </c>
      <c r="C1428" s="13" t="s">
        <v>685</v>
      </c>
      <c r="D1428" s="13" t="s">
        <v>18</v>
      </c>
      <c r="E1428" s="13" t="s">
        <v>5247</v>
      </c>
      <c r="F1428" s="13" t="s">
        <v>5248</v>
      </c>
      <c r="G1428" s="13" t="s">
        <v>35</v>
      </c>
      <c r="H1428" s="13" t="s">
        <v>15</v>
      </c>
      <c r="I1428" s="13">
        <v>95301.0</v>
      </c>
      <c r="J1428" s="5" t="str">
        <f t="shared" si="1"/>
        <v>Mikel Wilkerson</v>
      </c>
    </row>
    <row r="1429">
      <c r="A1429" s="13">
        <v>1428.0</v>
      </c>
      <c r="B1429" s="13" t="s">
        <v>902</v>
      </c>
      <c r="C1429" s="13" t="s">
        <v>448</v>
      </c>
      <c r="D1429" s="13" t="s">
        <v>18</v>
      </c>
      <c r="E1429" s="13" t="s">
        <v>5249</v>
      </c>
      <c r="F1429" s="13" t="s">
        <v>5250</v>
      </c>
      <c r="G1429" s="13" t="s">
        <v>221</v>
      </c>
      <c r="H1429" s="13" t="s">
        <v>15</v>
      </c>
      <c r="I1429" s="13">
        <v>95060.0</v>
      </c>
      <c r="J1429" s="5" t="str">
        <f t="shared" si="1"/>
        <v>Carola Johns</v>
      </c>
    </row>
    <row r="1430">
      <c r="A1430" s="13">
        <v>1429.0</v>
      </c>
      <c r="B1430" s="13" t="s">
        <v>533</v>
      </c>
      <c r="C1430" s="13" t="s">
        <v>5251</v>
      </c>
      <c r="D1430" s="13" t="s">
        <v>18</v>
      </c>
      <c r="E1430" s="13" t="s">
        <v>5252</v>
      </c>
      <c r="F1430" s="13" t="s">
        <v>5253</v>
      </c>
      <c r="G1430" s="13" t="s">
        <v>193</v>
      </c>
      <c r="H1430" s="13" t="s">
        <v>15</v>
      </c>
      <c r="I1430" s="13">
        <v>91768.0</v>
      </c>
      <c r="J1430" s="5" t="str">
        <f t="shared" si="1"/>
        <v>Lorrie Justice</v>
      </c>
    </row>
    <row r="1431">
      <c r="A1431" s="13">
        <v>1430.0</v>
      </c>
      <c r="B1431" s="13" t="s">
        <v>5254</v>
      </c>
      <c r="C1431" s="13" t="s">
        <v>3141</v>
      </c>
      <c r="D1431" s="13" t="s">
        <v>5255</v>
      </c>
      <c r="E1431" s="13" t="s">
        <v>5256</v>
      </c>
      <c r="F1431" s="13" t="s">
        <v>5257</v>
      </c>
      <c r="G1431" s="13" t="s">
        <v>40</v>
      </c>
      <c r="H1431" s="13" t="s">
        <v>15</v>
      </c>
      <c r="I1431" s="13">
        <v>93306.0</v>
      </c>
      <c r="J1431" s="5" t="str">
        <f t="shared" si="1"/>
        <v>Tayna Wade</v>
      </c>
    </row>
    <row r="1432">
      <c r="A1432" s="13">
        <v>1431.0</v>
      </c>
      <c r="B1432" s="13" t="s">
        <v>1366</v>
      </c>
      <c r="C1432" s="13" t="s">
        <v>3952</v>
      </c>
      <c r="D1432" s="13" t="s">
        <v>18</v>
      </c>
      <c r="E1432" s="13" t="s">
        <v>5258</v>
      </c>
      <c r="F1432" s="13" t="s">
        <v>5259</v>
      </c>
      <c r="G1432" s="13" t="s">
        <v>100</v>
      </c>
      <c r="H1432" s="13" t="s">
        <v>16</v>
      </c>
      <c r="I1432" s="13">
        <v>11369.0</v>
      </c>
      <c r="J1432" s="5" t="str">
        <f t="shared" si="1"/>
        <v>Mark Benton</v>
      </c>
    </row>
    <row r="1433">
      <c r="A1433" s="13">
        <v>1432.0</v>
      </c>
      <c r="B1433" s="13" t="s">
        <v>5260</v>
      </c>
      <c r="C1433" s="13" t="s">
        <v>1499</v>
      </c>
      <c r="D1433" s="13" t="s">
        <v>18</v>
      </c>
      <c r="E1433" s="13" t="s">
        <v>5261</v>
      </c>
      <c r="F1433" s="13" t="s">
        <v>5262</v>
      </c>
      <c r="G1433" s="13" t="s">
        <v>104</v>
      </c>
      <c r="H1433" s="13" t="s">
        <v>16</v>
      </c>
      <c r="I1433" s="13">
        <v>11731.0</v>
      </c>
      <c r="J1433" s="5" t="str">
        <f t="shared" si="1"/>
        <v>Zona Cameron</v>
      </c>
    </row>
    <row r="1434">
      <c r="A1434" s="13">
        <v>1433.0</v>
      </c>
      <c r="B1434" s="13" t="s">
        <v>5263</v>
      </c>
      <c r="C1434" s="13" t="s">
        <v>5145</v>
      </c>
      <c r="D1434" s="13" t="s">
        <v>18</v>
      </c>
      <c r="E1434" s="13" t="s">
        <v>5264</v>
      </c>
      <c r="F1434" s="13" t="s">
        <v>5265</v>
      </c>
      <c r="G1434" s="13" t="s">
        <v>224</v>
      </c>
      <c r="H1434" s="13" t="s">
        <v>16</v>
      </c>
      <c r="I1434" s="13">
        <v>10583.0</v>
      </c>
      <c r="J1434" s="5" t="str">
        <f t="shared" si="1"/>
        <v>Nicola Knight</v>
      </c>
    </row>
    <row r="1435">
      <c r="A1435" s="13">
        <v>1434.0</v>
      </c>
      <c r="B1435" s="13" t="s">
        <v>5266</v>
      </c>
      <c r="C1435" s="13" t="s">
        <v>2130</v>
      </c>
      <c r="D1435" s="13" t="s">
        <v>18</v>
      </c>
      <c r="E1435" s="13" t="s">
        <v>5267</v>
      </c>
      <c r="F1435" s="13" t="s">
        <v>5268</v>
      </c>
      <c r="G1435" s="13" t="s">
        <v>152</v>
      </c>
      <c r="H1435" s="13" t="s">
        <v>16</v>
      </c>
      <c r="I1435" s="13">
        <v>13090.0</v>
      </c>
      <c r="J1435" s="5" t="str">
        <f t="shared" si="1"/>
        <v>Elana Miles</v>
      </c>
    </row>
    <row r="1436">
      <c r="A1436" s="13">
        <v>1435.0</v>
      </c>
      <c r="B1436" s="13" t="s">
        <v>5269</v>
      </c>
      <c r="C1436" s="13" t="s">
        <v>2176</v>
      </c>
      <c r="D1436" s="13" t="s">
        <v>18</v>
      </c>
      <c r="E1436" s="13" t="s">
        <v>5270</v>
      </c>
      <c r="F1436" s="13" t="s">
        <v>5271</v>
      </c>
      <c r="G1436" s="13" t="s">
        <v>224</v>
      </c>
      <c r="H1436" s="13" t="s">
        <v>16</v>
      </c>
      <c r="I1436" s="13">
        <v>10583.0</v>
      </c>
      <c r="J1436" s="5" t="str">
        <f t="shared" si="1"/>
        <v>Merrie Fowler</v>
      </c>
    </row>
    <row r="1437">
      <c r="A1437" s="13">
        <v>1436.0</v>
      </c>
      <c r="B1437" s="13" t="s">
        <v>5272</v>
      </c>
      <c r="C1437" s="13" t="s">
        <v>4372</v>
      </c>
      <c r="D1437" s="13" t="s">
        <v>18</v>
      </c>
      <c r="E1437" s="13" t="s">
        <v>5273</v>
      </c>
      <c r="F1437" s="13" t="s">
        <v>5274</v>
      </c>
      <c r="G1437" s="13" t="s">
        <v>54</v>
      </c>
      <c r="H1437" s="13" t="s">
        <v>16</v>
      </c>
      <c r="I1437" s="13">
        <v>11710.0</v>
      </c>
      <c r="J1437" s="5" t="str">
        <f t="shared" si="1"/>
        <v>Macie Ayers</v>
      </c>
    </row>
    <row r="1438">
      <c r="A1438" s="13">
        <v>1437.0</v>
      </c>
      <c r="B1438" s="13" t="s">
        <v>5275</v>
      </c>
      <c r="C1438" s="13" t="s">
        <v>3812</v>
      </c>
      <c r="D1438" s="13" t="s">
        <v>18</v>
      </c>
      <c r="E1438" s="13" t="s">
        <v>5276</v>
      </c>
      <c r="F1438" s="13" t="s">
        <v>5277</v>
      </c>
      <c r="G1438" s="13" t="s">
        <v>206</v>
      </c>
      <c r="H1438" s="13" t="s">
        <v>16</v>
      </c>
      <c r="I1438" s="13">
        <v>11570.0</v>
      </c>
      <c r="J1438" s="5" t="str">
        <f t="shared" si="1"/>
        <v>Son Warner</v>
      </c>
    </row>
    <row r="1439">
      <c r="A1439" s="13">
        <v>1438.0</v>
      </c>
      <c r="B1439" s="13" t="s">
        <v>1011</v>
      </c>
      <c r="C1439" s="13" t="s">
        <v>2874</v>
      </c>
      <c r="D1439" s="13" t="s">
        <v>5278</v>
      </c>
      <c r="E1439" s="13" t="s">
        <v>5279</v>
      </c>
      <c r="F1439" s="13" t="s">
        <v>5280</v>
      </c>
      <c r="G1439" s="13" t="s">
        <v>217</v>
      </c>
      <c r="H1439" s="13" t="s">
        <v>15</v>
      </c>
      <c r="I1439" s="13">
        <v>95127.0</v>
      </c>
      <c r="J1439" s="5" t="str">
        <f t="shared" si="1"/>
        <v>Lee Dunn</v>
      </c>
    </row>
    <row r="1440">
      <c r="A1440" s="13">
        <v>1439.0</v>
      </c>
      <c r="B1440" s="13" t="s">
        <v>5281</v>
      </c>
      <c r="C1440" s="13" t="s">
        <v>352</v>
      </c>
      <c r="D1440" s="13" t="s">
        <v>18</v>
      </c>
      <c r="E1440" s="13" t="s">
        <v>5282</v>
      </c>
      <c r="F1440" s="13" t="s">
        <v>5283</v>
      </c>
      <c r="G1440" s="13" t="s">
        <v>172</v>
      </c>
      <c r="H1440" s="13" t="s">
        <v>16</v>
      </c>
      <c r="I1440" s="13">
        <v>10801.0</v>
      </c>
      <c r="J1440" s="5" t="str">
        <f t="shared" si="1"/>
        <v>Florrie Little</v>
      </c>
    </row>
    <row r="1441">
      <c r="A1441" s="13">
        <v>1440.0</v>
      </c>
      <c r="B1441" s="13" t="s">
        <v>5284</v>
      </c>
      <c r="C1441" s="13" t="s">
        <v>1618</v>
      </c>
      <c r="D1441" s="13" t="s">
        <v>18</v>
      </c>
      <c r="E1441" s="13" t="s">
        <v>5285</v>
      </c>
      <c r="F1441" s="13" t="s">
        <v>5286</v>
      </c>
      <c r="G1441" s="13" t="s">
        <v>179</v>
      </c>
      <c r="H1441" s="13" t="s">
        <v>16</v>
      </c>
      <c r="I1441" s="13">
        <v>11364.0</v>
      </c>
      <c r="J1441" s="5" t="str">
        <f t="shared" si="1"/>
        <v>Ernest Rollins</v>
      </c>
    </row>
    <row r="1442">
      <c r="A1442" s="13">
        <v>1441.0</v>
      </c>
      <c r="B1442" s="13" t="s">
        <v>388</v>
      </c>
      <c r="C1442" s="13" t="s">
        <v>5287</v>
      </c>
      <c r="D1442" s="13" t="s">
        <v>18</v>
      </c>
      <c r="E1442" s="13" t="s">
        <v>5288</v>
      </c>
      <c r="F1442" s="13" t="s">
        <v>5289</v>
      </c>
      <c r="G1442" s="13" t="s">
        <v>234</v>
      </c>
      <c r="H1442" s="13" t="s">
        <v>16</v>
      </c>
      <c r="I1442" s="13">
        <v>10301.0</v>
      </c>
      <c r="J1442" s="5" t="str">
        <f t="shared" si="1"/>
        <v>Jamaal Morrison</v>
      </c>
    </row>
    <row r="1443">
      <c r="A1443" s="13">
        <v>1442.0</v>
      </c>
      <c r="B1443" s="13" t="s">
        <v>5290</v>
      </c>
      <c r="C1443" s="13" t="s">
        <v>4878</v>
      </c>
      <c r="D1443" s="13" t="s">
        <v>18</v>
      </c>
      <c r="E1443" s="13" t="s">
        <v>5291</v>
      </c>
      <c r="F1443" s="13" t="s">
        <v>5292</v>
      </c>
      <c r="G1443" s="13" t="s">
        <v>62</v>
      </c>
      <c r="H1443" s="13" t="s">
        <v>16</v>
      </c>
      <c r="I1443" s="13">
        <v>11201.0</v>
      </c>
      <c r="J1443" s="5" t="str">
        <f t="shared" si="1"/>
        <v>Cassie Cline</v>
      </c>
    </row>
    <row r="1444">
      <c r="A1444" s="13">
        <v>1443.0</v>
      </c>
      <c r="B1444" s="13" t="s">
        <v>3405</v>
      </c>
      <c r="C1444" s="13" t="s">
        <v>3222</v>
      </c>
      <c r="D1444" s="13" t="s">
        <v>18</v>
      </c>
      <c r="E1444" s="13" t="s">
        <v>5293</v>
      </c>
      <c r="F1444" s="13" t="s">
        <v>5294</v>
      </c>
      <c r="G1444" s="13" t="s">
        <v>76</v>
      </c>
      <c r="H1444" s="13" t="s">
        <v>16</v>
      </c>
      <c r="I1444" s="13">
        <v>11722.0</v>
      </c>
      <c r="J1444" s="5" t="str">
        <f t="shared" si="1"/>
        <v>Lezlie Lamb</v>
      </c>
    </row>
    <row r="1445">
      <c r="A1445" s="13">
        <v>1444.0</v>
      </c>
      <c r="B1445" s="13" t="s">
        <v>3850</v>
      </c>
      <c r="C1445" s="13" t="s">
        <v>1183</v>
      </c>
      <c r="D1445" s="13" t="s">
        <v>18</v>
      </c>
      <c r="E1445" s="13" t="s">
        <v>5295</v>
      </c>
      <c r="F1445" s="13" t="s">
        <v>5296</v>
      </c>
      <c r="G1445" s="13" t="s">
        <v>68</v>
      </c>
      <c r="H1445" s="13" t="s">
        <v>16</v>
      </c>
      <c r="I1445" s="13">
        <v>14424.0</v>
      </c>
      <c r="J1445" s="5" t="str">
        <f t="shared" si="1"/>
        <v>Ivette Estes</v>
      </c>
    </row>
    <row r="1446">
      <c r="A1446" s="13">
        <v>1445.0</v>
      </c>
      <c r="B1446" s="13" t="s">
        <v>5297</v>
      </c>
      <c r="C1446" s="13" t="s">
        <v>2337</v>
      </c>
      <c r="D1446" s="13" t="s">
        <v>18</v>
      </c>
      <c r="E1446" s="13" t="s">
        <v>5298</v>
      </c>
      <c r="F1446" s="13" t="s">
        <v>5299</v>
      </c>
      <c r="G1446" s="13" t="s">
        <v>218</v>
      </c>
      <c r="H1446" s="13" t="s">
        <v>15</v>
      </c>
      <c r="I1446" s="13">
        <v>94580.0</v>
      </c>
      <c r="J1446" s="5" t="str">
        <f t="shared" si="1"/>
        <v>Ester Acevedo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88"/>
    <col customWidth="1" min="3" max="3" width="12.38"/>
    <col customWidth="1" min="4" max="4" width="17.88"/>
    <col customWidth="1" min="5" max="5" width="17.13"/>
    <col customWidth="1" min="6" max="6" width="9.38"/>
    <col customWidth="1" min="7" max="7" width="4.63"/>
    <col customWidth="1" min="8" max="8" width="7.63"/>
  </cols>
  <sheetData>
    <row r="1">
      <c r="A1" s="1" t="s">
        <v>6</v>
      </c>
      <c r="B1" s="1" t="s">
        <v>5300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 t="s">
        <v>30</v>
      </c>
      <c r="C2" s="1" t="s">
        <v>5301</v>
      </c>
      <c r="D2" s="1" t="s">
        <v>5302</v>
      </c>
      <c r="E2" s="1" t="s">
        <v>5303</v>
      </c>
      <c r="F2" s="1" t="s">
        <v>221</v>
      </c>
      <c r="G2" s="1" t="s">
        <v>15</v>
      </c>
      <c r="H2" s="1">
        <v>95060.0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2.0</v>
      </c>
      <c r="B3" s="1" t="s">
        <v>26</v>
      </c>
      <c r="C3" s="1" t="s">
        <v>5304</v>
      </c>
      <c r="D3" s="1" t="s">
        <v>5305</v>
      </c>
      <c r="E3" s="1" t="s">
        <v>5306</v>
      </c>
      <c r="F3" s="1" t="s">
        <v>42</v>
      </c>
      <c r="G3" s="1" t="s">
        <v>16</v>
      </c>
      <c r="H3" s="1">
        <v>11432.0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1" t="s">
        <v>28</v>
      </c>
      <c r="C4" s="1" t="s">
        <v>5307</v>
      </c>
      <c r="D4" s="1" t="s">
        <v>5308</v>
      </c>
      <c r="E4" s="1" t="s">
        <v>5309</v>
      </c>
      <c r="F4" s="1" t="s">
        <v>210</v>
      </c>
      <c r="G4" s="1" t="s">
        <v>17</v>
      </c>
      <c r="H4" s="1">
        <v>75088.0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9.13"/>
    <col customWidth="1" min="3" max="3" width="8.75"/>
    <col customWidth="1" min="4" max="4" width="25.0"/>
    <col customWidth="1" min="5" max="5" width="12.38"/>
    <col customWidth="1" min="6" max="6" width="5.38"/>
    <col customWidth="1" min="7" max="7" width="6.88"/>
    <col customWidth="1" min="8" max="8" width="9.75"/>
    <col customWidth="1" min="9" max="9" width="15.88"/>
  </cols>
  <sheetData>
    <row r="1">
      <c r="A1" s="1" t="s">
        <v>7</v>
      </c>
      <c r="B1" s="1" t="s">
        <v>260</v>
      </c>
      <c r="C1" s="1" t="s">
        <v>261</v>
      </c>
      <c r="D1" s="1" t="s">
        <v>263</v>
      </c>
      <c r="E1" s="1" t="s">
        <v>262</v>
      </c>
      <c r="F1" s="1" t="s">
        <v>5310</v>
      </c>
      <c r="G1" s="1" t="s">
        <v>6</v>
      </c>
      <c r="H1" s="1" t="s">
        <v>5311</v>
      </c>
      <c r="I1" s="2" t="s">
        <v>11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 t="s">
        <v>5312</v>
      </c>
      <c r="C2" s="1" t="s">
        <v>464</v>
      </c>
      <c r="D2" s="1" t="s">
        <v>5313</v>
      </c>
      <c r="E2" s="1" t="s">
        <v>5314</v>
      </c>
      <c r="F2" s="1">
        <v>1.0</v>
      </c>
      <c r="G2" s="1">
        <v>1.0</v>
      </c>
      <c r="H2" s="1" t="s">
        <v>18</v>
      </c>
      <c r="I2" s="3" t="str">
        <f t="shared" ref="I2:I11" si="1">CONCATENATE(B2," ",C2)</f>
        <v>Fabiola Jackson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2.0</v>
      </c>
      <c r="B3" s="1" t="s">
        <v>5315</v>
      </c>
      <c r="C3" s="1" t="s">
        <v>4619</v>
      </c>
      <c r="D3" s="1" t="s">
        <v>5316</v>
      </c>
      <c r="E3" s="1" t="s">
        <v>5317</v>
      </c>
      <c r="F3" s="1">
        <v>1.0</v>
      </c>
      <c r="G3" s="1">
        <v>1.0</v>
      </c>
      <c r="H3" s="1">
        <v>1.0</v>
      </c>
      <c r="I3" s="3" t="str">
        <f t="shared" si="1"/>
        <v>Mireya Copeland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1" t="s">
        <v>5318</v>
      </c>
      <c r="C4" s="1" t="s">
        <v>5319</v>
      </c>
      <c r="D4" s="1" t="s">
        <v>5320</v>
      </c>
      <c r="E4" s="1" t="s">
        <v>5321</v>
      </c>
      <c r="F4" s="1">
        <v>1.0</v>
      </c>
      <c r="G4" s="1">
        <v>1.0</v>
      </c>
      <c r="H4" s="1">
        <v>2.0</v>
      </c>
      <c r="I4" s="3" t="str">
        <f t="shared" si="1"/>
        <v>Genna Serrano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4.0</v>
      </c>
      <c r="B5" s="1" t="s">
        <v>5322</v>
      </c>
      <c r="C5" s="1" t="s">
        <v>1527</v>
      </c>
      <c r="D5" s="1" t="s">
        <v>5323</v>
      </c>
      <c r="E5" s="1" t="s">
        <v>5324</v>
      </c>
      <c r="F5" s="1">
        <v>1.0</v>
      </c>
      <c r="G5" s="1">
        <v>1.0</v>
      </c>
      <c r="H5" s="1">
        <v>2.0</v>
      </c>
      <c r="I5" s="3" t="str">
        <f t="shared" si="1"/>
        <v>Virgie Wiggins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5.0</v>
      </c>
      <c r="B6" s="1" t="s">
        <v>5325</v>
      </c>
      <c r="C6" s="1" t="s">
        <v>5326</v>
      </c>
      <c r="D6" s="1" t="s">
        <v>5327</v>
      </c>
      <c r="E6" s="1" t="s">
        <v>5328</v>
      </c>
      <c r="F6" s="1">
        <v>1.0</v>
      </c>
      <c r="G6" s="1">
        <v>2.0</v>
      </c>
      <c r="H6" s="1">
        <v>1.0</v>
      </c>
      <c r="I6" s="3" t="str">
        <f t="shared" si="1"/>
        <v>Jannette David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6.0</v>
      </c>
      <c r="B7" s="1" t="s">
        <v>5329</v>
      </c>
      <c r="C7" s="1" t="s">
        <v>5330</v>
      </c>
      <c r="D7" s="1" t="s">
        <v>5331</v>
      </c>
      <c r="E7" s="1" t="s">
        <v>5332</v>
      </c>
      <c r="F7" s="1">
        <v>1.0</v>
      </c>
      <c r="G7" s="1">
        <v>2.0</v>
      </c>
      <c r="H7" s="1">
        <v>5.0</v>
      </c>
      <c r="I7" s="3" t="str">
        <f t="shared" si="1"/>
        <v>Marcelene Boyer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7.0</v>
      </c>
      <c r="B8" s="1" t="s">
        <v>5333</v>
      </c>
      <c r="C8" s="1" t="s">
        <v>604</v>
      </c>
      <c r="D8" s="1" t="s">
        <v>5334</v>
      </c>
      <c r="E8" s="1" t="s">
        <v>5335</v>
      </c>
      <c r="F8" s="1">
        <v>1.0</v>
      </c>
      <c r="G8" s="1">
        <v>2.0</v>
      </c>
      <c r="H8" s="1">
        <v>5.0</v>
      </c>
      <c r="I8" s="3" t="str">
        <f t="shared" si="1"/>
        <v>Venita Daniel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8.0</v>
      </c>
      <c r="B9" s="1" t="s">
        <v>5336</v>
      </c>
      <c r="C9" s="1" t="s">
        <v>616</v>
      </c>
      <c r="D9" s="1" t="s">
        <v>5337</v>
      </c>
      <c r="E9" s="1" t="s">
        <v>5307</v>
      </c>
      <c r="F9" s="1">
        <v>1.0</v>
      </c>
      <c r="G9" s="1">
        <v>3.0</v>
      </c>
      <c r="H9" s="1">
        <v>1.0</v>
      </c>
      <c r="I9" s="3" t="str">
        <f t="shared" si="1"/>
        <v>Kali Vargas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9.0</v>
      </c>
      <c r="B10" s="1" t="s">
        <v>5338</v>
      </c>
      <c r="C10" s="1" t="s">
        <v>3108</v>
      </c>
      <c r="D10" s="1" t="s">
        <v>5339</v>
      </c>
      <c r="E10" s="1" t="s">
        <v>5340</v>
      </c>
      <c r="F10" s="1">
        <v>1.0</v>
      </c>
      <c r="G10" s="1">
        <v>3.0</v>
      </c>
      <c r="H10" s="1">
        <v>7.0</v>
      </c>
      <c r="I10" s="3" t="str">
        <f t="shared" si="1"/>
        <v>Layla Terrell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10.0</v>
      </c>
      <c r="B11" s="1" t="s">
        <v>5341</v>
      </c>
      <c r="C11" s="1" t="s">
        <v>138</v>
      </c>
      <c r="D11" s="1" t="s">
        <v>5342</v>
      </c>
      <c r="E11" s="1" t="s">
        <v>5343</v>
      </c>
      <c r="F11" s="1">
        <v>1.0</v>
      </c>
      <c r="G11" s="1">
        <v>3.0</v>
      </c>
      <c r="H11" s="1">
        <v>7.0</v>
      </c>
      <c r="I11" s="3" t="str">
        <f t="shared" si="1"/>
        <v>Bernardine Houston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