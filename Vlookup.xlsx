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80" yWindow="345" windowWidth="19875" windowHeight="7725"/>
  </bookViews>
  <sheets>
    <sheet name="Pivot Table" sheetId="2" r:id="rId1"/>
    <sheet name="Product Dataset" sheetId="1" r:id="rId2"/>
  </sheets>
  <calcPr calcId="144525"/>
  <pivotCaches>
    <pivotCache cacheId="2" r:id="rId3"/>
  </pivotCaches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2" i="2"/>
</calcChain>
</file>

<file path=xl/sharedStrings.xml><?xml version="1.0" encoding="utf-8"?>
<sst xmlns="http://schemas.openxmlformats.org/spreadsheetml/2006/main" count="315" uniqueCount="285">
  <si>
    <t>product_id</t>
  </si>
  <si>
    <t>product_name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</si>
  <si>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</si>
  <si>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</si>
  <si>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</si>
  <si>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</si>
  <si>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</si>
  <si>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</si>
  <si>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</si>
  <si>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</si>
  <si>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</si>
  <si>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</si>
  <si>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</si>
  <si>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</si>
  <si>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</si>
  <si>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</si>
  <si>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</si>
  <si>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</si>
  <si>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</si>
  <si>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</si>
  <si>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</si>
  <si>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</si>
  <si>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</si>
  <si>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</si>
  <si>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</si>
  <si>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</si>
  <si>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</si>
  <si>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</si>
  <si>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</si>
  <si>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</si>
  <si>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</si>
  <si>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</si>
  <si>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</si>
  <si>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</si>
  <si>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</si>
  <si>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</si>
  <si>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</si>
  <si>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</si>
  <si>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</si>
  <si>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</si>
  <si>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</si>
  <si>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</si>
  <si>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</si>
  <si>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</si>
  <si>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</si>
  <si>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</si>
  <si>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</si>
  <si>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</si>
  <si>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</si>
  <si>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</si>
  <si>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</si>
  <si>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</si>
  <si>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</si>
  <si>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</si>
  <si>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</si>
  <si>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</si>
  <si>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</si>
  <si>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</si>
  <si>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</si>
  <si>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</si>
  <si>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</si>
  <si>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</si>
  <si>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</si>
  <si>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</si>
  <si>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</si>
  <si>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</si>
  <si>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</si>
  <si>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</si>
  <si>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</si>
  <si>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</si>
  <si>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</si>
  <si>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</si>
  <si>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</si>
  <si>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</si>
  <si>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</si>
  <si>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</si>
  <si>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</si>
  <si>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</si>
  <si>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</si>
  <si>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</si>
  <si>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</si>
  <si>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</si>
  <si>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</si>
  <si>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</si>
  <si>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</si>
  <si>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</si>
  <si>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</si>
  <si>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</si>
  <si>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</si>
  <si>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</si>
  <si>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</si>
  <si>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</si>
  <si>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</si>
  <si>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</si>
  <si>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</si>
  <si>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</si>
  <si>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</si>
  <si>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</si>
  <si>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</si>
  <si>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</si>
  <si>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</si>
  <si>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</si>
  <si>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</si>
  <si>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</si>
  <si>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</si>
  <si>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</si>
  <si>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</si>
  <si>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</si>
  <si>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</si>
  <si>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</si>
  <si>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</si>
  <si>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</si>
  <si>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</si>
  <si>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Troll Frameset - 2018</t>
  </si>
  <si>
    <t>Trek Farley Carbon Frameset - 2018</t>
  </si>
  <si>
    <t>Surly Krampus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</si>
  <si>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</si>
  <si>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</si>
  <si>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</si>
  <si>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</si>
  <si>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</si>
  <si>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</si>
  <si>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</si>
  <si>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</si>
  <si>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</si>
  <si>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</si>
  <si>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</si>
  <si>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</si>
  <si>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</si>
  <si>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</si>
  <si>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</si>
  <si>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</si>
  <si>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</si>
  <si>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</si>
  <si>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</si>
  <si>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</si>
  <si>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</si>
  <si>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</si>
  <si>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</si>
  <si>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</si>
  <si>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</si>
  <si>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</si>
  <si>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</si>
  <si>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</si>
  <si>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</si>
  <si>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</si>
  <si>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</si>
  <si>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</si>
  <si>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</si>
  <si>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</si>
  <si>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</si>
  <si>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</si>
  <si>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</si>
  <si>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</si>
  <si>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</si>
  <si>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</si>
  <si>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</si>
  <si>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</si>
  <si>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</si>
  <si>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</si>
  <si>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</si>
  <si>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</si>
  <si>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</si>
  <si>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</si>
  <si>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</si>
  <si>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</si>
  <si>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</si>
  <si>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</si>
  <si>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</si>
  <si>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</si>
  <si>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</si>
  <si>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</si>
  <si>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</si>
  <si>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</si>
  <si>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</si>
  <si>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</si>
  <si>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</si>
  <si>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</si>
  <si>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</si>
  <si>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</si>
  <si>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</si>
  <si>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</si>
  <si>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</si>
  <si>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</si>
  <si>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</si>
  <si>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</si>
  <si>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</si>
  <si>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</si>
  <si>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</si>
  <si>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</si>
  <si>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</si>
  <si>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</si>
  <si>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</si>
  <si>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</si>
  <si>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</si>
  <si>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</si>
  <si>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</si>
  <si>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</si>
  <si>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</si>
  <si>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</si>
  <si>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</si>
  <si>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</si>
  <si>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</si>
  <si>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</si>
  <si>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</si>
  <si>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</si>
  <si>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</si>
  <si>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</si>
  <si>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</si>
  <si>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</si>
  <si>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</si>
  <si>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</si>
  <si>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</si>
  <si>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</si>
  <si>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</si>
  <si>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</si>
  <si>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</si>
  <si>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</si>
  <si>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</si>
  <si>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</si>
  <si>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</si>
  <si>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</si>
  <si>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</si>
  <si>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</si>
  <si>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</si>
  <si>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</si>
  <si>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</si>
  <si>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</si>
  <si>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</si>
  <si>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</si>
  <si>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</si>
  <si>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</si>
  <si>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</si>
  <si>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</si>
  <si>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</si>
  <si>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</si>
  <si>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Go! 8i Ladies'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</si>
  <si>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</si>
  <si>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</si>
  <si>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</si>
  <si>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</si>
  <si>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</si>
  <si>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</si>
  <si>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</si>
  <si>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</si>
  <si>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</si>
  <si>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</si>
  <si>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</si>
  <si>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</si>
  <si>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</si>
  <si>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</si>
  <si>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</si>
  <si>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</si>
  <si>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</si>
  <si>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</si>
  <si>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</si>
  <si>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</si>
  <si>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</si>
  <si>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</si>
  <si>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</si>
  <si>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</si>
  <si>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</si>
  <si>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</si>
  <si>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</si>
  <si>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</si>
  <si>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Soft Serve 1 (16-inch) - Girl's - 2018</t>
  </si>
  <si>
    <t>Electra Starship 1 16 - 2018</t>
  </si>
  <si>
    <t>Electra Straight 8 1 (16-inch) - Boy's - 2018</t>
  </si>
  <si>
    <t>Electra Straight 8 1 (20-inch) - Boy's - 2018</t>
  </si>
  <si>
    <t>Electra Superbolt 1 20 - 2018</t>
  </si>
  <si>
    <t>Electra Superbolt 3i 20 - 2018</t>
  </si>
  <si>
    <t>Electra Sweet Ride 3i (20-inch) - Girls' - 2018</t>
  </si>
  <si>
    <t>Electra Tiger Shark 1 (20-inch) - Boys' - 2018</t>
  </si>
  <si>
    <t>Electra Tiger Shark 3i (20-inch) - Boys' - 2018</t>
  </si>
  <si>
    <t>Electra Treasure 1 20 - 2018</t>
  </si>
  <si>
    <t>Electra Treasure 3i 20 - 2018</t>
  </si>
  <si>
    <t>Electra Under-The-Sea 1 16 - 2018</t>
  </si>
  <si>
    <t>Electra Water Lily 1 (16-inch) - Girl's - 2018</t>
  </si>
  <si>
    <t>Electra Townie Original 1 - 2018</t>
  </si>
  <si>
    <t>Electra Townie Original 1 Ladies' - 2018</t>
  </si>
  <si>
    <t>total_revenue</t>
  </si>
  <si>
    <t>estimated_cost</t>
  </si>
  <si>
    <t>profit_margin_percent</t>
  </si>
  <si>
    <t>product name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</si>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</sst>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if" refreshedDate="46039.66796053241" createdVersion="4" refreshedVersion="4" minRefreshableVersion="3" recordCount="307">
  <cacheSource type="worksheet">
    <worksheetSource name="Table1"/>
  </cacheSource>
  <cacheFields count="5">
    <cacheField name="product_id" numFmtId="0">
      <sharedItems containsSemiMixedTypes="0" containsString="0" containsNumber="1" containsInteger="1" minValue="2" maxValue="315" count="307">
        <n v="157"/>
        <n v="218"/>
        <n v="289"/>
        <n v="201"/>
        <n v="224"/>
        <n v="138"/>
        <n v="270"/>
        <n v="315"/>
        <n v="243"/>
        <n v="192"/>
        <n v="177"/>
        <n v="287"/>
        <n v="167"/>
        <n v="211"/>
        <n v="290"/>
        <n v="280"/>
        <n v="237"/>
        <n v="227"/>
        <n v="233"/>
        <n v="246"/>
        <n v="119"/>
        <n v="293"/>
        <n v="298"/>
        <n v="117"/>
        <n v="310"/>
        <n v="159"/>
        <n v="139"/>
        <n v="244"/>
        <n v="179"/>
        <n v="306"/>
        <n v="134"/>
        <n v="205"/>
        <n v="223"/>
        <n v="309"/>
        <n v="288"/>
        <n v="281"/>
        <n v="250"/>
        <n v="212"/>
        <n v="169"/>
        <n v="176"/>
        <n v="307"/>
        <n v="143"/>
        <n v="175"/>
        <n v="303"/>
        <n v="170"/>
        <n v="273"/>
        <n v="200"/>
        <n v="147"/>
        <n v="245"/>
        <n v="264"/>
        <n v="202"/>
        <n v="51"/>
        <n v="215"/>
        <n v="221"/>
        <n v="240"/>
        <n v="251"/>
        <n v="171"/>
        <n v="160"/>
        <n v="142"/>
        <n v="187"/>
        <n v="190"/>
        <n v="133"/>
        <n v="302"/>
        <n v="116"/>
        <n v="292"/>
        <n v="261"/>
        <n v="61"/>
        <n v="234"/>
        <n v="102"/>
        <n v="206"/>
        <n v="220"/>
        <n v="71"/>
        <n v="41"/>
        <n v="203"/>
        <n v="149"/>
        <n v="68"/>
        <n v="214"/>
        <n v="209"/>
        <n v="127"/>
        <n v="181"/>
        <n v="74"/>
        <n v="48"/>
        <n v="75"/>
        <n v="249"/>
        <n v="255"/>
        <n v="191"/>
        <n v="228"/>
        <n v="38"/>
        <n v="43"/>
        <n v="77"/>
        <n v="69"/>
        <n v="30"/>
        <n v="185"/>
        <n v="260"/>
        <n v="21"/>
        <n v="112"/>
        <n v="32"/>
        <n v="95"/>
        <n v="253"/>
        <n v="78"/>
        <n v="155"/>
        <n v="50"/>
        <n v="81"/>
        <n v="123"/>
        <n v="252"/>
        <n v="47"/>
        <n v="24"/>
        <n v="110"/>
        <n v="44"/>
        <n v="8"/>
        <n v="53"/>
        <n v="17"/>
        <n v="52"/>
        <n v="58"/>
        <n v="18"/>
        <n v="130"/>
        <n v="166"/>
        <n v="115"/>
        <n v="34"/>
        <n v="7"/>
        <n v="89"/>
        <n v="106"/>
        <n v="76"/>
        <n v="80"/>
        <n v="230"/>
        <n v="26"/>
        <n v="12"/>
        <n v="161"/>
        <n v="278"/>
        <n v="271"/>
        <n v="156"/>
        <n v="239"/>
        <n v="266"/>
        <n v="305"/>
        <n v="35"/>
        <n v="199"/>
        <n v="222"/>
        <n v="294"/>
        <n v="258"/>
        <n v="162"/>
        <n v="132"/>
        <n v="262"/>
        <n v="268"/>
        <n v="312"/>
        <n v="256"/>
        <n v="36"/>
        <n v="25"/>
        <n v="103"/>
        <n v="31"/>
        <n v="93"/>
        <n v="39"/>
        <n v="83"/>
        <n v="70"/>
        <n v="63"/>
        <n v="141"/>
        <n v="151"/>
        <n v="73"/>
        <n v="107"/>
        <n v="204"/>
        <n v="65"/>
        <n v="28"/>
        <n v="153"/>
        <n v="6"/>
        <n v="13"/>
        <n v="46"/>
        <n v="100"/>
        <n v="15"/>
        <n v="216"/>
        <n v="9"/>
        <n v="56"/>
        <n v="226"/>
        <n v="72"/>
        <n v="282"/>
        <n v="10"/>
        <n v="40"/>
        <n v="11"/>
        <n v="236"/>
        <n v="150"/>
        <n v="148"/>
        <n v="57"/>
        <n v="172"/>
        <n v="27"/>
        <n v="105"/>
        <n v="113"/>
        <n v="19"/>
        <n v="91"/>
        <n v="96"/>
        <n v="54"/>
        <n v="301"/>
        <n v="99"/>
        <n v="2"/>
        <n v="3"/>
        <n v="235"/>
        <n v="257"/>
        <n v="213"/>
        <n v="126"/>
        <n v="94"/>
        <n v="14"/>
        <n v="304"/>
        <n v="109"/>
        <n v="4"/>
        <n v="55"/>
        <n v="101"/>
        <n v="97"/>
        <n v="23"/>
        <n v="297"/>
        <n v="86"/>
        <n v="111"/>
        <n v="60"/>
        <n v="22"/>
        <n v="5"/>
        <n v="20"/>
        <n v="66"/>
        <n v="104"/>
        <n v="295"/>
        <n v="182"/>
        <n v="122"/>
        <n v="193"/>
        <n v="37"/>
        <n v="269"/>
        <n v="145"/>
        <n v="16"/>
        <n v="29"/>
        <n v="265"/>
        <n v="88"/>
        <n v="207"/>
        <n v="276"/>
        <n v="84"/>
        <n v="64"/>
        <n v="98"/>
        <n v="45"/>
        <n v="59"/>
        <n v="275"/>
        <n v="79"/>
        <n v="49"/>
        <n v="92"/>
        <n v="248"/>
        <n v="108"/>
        <n v="198"/>
        <n v="178"/>
        <n v="165"/>
        <n v="231"/>
        <n v="313"/>
        <n v="33"/>
        <n v="87"/>
        <n v="124"/>
        <n v="90"/>
        <n v="135"/>
        <n v="137"/>
        <n v="82"/>
        <n v="62"/>
        <n v="42"/>
        <n v="67"/>
        <n v="263"/>
        <n v="219"/>
        <n v="129"/>
        <n v="286"/>
        <n v="164"/>
        <n v="163"/>
        <n v="277"/>
        <n v="131"/>
        <n v="186"/>
        <n v="168"/>
        <n v="194"/>
        <n v="128"/>
        <n v="283"/>
        <n v="225"/>
        <n v="217"/>
        <n v="188"/>
        <n v="242"/>
        <n v="85"/>
        <n v="158"/>
        <n v="300"/>
        <n v="146"/>
        <n v="272"/>
        <n v="247"/>
        <n v="274"/>
        <n v="254"/>
        <n v="180"/>
        <n v="208"/>
        <n v="259"/>
        <n v="144"/>
        <n v="136"/>
        <n v="114"/>
        <n v="229"/>
        <n v="241"/>
        <n v="173"/>
        <n v="118"/>
        <n v="152"/>
        <n v="311"/>
        <n v="308"/>
        <n v="210"/>
        <n v="196"/>
        <n v="238"/>
        <n v="184"/>
        <n v="197"/>
        <n v="189"/>
        <n v="232"/>
        <n v="120"/>
        <n v="285"/>
        <n v="174"/>
        <n v="296"/>
        <n v="183"/>
        <n v="140"/>
        <n v="279"/>
        <n v="299"/>
        <n v="314"/>
      </sharedItems>
    </cacheField>
    <cacheField name="product name" numFmtId="0">
      <sharedItems/>
    </cacheField>
    <cacheField name="total_revenue" numFmtId="0">
      <sharedItems containsSemiMixedTypes="0" containsString="0" containsNumber="1" minValue="199.4905" maxValue="555558.61109999998"/>
    </cacheField>
    <cacheField name="estimated_cost" numFmtId="0">
      <sharedItems containsSemiMixedTypes="0" containsString="0" containsNumber="1" minValue="146.99299999999999" maxValue="431198.92200000002"/>
    </cacheField>
    <cacheField name="profit_margin_percent" numFmtId="0">
      <sharedItems containsSemiMixedTypes="0" containsString="0" containsNumber="1" minValue="12.5" maxValue="26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">
  <r>
    <x v="0"/>
    <s v="Trek Domane SL Frameset Women's - 2018"/>
    <n v="6174.9904999999999"/>
    <n v="4549.9930000000004"/>
    <n v="26.32"/>
  </r>
  <r>
    <x v="1"/>
    <s v="Electra Cruiser 7D - 2016/2017/2018"/>
    <n v="303.9905"/>
    <n v="223.99299999999999"/>
    <n v="26.32"/>
  </r>
  <r>
    <x v="2"/>
    <s v="Electra Superbolt 1 20 - 2018"/>
    <n v="607.98099999999999"/>
    <n v="447.98599999999999"/>
    <n v="26.32"/>
  </r>
  <r>
    <x v="3"/>
    <s v="Trek Powerfly 5 FS - 2018"/>
    <n v="4274.9904999999999"/>
    <n v="3149.9929999999999"/>
    <n v="26.32"/>
  </r>
  <r>
    <x v="4"/>
    <s v="Electra Cruiser Lux 7D - 2018"/>
    <n v="1823.962"/>
    <n v="1343.972"/>
    <n v="26.32"/>
  </r>
  <r>
    <x v="5"/>
    <s v="Trek Fuel EX 5 Plus - 2018"/>
    <n v="12824.942999999999"/>
    <n v="9449.9580000000005"/>
    <n v="26.32"/>
  </r>
  <r>
    <x v="6"/>
    <s v="Trek Precaliber 16 Boy's - 2018"/>
    <n v="199.4905"/>
    <n v="146.99299999999999"/>
    <n v="26.32"/>
  </r>
  <r>
    <x v="7"/>
    <s v="Electra Townie Original 21D Ladies' - 2018"/>
    <n v="1063.981"/>
    <n v="783.98599999999999"/>
    <n v="26.32"/>
  </r>
  <r>
    <x v="8"/>
    <s v="Electra Townie Original 21D EQ Ladies' - 2018"/>
    <n v="3875.9430000000002"/>
    <n v="2855.9580000000001"/>
    <n v="26.32"/>
  </r>
  <r>
    <x v="9"/>
    <s v="Electra Townie Go! 8i - 2017/2018"/>
    <n v="2469.9904999999999"/>
    <n v="1819.9929999999999"/>
    <n v="26.32"/>
  </r>
  <r>
    <x v="10"/>
    <s v="Trek Domane SLR 6 Disc - 2018"/>
    <n v="10449.981"/>
    <n v="7699.9859999999999"/>
    <n v="26.32"/>
  </r>
  <r>
    <x v="11"/>
    <s v="Electra Straight 8 1 (16-inch) - Boy's - 2018"/>
    <n v="265.9905"/>
    <n v="195.99299999999999"/>
    <n v="26.32"/>
  </r>
  <r>
    <x v="12"/>
    <s v="Surly ECR Frameset - 2018"/>
    <n v="712.4905"/>
    <n v="524.99300000000005"/>
    <n v="26.32"/>
  </r>
  <r>
    <x v="13"/>
    <s v="Surly Straggler 650b - 2018"/>
    <n v="2943.1"/>
    <n v="2168.6"/>
    <n v="26.32"/>
  </r>
  <r>
    <x v="14"/>
    <s v="Electra Superbolt 3i 20 - 2018"/>
    <n v="351.4905"/>
    <n v="258.99299999999999"/>
    <n v="26.32"/>
  </r>
  <r>
    <x v="15"/>
    <s v="Trek Superfly 24 - 2017/2018"/>
    <n v="465.4905"/>
    <n v="342.99299999999999"/>
    <n v="26.32"/>
  </r>
  <r>
    <x v="16"/>
    <s v="Electra Relic 3i - 2018"/>
    <n v="4844.9430000000002"/>
    <n v="3569.9580000000001"/>
    <n v="26.32"/>
  </r>
  <r>
    <x v="17"/>
    <s v="Electra Cruiser 7D (24-Inch) Ladies' - 2016/2018"/>
    <n v="1209.5622000000001"/>
    <n v="895.97199999999998"/>
    <n v="25.93"/>
  </r>
  <r>
    <x v="18"/>
    <s v="Electra Cruiser Lux Fat Tire 7D - 2018"/>
    <n v="1811.1717000000001"/>
    <n v="1343.979"/>
    <n v="25.8"/>
  </r>
  <r>
    <x v="19"/>
    <s v="Electra Townie Original 3i EQ Ladies' - 2018"/>
    <n v="1811.1717000000001"/>
    <n v="1343.979"/>
    <n v="25.8"/>
  </r>
  <r>
    <x v="20"/>
    <s v="Trek Kids' Neko - 2018"/>
    <n v="2213.6529"/>
    <n v="1644.9649999999999"/>
    <n v="25.69"/>
  </r>
  <r>
    <x v="21"/>
    <s v="Electra Tiger Shark 1 (20-inch) - Boys' - 2018"/>
    <n v="1804.7436"/>
    <n v="1343.9580000000001"/>
    <n v="25.53"/>
  </r>
  <r>
    <x v="22"/>
    <s v="Electra Water Lily 1 (16-inch) - Girl's - 2018"/>
    <n v="1315.953"/>
    <n v="979.96500000000003"/>
    <n v="25.53"/>
  </r>
  <r>
    <x v="23"/>
    <s v="Trek Ticket S Frame - 2018"/>
    <n v="5527.1624000000002"/>
    <n v="4115.9719999999998"/>
    <n v="25.53"/>
  </r>
  <r>
    <x v="24"/>
    <s v="Electra Townie Commute 27D Ladies - 2018"/>
    <n v="5912.9342999999999"/>
    <n v="4409.951"/>
    <n v="25.42"/>
  </r>
  <r>
    <x v="25"/>
    <s v="Trek Emonda ALR 6 - 2018"/>
    <n v="15110.934300000001"/>
    <n v="11269.950999999999"/>
    <n v="25.42"/>
  </r>
  <r>
    <x v="26"/>
    <s v="Trek Remedy 7 27.5 - 2018"/>
    <n v="14069.953100000001"/>
    <n v="10499.965"/>
    <n v="25.37"/>
  </r>
  <r>
    <x v="27"/>
    <s v="Electra Townie Original 21D Ladies' - 2018"/>
    <n v="1573.5718999999999"/>
    <n v="1175.979"/>
    <n v="25.27"/>
  </r>
  <r>
    <x v="28"/>
    <s v="Trek Domane AL 3 - 2018"/>
    <n v="2585.1718999999998"/>
    <n v="1931.979"/>
    <n v="25.27"/>
  </r>
  <r>
    <x v="29"/>
    <s v="Electra Townie Balloon 7i EQ Ladies' - 2017/2018"/>
    <n v="5039.9440000000004"/>
    <n v="3779.9580000000001"/>
    <n v="25"/>
  </r>
  <r>
    <x v="30"/>
    <s v="Trek Remedy 27.5 C Frameset - 2018"/>
    <n v="4199.9719999999998"/>
    <n v="3149.9789999999998"/>
    <n v="25"/>
  </r>
  <r>
    <x v="31"/>
    <s v="Trek Super Commuter+ 8S - 2018"/>
    <n v="37299.9254"/>
    <n v="27999.944"/>
    <n v="24.93"/>
  </r>
  <r>
    <x v="32"/>
    <s v="Electra Cruiser Lux 3i - 2018"/>
    <n v="3455.5347999999999"/>
    <n v="2596.951"/>
    <n v="24.85"/>
  </r>
  <r>
    <x v="33"/>
    <s v="Electra Townie Commute 27D - 2018"/>
    <n v="836.99069999999995"/>
    <n v="629.99300000000005"/>
    <n v="24.73"/>
  </r>
  <r>
    <x v="34"/>
    <s v="Electra Straight 8 1 (20-inch) - Boy's - 2018"/>
    <n v="362.69069999999999"/>
    <n v="272.99299999999999"/>
    <n v="24.73"/>
  </r>
  <r>
    <x v="35"/>
    <s v="Electra Cruiser 7D (24-Inch) Ladies' - 2016/2018"/>
    <n v="892.77210000000002"/>
    <n v="671.97900000000004"/>
    <n v="24.73"/>
  </r>
  <r>
    <x v="36"/>
    <s v="Electra Townie Go! 8i - 2017/2018"/>
    <n v="2417.9906999999998"/>
    <n v="1819.9929999999999"/>
    <n v="24.73"/>
  </r>
  <r>
    <x v="37"/>
    <s v="Electra Townie Original 21D - 2018"/>
    <n v="520.79070000000002"/>
    <n v="391.99299999999999"/>
    <n v="24.73"/>
  </r>
  <r>
    <x v="38"/>
    <s v="Trek Emonda SLR 8 - 2018"/>
    <n v="24179.962800000001"/>
    <n v="18199.972000000002"/>
    <n v="24.73"/>
  </r>
  <r>
    <x v="39"/>
    <s v="Trek Madone 9 Frameset - 2018"/>
    <n v="2975.9906999999998"/>
    <n v="2239.9929999999999"/>
    <n v="24.73"/>
  </r>
  <r>
    <x v="40"/>
    <s v="Electra Townie Balloon 8D EQ - 2016/2017/2018"/>
    <n v="2092.4721"/>
    <n v="1574.979"/>
    <n v="24.73"/>
  </r>
  <r>
    <x v="41"/>
    <s v="Trek Domane ALR 3 - 2018"/>
    <n v="1022.9906999999999"/>
    <n v="769.99300000000005"/>
    <n v="24.73"/>
  </r>
  <r>
    <x v="42"/>
    <s v="Trek Domane SLR Frameset - 2018"/>
    <n v="8927.9721000000009"/>
    <n v="6719.9790000000003"/>
    <n v="24.73"/>
  </r>
  <r>
    <x v="43"/>
    <s v="Electra Townie Go! 8i - 2017/2018"/>
    <n v="4835.9813999999997"/>
    <n v="3639.9859999999999"/>
    <n v="24.73"/>
  </r>
  <r>
    <x v="44"/>
    <s v="Trek CrossRip 2 - 2018"/>
    <n v="1208.9907000000001"/>
    <n v="909.99300000000005"/>
    <n v="24.73"/>
  </r>
  <r>
    <x v="45"/>
    <s v="Trek Precaliber 20 6-speed Girl's - 2018"/>
    <n v="269.69069999999999"/>
    <n v="202.99299999999999"/>
    <n v="24.73"/>
  </r>
  <r>
    <x v="46"/>
    <s v="Trek Powerfly 5 - 2018"/>
    <n v="3254.9906999999998"/>
    <n v="2449.9929999999999"/>
    <n v="24.73"/>
  </r>
  <r>
    <x v="47"/>
    <s v="Trek Domane ALR 5 Gravel - 2018"/>
    <n v="11681.935100000001"/>
    <n v="8819.9509999999991"/>
    <n v="24.5"/>
  </r>
  <r>
    <x v="48"/>
    <s v="Electra Townie Original 3i EQ - 2017/2018"/>
    <n v="1834.7722000000001"/>
    <n v="1385.979"/>
    <n v="24.46"/>
  </r>
  <r>
    <x v="49"/>
    <s v="Strider Sport 16 - 2018"/>
    <n v="1157.4537"/>
    <n v="874.96500000000003"/>
    <n v="24.41"/>
  </r>
  <r>
    <x v="50"/>
    <s v="Trek Powerfly 5 Women's - 2018"/>
    <n v="16204.9537"/>
    <n v="12249.965"/>
    <n v="24.41"/>
  </r>
  <r>
    <x v="51"/>
    <s v="Trek Silque SLR 8 Women's - 2017"/>
    <n v="174524.73149999999"/>
    <n v="131949.79699999999"/>
    <n v="24.39"/>
  </r>
  <r>
    <x v="52"/>
    <s v="Electra Queen of Hearts 3i - 2018"/>
    <n v="4162.4444999999996"/>
    <n v="3149.9580000000001"/>
    <n v="24.32"/>
  </r>
  <r>
    <x v="53"/>
    <s v="Electra Cruiser 7D Ladies' - 2016/2018"/>
    <n v="591.98149999999998"/>
    <n v="447.98599999999999"/>
    <n v="24.32"/>
  </r>
  <r>
    <x v="54"/>
    <s v="Electra Townie Commute 27D Ladies - 2018"/>
    <n v="3329.9630000000002"/>
    <n v="2519.9720000000002"/>
    <n v="24.32"/>
  </r>
  <r>
    <x v="55"/>
    <s v="Electra Townie Commute Go! - 2018"/>
    <n v="16649.944500000001"/>
    <n v="12599.958000000001"/>
    <n v="24.32"/>
  </r>
  <r>
    <x v="56"/>
    <s v="Trek Domane SL 6 - 2018"/>
    <n v="23679.925999999999"/>
    <n v="17919.944"/>
    <n v="24.32"/>
  </r>
  <r>
    <x v="57"/>
    <s v="Trek Emonda SLR 6 - 2018"/>
    <n v="20789.953799999999"/>
    <n v="15749.965"/>
    <n v="24.24"/>
  </r>
  <r>
    <x v="58"/>
    <s v="Trek Fuel EX 8 29 XT - 2018"/>
    <n v="29503.907800000001"/>
    <n v="22399.93"/>
    <n v="24.08"/>
  </r>
  <r>
    <x v="59"/>
    <s v="Trek Neko+ - 2018"/>
    <n v="7727.9723999999997"/>
    <n v="5879.9790000000003"/>
    <n v="23.91"/>
  </r>
  <r>
    <x v="60"/>
    <s v="Trek Dual Sport+ - 2018"/>
    <n v="15455.944799999999"/>
    <n v="11759.958000000001"/>
    <n v="23.91"/>
  </r>
  <r>
    <x v="61"/>
    <s v="Trek Procaliber Frameset - 2018"/>
    <n v="4139.9723999999997"/>
    <n v="3149.9789999999998"/>
    <n v="23.91"/>
  </r>
  <r>
    <x v="62"/>
    <s v="Electra Townie Original 1 - 2018"/>
    <n v="2069.9540000000002"/>
    <n v="1574.9649999999999"/>
    <n v="23.91"/>
  </r>
  <r>
    <x v="63"/>
    <s v="Trek Marlin 7 - 2017/2018"/>
    <n v="2069.9724000000001"/>
    <n v="1574.979"/>
    <n v="23.91"/>
  </r>
  <r>
    <x v="64"/>
    <s v="Electra Sweet Ride 3i (20-inch) - Girls' - 2018"/>
    <n v="1701.954"/>
    <n v="1294.9649999999999"/>
    <n v="23.91"/>
  </r>
  <r>
    <x v="65"/>
    <s v="Electra Townie Balloon 7i EQ - 2018"/>
    <n v="2483.9724000000001"/>
    <n v="1889.979"/>
    <n v="23.91"/>
  </r>
  <r>
    <x v="66"/>
    <s v="Trek Powerfly 8 FS Plus - 2017"/>
    <n v="188249.62349999999"/>
    <n v="143499.71299999999"/>
    <n v="23.77"/>
  </r>
  <r>
    <x v="67"/>
    <s v="Electra Daydreamer 3i Ladies' - 2018"/>
    <n v="4949.9449999999997"/>
    <n v="3779.9580000000001"/>
    <n v="23.64"/>
  </r>
  <r>
    <x v="68"/>
    <s v="Electra Townie Original 7D - 2017"/>
    <n v="17502.442800000001"/>
    <n v="13376.727000000001"/>
    <n v="23.57"/>
  </r>
  <r>
    <x v="69"/>
    <s v="Trek Boone 5 Disc - 2018"/>
    <n v="6038.9817000000003"/>
    <n v="4619.9859999999999"/>
    <n v="23.5"/>
  </r>
  <r>
    <x v="70"/>
    <s v="Electra Cruiser 1 Ladies' - 2018"/>
    <n v="1482.2451000000001"/>
    <n v="1133.9580000000001"/>
    <n v="23.5"/>
  </r>
  <r>
    <x v="71"/>
    <s v="Sun Bicycles Atlas X-Type - 2017"/>
    <n v="15620.445400000001"/>
    <n v="11967.612999999999"/>
    <n v="23.38"/>
  </r>
  <r>
    <x v="72"/>
    <s v="Haro Shift R3 - 2017"/>
    <n v="46980.880400000002"/>
    <n v="36014.754999999997"/>
    <n v="23.34"/>
  </r>
  <r>
    <x v="73"/>
    <s v="Trek Powerfly 7 FS - 2018"/>
    <n v="36499.927000000003"/>
    <n v="27999.944"/>
    <n v="23.29"/>
  </r>
  <r>
    <x v="74"/>
    <s v="Trek Domane SLR 8 Disc - 2018"/>
    <n v="27374.963500000002"/>
    <n v="20999.972000000002"/>
    <n v="23.29"/>
  </r>
  <r>
    <x v="75"/>
    <s v="Sun Bicycles Cruz 3 - 2017"/>
    <n v="10673.7628"/>
    <n v="8189.8180000000002"/>
    <n v="23.27"/>
  </r>
  <r>
    <x v="76"/>
    <s v="Electra Tiger Shark 3i - 2018"/>
    <n v="4103.9543999999996"/>
    <n v="3149.9650000000001"/>
    <n v="23.25"/>
  </r>
  <r>
    <x v="77"/>
    <s v="Trek Crockett 7 Disc - 2018"/>
    <n v="13679.954400000001"/>
    <n v="10499.965"/>
    <n v="23.25"/>
  </r>
  <r>
    <x v="78"/>
    <s v="Surly Pack Rat Frameset - 2018"/>
    <n v="2143.1543999999999"/>
    <n v="1644.9649999999999"/>
    <n v="23.25"/>
  </r>
  <r>
    <x v="79"/>
    <s v="Trek Domane SL 5 - 2018"/>
    <n v="10031.954400000001"/>
    <n v="7699.9650000000001"/>
    <n v="23.25"/>
  </r>
  <r>
    <x v="80"/>
    <s v="Electra Cruiser Lux 1 - 2017"/>
    <n v="10432.162899999999"/>
    <n v="8007.8180000000002"/>
    <n v="23.24"/>
  </r>
  <r>
    <x v="81"/>
    <s v="Trek Emonda S 4 - 2017"/>
    <n v="57359.617599999998"/>
    <n v="44099.705999999998"/>
    <n v="23.12"/>
  </r>
  <r>
    <x v="82"/>
    <s v="Electra Cruiser Lux Fat Tire 1 Ladies - 2017"/>
    <n v="14747.754199999999"/>
    <n v="11339.811"/>
    <n v="23.11"/>
  </r>
  <r>
    <x v="83"/>
    <s v="Electra White Water 3i - 2018"/>
    <n v="3412.4544999999998"/>
    <n v="2624.9650000000001"/>
    <n v="23.08"/>
  </r>
  <r>
    <x v="84"/>
    <s v="Electra Townie Balloon 7i EQ Ladies' - 2017/2018"/>
    <n v="2456.9726999999998"/>
    <n v="1889.979"/>
    <n v="23.08"/>
  </r>
  <r>
    <x v="85"/>
    <s v="Electra Loft Go! 8i - 2018"/>
    <n v="7643.9727000000003"/>
    <n v="5879.9790000000003"/>
    <n v="23.08"/>
  </r>
  <r>
    <x v="86"/>
    <s v="Electra Cruiser 7D Tall - 2016/2018"/>
    <n v="873.57270000000005"/>
    <n v="671.97900000000004"/>
    <n v="23.08"/>
  </r>
  <r>
    <x v="87"/>
    <s v="Haro Flightline Two 26 Plus - 2017"/>
    <n v="14008.2453"/>
    <n v="10779.804"/>
    <n v="23.05"/>
  </r>
  <r>
    <x v="88"/>
    <s v="Trek Fuel EX 9.8 27.5 Plus - 2017"/>
    <n v="159052.69990000001"/>
    <n v="122429.769"/>
    <n v="23.03"/>
  </r>
  <r>
    <x v="89"/>
    <s v="Electra Glam Punk 3i Ladies' - 2017"/>
    <n v="27647.654399999999"/>
    <n v="21279.734"/>
    <n v="23.03"/>
  </r>
  <r>
    <x v="90"/>
    <s v="Sun Bicycles Cruz 7 - 2017"/>
    <n v="10996.0263"/>
    <n v="8464.8970000000008"/>
    <n v="23.02"/>
  </r>
  <r>
    <x v="91"/>
    <s v="Surly Ice Cream Truck Frameset - 2017"/>
    <n v="27269.727299999999"/>
    <n v="20999.79"/>
    <n v="22.99"/>
  </r>
  <r>
    <x v="92"/>
    <s v="Trek Conduit+ - 2018"/>
    <n v="17807.936399999999"/>
    <n v="13719.950999999999"/>
    <n v="22.96"/>
  </r>
  <r>
    <x v="93"/>
    <s v="Electra Townie Balloon 3i EQ Ladies' - 2018"/>
    <n v="4359.9454999999998"/>
    <n v="3359.9580000000001"/>
    <n v="22.94"/>
  </r>
  <r>
    <x v="94"/>
    <s v="Electra Cruiser 1 (24-Inch) - 2016"/>
    <n v="34078.137799999997"/>
    <n v="26270.026999999998"/>
    <n v="22.91"/>
  </r>
  <r>
    <x v="95"/>
    <s v="Trek 820 - 2018"/>
    <n v="1379.3637000000001"/>
    <n v="1063.972"/>
    <n v="22.87"/>
  </r>
  <r>
    <x v="96"/>
    <s v="Trek Farley Alloy Frameset - 2017"/>
    <n v="11937.745999999999"/>
    <n v="9211.8040000000001"/>
    <n v="22.83"/>
  </r>
  <r>
    <x v="97"/>
    <s v="Electra Girl's Hawaii 1 16 - 2017"/>
    <n v="12785.5738"/>
    <n v="9869.6710000000003"/>
    <n v="22.81"/>
  </r>
  <r>
    <x v="98"/>
    <s v="Electra Townie Go! 8i Ladies' - 2018"/>
    <n v="14143.945599999999"/>
    <n v="10919.958000000001"/>
    <n v="22.79"/>
  </r>
  <r>
    <x v="99"/>
    <s v="Sun Bicycles Biscayne Tandem CB - 2017"/>
    <n v="22899.9666"/>
    <n v="17690.127"/>
    <n v="22.75"/>
  </r>
  <r>
    <x v="100"/>
    <s v="Trek Domane SLR 9 Disc - 2018"/>
    <n v="54359.954700000002"/>
    <n v="41999.964999999997"/>
    <n v="22.74"/>
  </r>
  <r>
    <x v="101"/>
    <s v="Trek Silque SLR 7 Women's - 2017"/>
    <n v="163079.72820000001"/>
    <n v="125999.79"/>
    <n v="22.74"/>
  </r>
  <r>
    <x v="102"/>
    <s v="Electra Amsterdam Fashion 7i Ladies' - 2017"/>
    <n v="39863.637600000002"/>
    <n v="30799.72"/>
    <n v="22.74"/>
  </r>
  <r>
    <x v="103"/>
    <s v="Trek Farley Carbon Frameset - 2018"/>
    <n v="7239.9276"/>
    <n v="5599.9440000000004"/>
    <n v="22.65"/>
  </r>
  <r>
    <x v="104"/>
    <s v="Electra Townie Commute Go! Ladies' - 2018"/>
    <n v="29849.9005"/>
    <n v="23099.922999999999"/>
    <n v="22.61"/>
  </r>
  <r>
    <x v="105"/>
    <s v="Trek Remedy 9.8 - 2017"/>
    <n v="105469.80100000001"/>
    <n v="81619.846000000005"/>
    <n v="22.61"/>
  </r>
  <r>
    <x v="106"/>
    <s v="Electra Townie Original 21D - 2016"/>
    <n v="67621.270499999999"/>
    <n v="52359.048000000003"/>
    <n v="22.57"/>
  </r>
  <r>
    <x v="107"/>
    <s v="Sun Bicycles Drifter 7 - 2017"/>
    <n v="10644.374"/>
    <n v="8242.3250000000007"/>
    <n v="22.57"/>
  </r>
  <r>
    <x v="108"/>
    <s v="Haro SR 1.1 - 2017"/>
    <n v="10740.401099999999"/>
    <n v="8315.8459999999995"/>
    <n v="22.57"/>
  </r>
  <r>
    <x v="109"/>
    <s v="Trek Remedy 29 Carbon Frameset - 2016"/>
    <n v="203380.8701"/>
    <n v="157499.125"/>
    <n v="22.56"/>
  </r>
  <r>
    <x v="110"/>
    <s v="Surly Ogre Frameset - 2017"/>
    <n v="14909.8012"/>
    <n v="11549.846"/>
    <n v="22.54"/>
  </r>
  <r>
    <x v="111"/>
    <s v="Pure Cycles Vine 8-Speed - 2016"/>
    <n v="51531.48"/>
    <n v="39939.9"/>
    <n v="22.49"/>
  </r>
  <r>
    <x v="112"/>
    <s v="Surly Steamroller - 2017"/>
    <n v="27690.043900000001"/>
    <n v="21461.755000000001"/>
    <n v="22.49"/>
  </r>
  <r>
    <x v="113"/>
    <s v="Trek Madone 9.2 - 2017"/>
    <n v="175899.6482"/>
    <n v="136499.72700000001"/>
    <n v="22.4"/>
  </r>
  <r>
    <x v="114"/>
    <s v="Pure Cycles Western 3-Speed - Women's - 2015/2016"/>
    <n v="54270.63"/>
    <n v="42116.2"/>
    <n v="22.4"/>
  </r>
  <r>
    <x v="115"/>
    <s v="Trek Stache Carbon Frameset - 2018"/>
    <n v="4149.1549000000005"/>
    <n v="3219.9650000000001"/>
    <n v="22.39"/>
  </r>
  <r>
    <x v="116"/>
    <s v="Trek Domane AL 2 Women's - 2018"/>
    <n v="3382.4549000000002"/>
    <n v="2624.9650000000001"/>
    <n v="22.39"/>
  </r>
  <r>
    <x v="117"/>
    <s v="Trek Fuel EX 8 29 - 2018"/>
    <n v="14431.954900000001"/>
    <n v="11199.965"/>
    <n v="22.39"/>
  </r>
  <r>
    <x v="118"/>
    <s v="Trek Session DH 27.5 Carbon Frameset - 2017"/>
    <n v="6781.9557000000004"/>
    <n v="5263.8879999999999"/>
    <n v="22.38"/>
  </r>
  <r>
    <x v="119"/>
    <s v="Trek Slash 8 27.5 - 2016"/>
    <n v="555558.61109999998"/>
    <n v="431198.92200000002"/>
    <n v="22.38"/>
  </r>
  <r>
    <x v="120"/>
    <s v="Trek Precaliber 16 Boys - 2017"/>
    <n v="5113.2565000000004"/>
    <n v="3968.8110000000001"/>
    <n v="22.38"/>
  </r>
  <r>
    <x v="121"/>
    <s v="Sun Bicycles Cruz 3 - 2017"/>
    <n v="17036.6214"/>
    <n v="13229.706"/>
    <n v="22.35"/>
  </r>
  <r>
    <x v="122"/>
    <s v="Electra Girl's Hawaii 1 16 - 2017"/>
    <n v="7301.7565999999997"/>
    <n v="5669.8109999999997"/>
    <n v="22.35"/>
  </r>
  <r>
    <x v="123"/>
    <s v="Sun Bicycles Brickell Tandem CB - 2017"/>
    <n v="13045.2688"/>
    <n v="10134.467000000001"/>
    <n v="22.31"/>
  </r>
  <r>
    <x v="124"/>
    <s v="Electra Cruiser Lux 1 Ladies' - 2018"/>
    <n v="3874.2098999999998"/>
    <n v="3009.93"/>
    <n v="22.31"/>
  </r>
  <r>
    <x v="125"/>
    <s v="Electra Townie Original 7D EQ - 2016"/>
    <n v="72424.7929"/>
    <n v="56279.061999999998"/>
    <n v="22.29"/>
  </r>
  <r>
    <x v="126"/>
    <s v="Electra Townie Original 21D - 2016"/>
    <n v="75772.122300000003"/>
    <n v="58903.928999999996"/>
    <n v="22.26"/>
  </r>
  <r>
    <x v="127"/>
    <s v="Surly ECR - 2018"/>
    <n v="5127.3"/>
    <n v="3987.9"/>
    <n v="22.22"/>
  </r>
  <r>
    <x v="128"/>
    <s v="Trek Precaliber 24 21-speed Girl's - 2018"/>
    <n v="665.98199999999997"/>
    <n v="517.98599999999999"/>
    <n v="22.22"/>
  </r>
  <r>
    <x v="129"/>
    <s v="Trek Precaliber 16 Girl's - 2018"/>
    <n v="1511.9280000000001"/>
    <n v="1175.944"/>
    <n v="22.22"/>
  </r>
  <r>
    <x v="130"/>
    <s v="Trek Domane SL Frameset - 2018"/>
    <n v="17549.973000000002"/>
    <n v="13649.978999999999"/>
    <n v="22.22"/>
  </r>
  <r>
    <x v="131"/>
    <s v="Electra Townie Balloon 8D EQ Ladies' - 2016/2017/2018"/>
    <n v="674.99099999999999"/>
    <n v="524.99300000000005"/>
    <n v="22.22"/>
  </r>
  <r>
    <x v="132"/>
    <s v="Trek Superfly 20 - 2018"/>
    <n v="359.99099999999999"/>
    <n v="279.99299999999999"/>
    <n v="22.22"/>
  </r>
  <r>
    <x v="133"/>
    <s v="Electra Townie Balloon 3i EQ - 2017/2018"/>
    <n v="674.99099999999999"/>
    <n v="524.99300000000005"/>
    <n v="22.22"/>
  </r>
  <r>
    <x v="134"/>
    <s v="Sun Bicycles Spider 3i - 2017"/>
    <n v="19491.966"/>
    <n v="15160.418"/>
    <n v="22.22"/>
  </r>
  <r>
    <x v="135"/>
    <s v="Electra Townie Commute Go! Ladies' - 2018"/>
    <n v="5399.982"/>
    <n v="4199.9859999999999"/>
    <n v="22.22"/>
  </r>
  <r>
    <x v="136"/>
    <s v="Electra Cruiser 1 Tall - 2016/2018"/>
    <n v="242.99100000000001"/>
    <n v="188.99299999999999"/>
    <n v="22.22"/>
  </r>
  <r>
    <x v="137"/>
    <s v="Electra Tiger Shark 3i (20-inch) - Boys' - 2018"/>
    <n v="332.99099999999999"/>
    <n v="258.99299999999999"/>
    <n v="22.22"/>
  </r>
  <r>
    <x v="138"/>
    <s v="Electra Amsterdam Royal 8i - 2017/2018"/>
    <n v="1133.9100000000001"/>
    <n v="881.93"/>
    <n v="22.22"/>
  </r>
  <r>
    <x v="139"/>
    <s v="Trek Emonda SL 6 Disc - 2018"/>
    <n v="10799.964"/>
    <n v="8399.9719999999998"/>
    <n v="22.22"/>
  </r>
  <r>
    <x v="140"/>
    <s v="Trek Procal AL Frameset - 2018"/>
    <n v="4049.973"/>
    <n v="3149.9789999999998"/>
    <n v="22.22"/>
  </r>
  <r>
    <x v="141"/>
    <s v="Trek MT 201 - 2018"/>
    <n v="224.99100000000001"/>
    <n v="174.99299999999999"/>
    <n v="22.22"/>
  </r>
  <r>
    <x v="142"/>
    <s v="Trek Kickster - 2018"/>
    <n v="1151.9280000000001"/>
    <n v="895.94399999999996"/>
    <n v="22.22"/>
  </r>
  <r>
    <x v="143"/>
    <s v="Electra Townie Commute 8D Ladies' - 2018"/>
    <n v="1259.982"/>
    <n v="979.98599999999999"/>
    <n v="22.22"/>
  </r>
  <r>
    <x v="144"/>
    <s v="Electra Townie Commute 27D - 2018"/>
    <n v="809.99099999999999"/>
    <n v="629.99300000000005"/>
    <n v="22.22"/>
  </r>
  <r>
    <x v="145"/>
    <s v="Surly Troll Frameset - 2017"/>
    <n v="34477.456100000003"/>
    <n v="26822.277999999998"/>
    <n v="22.2"/>
  </r>
  <r>
    <x v="146"/>
    <s v="Electra Townie Original 7D - 2015/2016"/>
    <n v="66568.668600000005"/>
    <n v="51798.964"/>
    <n v="22.19"/>
  </r>
  <r>
    <x v="147"/>
    <s v="Sun Bicycles Streamway 3 - 2017"/>
    <n v="19363.8092"/>
    <n v="15069.326999999999"/>
    <n v="22.18"/>
  </r>
  <r>
    <x v="148"/>
    <s v="Surly Wednesday - 2017"/>
    <n v="26438.108100000001"/>
    <n v="20575.673999999999"/>
    <n v="22.17"/>
  </r>
  <r>
    <x v="149"/>
    <s v="Haro Shredder 20 Girls - 2017"/>
    <n v="7364.3492999999999"/>
    <n v="5732.7269999999999"/>
    <n v="22.16"/>
  </r>
  <r>
    <x v="150"/>
    <s v="Trek Stache 5 - 2017"/>
    <n v="33719.775199999996"/>
    <n v="26249.825000000001"/>
    <n v="22.15"/>
  </r>
  <r>
    <x v="151"/>
    <s v="Trek Boy's Kickster - 2015/2017"/>
    <n v="3236.7842000000001"/>
    <n v="2519.8319999999999"/>
    <n v="22.15"/>
  </r>
  <r>
    <x v="152"/>
    <s v="Electra Amsterdam Original 3i - 2015/2017"/>
    <n v="18987.9123"/>
    <n v="14783.776"/>
    <n v="22.14"/>
  </r>
  <r>
    <x v="153"/>
    <s v="Trek Boone Race Shop Limited - 2017"/>
    <n v="91244.739300000001"/>
    <n v="71049.797000000006"/>
    <n v="22.13"/>
  </r>
  <r>
    <x v="154"/>
    <s v="Trek Stache 5 - 2018"/>
    <n v="10063.937099999999"/>
    <n v="7839.951"/>
    <n v="22.1"/>
  </r>
  <r>
    <x v="155"/>
    <s v="Trek Domane ALR 4 Disc Women's - 2018"/>
    <n v="9749.4370999999992"/>
    <n v="7594.951"/>
    <n v="22.1"/>
  </r>
  <r>
    <x v="156"/>
    <s v="Sun Bicycles Brickell Tandem 7 - 2017"/>
    <n v="19544.739399999999"/>
    <n v="15224.797"/>
    <n v="22.1"/>
  </r>
  <r>
    <x v="157"/>
    <s v="Sun Bicycles Cruz 7 - 2017"/>
    <n v="9361.4254999999994"/>
    <n v="7297.3249999999998"/>
    <n v="22.05"/>
  </r>
  <r>
    <x v="158"/>
    <s v="Trek Super Commuter+ 7 - 2018"/>
    <n v="25847.928199999998"/>
    <n v="20159.944"/>
    <n v="22.01"/>
  </r>
  <r>
    <x v="159"/>
    <s v="Sun Bicycles Lil Bolt Type-R - 2017"/>
    <n v="18681.941599999998"/>
    <n v="14573.58"/>
    <n v="21.99"/>
  </r>
  <r>
    <x v="160"/>
    <s v="Surly Karate Monkey 27.5+ Frameset - 2017"/>
    <n v="87474.650099999999"/>
    <n v="68249.726999999999"/>
    <n v="21.98"/>
  </r>
  <r>
    <x v="161"/>
    <s v="Trek Domane SL 7 Women's - 2018"/>
    <n v="31399.9372"/>
    <n v="24499.951000000001"/>
    <n v="21.97"/>
  </r>
  <r>
    <x v="162"/>
    <s v="Surly Ice Cream Truck Frameset - 2016"/>
    <n v="70371.602700000003"/>
    <n v="54941.830999999998"/>
    <n v="21.93"/>
  </r>
  <r>
    <x v="163"/>
    <s v="Electra Cruiser 1 (24-Inch) - 2016"/>
    <n v="37992.9928"/>
    <n v="29671.901000000002"/>
    <n v="21.9"/>
  </r>
  <r>
    <x v="164"/>
    <s v="Haro SR 1.3 - 2017"/>
    <n v="34121.758000000002"/>
    <n v="26648.811000000002"/>
    <n v="21.9"/>
  </r>
  <r>
    <x v="165"/>
    <s v="Electra Townie 3i EQ (20-inch) - Boys' - 2017"/>
    <n v="17125.1505"/>
    <n v="13376.727000000001"/>
    <n v="21.89"/>
  </r>
  <r>
    <x v="166"/>
    <s v="Electra Moto 1 - 2016"/>
    <n v="65061.572399999997"/>
    <n v="50826.040999999997"/>
    <n v="21.88"/>
  </r>
  <r>
    <x v="167"/>
    <s v="Electra Super Moto 8i - 2018"/>
    <n v="6443.9283999999998"/>
    <n v="5039.9440000000004"/>
    <n v="21.79"/>
  </r>
  <r>
    <x v="168"/>
    <s v="Trek Conduit+ - 2016"/>
    <n v="389248.70250000001"/>
    <n v="304498.98499999999"/>
    <n v="21.77"/>
  </r>
  <r>
    <x v="169"/>
    <s v="Trek Domane SLR 6 Disc - 2017"/>
    <n v="211584.6153"/>
    <n v="165549.69899999999"/>
    <n v="21.76"/>
  </r>
  <r>
    <x v="170"/>
    <s v="Electra Townie Original 21D EQ - 2017/2018"/>
    <n v="4256.7374"/>
    <n v="3331.951"/>
    <n v="21.73"/>
  </r>
  <r>
    <x v="171"/>
    <s v="Sun Bicycles Biscayne Tandem 7 - 2017"/>
    <n v="18289.705000000002"/>
    <n v="14321.769"/>
    <n v="21.69"/>
  </r>
  <r>
    <x v="172"/>
    <s v="Electra Cyclosaurus 1 (16-inch) - Boy's - 2018"/>
    <n v="2001.9285"/>
    <n v="1567.944"/>
    <n v="21.68"/>
  </r>
  <r>
    <x v="173"/>
    <s v="Surly Straggler - 2016"/>
    <n v="203507.62"/>
    <n v="159392.1"/>
    <n v="21.68"/>
  </r>
  <r>
    <x v="174"/>
    <s v="Trek Fuel EX 9.8 29 - 2017"/>
    <n v="147449.70509999999"/>
    <n v="115499.769"/>
    <n v="21.67"/>
  </r>
  <r>
    <x v="175"/>
    <s v="Surly Straggler 650b - 2016"/>
    <n v="226765.55100000001"/>
    <n v="177680.64300000001"/>
    <n v="21.65"/>
  </r>
  <r>
    <x v="176"/>
    <s v="Electra Morningstar 3i Ladies' - 2018"/>
    <n v="2009.9731999999999"/>
    <n v="1574.979"/>
    <n v="21.64"/>
  </r>
  <r>
    <x v="177"/>
    <s v="Trek Emonda SL 7 - 2018"/>
    <n v="12059.9732"/>
    <n v="9449.9789999999994"/>
    <n v="21.64"/>
  </r>
  <r>
    <x v="178"/>
    <s v="Trek Domane SL 8 Disc - 2018"/>
    <n v="14739.9732"/>
    <n v="11549.978999999999"/>
    <n v="21.64"/>
  </r>
  <r>
    <x v="179"/>
    <s v="Trek Emonda S 5 - 2017"/>
    <n v="41079.794600000001"/>
    <n v="32199.839"/>
    <n v="21.62"/>
  </r>
  <r>
    <x v="180"/>
    <s v="Trek Domane ALR Disc Frameset - 2018"/>
    <n v="19999.9375"/>
    <n v="15679.950999999999"/>
    <n v="21.6"/>
  </r>
  <r>
    <x v="181"/>
    <s v="Surly Big Dummy Frameset - 2017"/>
    <n v="27679.7232"/>
    <n v="21699.782999999999"/>
    <n v="21.6"/>
  </r>
  <r>
    <x v="182"/>
    <s v="Sun Bicycles Streamway 7 - 2017"/>
    <n v="17637.689699999999"/>
    <n v="13830.341"/>
    <n v="21.59"/>
  </r>
  <r>
    <x v="183"/>
    <s v="Trek Marlin 5 - 2018"/>
    <n v="3498.5286000000001"/>
    <n v="2743.944"/>
    <n v="21.57"/>
  </r>
  <r>
    <x v="184"/>
    <s v="Pure Cycles William 3-Speed - 2016"/>
    <n v="43674.23"/>
    <n v="34258.699999999997"/>
    <n v="21.56"/>
  </r>
  <r>
    <x v="185"/>
    <s v="Trek Precaliber 24 (21-Speed) - Girls - 2017"/>
    <n v="12179.652"/>
    <n v="9554.7270000000008"/>
    <n v="21.55"/>
  </r>
  <r>
    <x v="186"/>
    <s v="Electra Moto 3i (20-inch) - Boy's - 2017"/>
    <n v="9680.7234000000008"/>
    <n v="7594.7830000000004"/>
    <n v="21.55"/>
  </r>
  <r>
    <x v="187"/>
    <s v="Trek Domane SL Disc Frameset - 2017"/>
    <n v="68511.785900000003"/>
    <n v="53759.832000000002"/>
    <n v="21.53"/>
  </r>
  <r>
    <x v="188"/>
    <s v="Electra Townie Balloon 7i EQ - 2018"/>
    <n v="4013.9553999999998"/>
    <n v="3149.9650000000001"/>
    <n v="21.52"/>
  </r>
  <r>
    <x v="189"/>
    <s v="Electra Sugar Skulls 1 (20-inch) - Girl's - 2017"/>
    <n v="9095.6967999999997"/>
    <n v="7139.7619999999997"/>
    <n v="21.5"/>
  </r>
  <r>
    <x v="190"/>
    <s v="Ritchey Timberwolf Frameset - 2016"/>
    <n v="78898.948000000004"/>
    <n v="61949.173999999999"/>
    <n v="21.48"/>
  </r>
  <r>
    <x v="191"/>
    <s v="Surly Wednesday Frameset - 2016"/>
    <n v="112288.8771"/>
    <n v="88199.118000000002"/>
    <n v="21.45"/>
  </r>
  <r>
    <x v="192"/>
    <s v="Electra Koa 3i Ladies' - 2018"/>
    <n v="8819.902"/>
    <n v="6929.9229999999998"/>
    <n v="21.43"/>
  </r>
  <r>
    <x v="193"/>
    <s v="Electra Amsterdam Fashion 3i Ladies' - 2017/2018"/>
    <n v="4004.9555"/>
    <n v="3149.9650000000001"/>
    <n v="21.35"/>
  </r>
  <r>
    <x v="194"/>
    <s v="Electra Cruiser 1 - 2016/2017/2018"/>
    <n v="1682.0377000000001"/>
    <n v="1322.951"/>
    <n v="21.35"/>
  </r>
  <r>
    <x v="195"/>
    <s v="Surly Big Fat Dummy Frameset - 2018"/>
    <n v="2928.0376999999999"/>
    <n v="2302.951"/>
    <n v="21.35"/>
  </r>
  <r>
    <x v="196"/>
    <s v="Haro Shredder Pro 20 - 2017"/>
    <n v="6227.2509"/>
    <n v="4899.8040000000001"/>
    <n v="21.32"/>
  </r>
  <r>
    <x v="197"/>
    <s v="Electra Girl's Hawaii 1 (16-inch) - 2015/2016"/>
    <n v="29785.2968"/>
    <n v="23435.132000000001"/>
    <n v="21.32"/>
  </r>
  <r>
    <x v="198"/>
    <s v="Electra Townie Original 21D EQ - 2017/2018"/>
    <n v="5439.92"/>
    <n v="4283.9369999999999"/>
    <n v="21.25"/>
  </r>
  <r>
    <x v="199"/>
    <s v="Sun Bicycles Cruz 7 - Women's - 2017"/>
    <n v="12968.388999999999"/>
    <n v="10216.254999999999"/>
    <n v="21.22"/>
  </r>
  <r>
    <x v="200"/>
    <s v="Trek Fuel EX 8 29 - 2016"/>
    <n v="368472.72940000001"/>
    <n v="290288.99900000001"/>
    <n v="21.22"/>
  </r>
  <r>
    <x v="201"/>
    <s v="Trek Domane S 6 - 2017"/>
    <n v="93527.653600000005"/>
    <n v="73709.726999999999"/>
    <n v="21.19"/>
  </r>
  <r>
    <x v="202"/>
    <s v="Electra Townie 7D (20-inch) - Boys' - 2017"/>
    <n v="12079.8447"/>
    <n v="9519.7199999999993"/>
    <n v="21.19"/>
  </r>
  <r>
    <x v="203"/>
    <s v="Electra Savannah 3i (20-inch) - Girl's - 2017"/>
    <n v="10258.206899999999"/>
    <n v="8084.7690000000002"/>
    <n v="21.19"/>
  </r>
  <r>
    <x v="204"/>
    <s v="Electra Girl's Hawaii 1 (20-inch) - 2015/2016"/>
    <n v="41011.632899999997"/>
    <n v="32338.921999999999"/>
    <n v="21.15"/>
  </r>
  <r>
    <x v="205"/>
    <s v="Electra Under-The-Sea 1 16 - 2018"/>
    <n v="1987.9290000000001"/>
    <n v="1567.944"/>
    <n v="21.13"/>
  </r>
  <r>
    <x v="206"/>
    <s v="Trek Girl's Kickster - 2017"/>
    <n v="3193.2871"/>
    <n v="2519.8319999999999"/>
    <n v="21.09"/>
  </r>
  <r>
    <x v="207"/>
    <s v="Sun Bicycles Drifter 7 - Women's - 2017"/>
    <n v="10027.3771"/>
    <n v="7912.6319999999996"/>
    <n v="21.09"/>
  </r>
  <r>
    <x v="208"/>
    <s v="Sun Bicycles ElectroLite - 2017"/>
    <n v="47049.2984"/>
    <n v="37127.762000000002"/>
    <n v="21.09"/>
  </r>
  <r>
    <x v="209"/>
    <s v="Electra Girl's Hawaii 1 (16-inch) - 2015/2016"/>
    <n v="34728.813699999999"/>
    <n v="27403.985000000001"/>
    <n v="21.09"/>
  </r>
  <r>
    <x v="210"/>
    <s v="Heller Shagamaw Frame - 2016"/>
    <n v="151160.88570000001"/>
    <n v="119285.397"/>
    <n v="21.09"/>
  </r>
  <r>
    <x v="211"/>
    <s v="Electra Townie Original 7D EQ - Women's - 2016"/>
    <n v="66508.891499999998"/>
    <n v="52499.125"/>
    <n v="21.06"/>
  </r>
  <r>
    <x v="212"/>
    <s v="Sun Bicycles Revolutions 24 - 2017"/>
    <n v="8011.6008000000002"/>
    <n v="6324.9480000000003"/>
    <n v="21.05"/>
  </r>
  <r>
    <x v="213"/>
    <s v="Sun Bicycles Streamway - 2017"/>
    <n v="12816.114100000001"/>
    <n v="10121.790000000001"/>
    <n v="21.02"/>
  </r>
  <r>
    <x v="214"/>
    <s v="Electra Treasure 1 20 - 2018"/>
    <n v="2835.1113999999998"/>
    <n v="2239.9299999999998"/>
    <n v="20.99"/>
  </r>
  <r>
    <x v="215"/>
    <s v="Trek Domane SL 5 Disc - 2018"/>
    <n v="11074.9557"/>
    <n v="8749.9650000000001"/>
    <n v="20.99"/>
  </r>
  <r>
    <x v="216"/>
    <s v="Surly Troll Frameset - 2018"/>
    <n v="11074.9557"/>
    <n v="8749.9650000000001"/>
    <n v="20.99"/>
  </r>
  <r>
    <x v="217"/>
    <s v="Trek Lift+ - 2018"/>
    <n v="12403.9557"/>
    <n v="9799.9650000000001"/>
    <n v="20.99"/>
  </r>
  <r>
    <x v="218"/>
    <s v="Haro Flightline One ST - 2017"/>
    <n v="10430.7255"/>
    <n v="8245.7829999999994"/>
    <n v="20.95"/>
  </r>
  <r>
    <x v="219"/>
    <s v="Trek Precaliber 12 Boy's - 2018"/>
    <n v="1061.9468999999999"/>
    <n v="839.95799999999997"/>
    <n v="20.9"/>
  </r>
  <r>
    <x v="220"/>
    <s v="Trek Domane ALR 5 Disc - 2018"/>
    <n v="11141.938099999999"/>
    <n v="8819.9509999999991"/>
    <n v="20.84"/>
  </r>
  <r>
    <x v="221"/>
    <s v="Electra Townie Original 7D EQ - 2016"/>
    <n v="82744.620899999994"/>
    <n v="65518.908000000003"/>
    <n v="20.82"/>
  </r>
  <r>
    <x v="222"/>
    <s v="Trek X-Caliber 8 - 2017"/>
    <n v="30939.690600000002"/>
    <n v="24499.755000000001"/>
    <n v="20.81"/>
  </r>
  <r>
    <x v="223"/>
    <s v="Strider Strider 20 Sport - 2018"/>
    <n v="2305.4205000000002"/>
    <n v="1826.9369999999999"/>
    <n v="20.75"/>
  </r>
  <r>
    <x v="224"/>
    <s v="Trek Precaliber 12 Girls - 2017"/>
    <n v="5198.1264000000001"/>
    <n v="4122.7830000000004"/>
    <n v="20.69"/>
  </r>
  <r>
    <x v="225"/>
    <s v="Trek Boone 7 Disc - 2018"/>
    <n v="28239.929400000001"/>
    <n v="22399.944"/>
    <n v="20.68"/>
  </r>
  <r>
    <x v="226"/>
    <s v="Trek Precaliber 24 (7-Speed) - Boys - 2018"/>
    <n v="1129.5646999999999"/>
    <n v="895.97199999999998"/>
    <n v="20.68"/>
  </r>
  <r>
    <x v="227"/>
    <s v="Sun Bicycles Lil Kitt'n - 2017"/>
    <n v="2328.4883"/>
    <n v="1847.8320000000001"/>
    <n v="20.64"/>
  </r>
  <r>
    <x v="228"/>
    <s v="Electra Townie Original 7D - 2017"/>
    <n v="11661.762000000001"/>
    <n v="9260.8109999999997"/>
    <n v="20.59"/>
  </r>
  <r>
    <x v="229"/>
    <s v="Electra Straight 8 3i (20-inch) - Boy's - 2017"/>
    <n v="8638.5236999999997"/>
    <n v="6859.86"/>
    <n v="20.59"/>
  </r>
  <r>
    <x v="230"/>
    <s v="Haro SR 1.2 - 2017"/>
    <n v="39862.941800000001"/>
    <n v="31667.635999999999"/>
    <n v="20.56"/>
  </r>
  <r>
    <x v="231"/>
    <s v="Trek Domane S 5 Disc - 2017"/>
    <n v="59513.771099999998"/>
    <n v="47319.817999999999"/>
    <n v="20.49"/>
  </r>
  <r>
    <x v="232"/>
    <s v="Trek Precaliber 20 Girl's - 2018"/>
    <n v="1011.956"/>
    <n v="804.96500000000003"/>
    <n v="20.45"/>
  </r>
  <r>
    <x v="233"/>
    <s v="Sun Bicycles Boardwalk (24-inch Wheels) - 2017"/>
    <n v="7447.2551999999996"/>
    <n v="5923.9530000000004"/>
    <n v="20.45"/>
  </r>
  <r>
    <x v="234"/>
    <s v="Trek Domane SL 6 - 2017"/>
    <n v="113644.6753"/>
    <n v="90649.740999999995"/>
    <n v="20.23"/>
  </r>
  <r>
    <x v="235"/>
    <s v="Haro Shredder 20 - 2017"/>
    <n v="7183.7578999999996"/>
    <n v="5732.7269999999999"/>
    <n v="20.2"/>
  </r>
  <r>
    <x v="236"/>
    <s v="Electra Townie Original 7D EQ Ladies' - 2017/2018"/>
    <n v="3683.9386"/>
    <n v="2939.951"/>
    <n v="20.2"/>
  </r>
  <r>
    <x v="237"/>
    <s v="Sun Bicycles Cruz 3 - Women's - 2017"/>
    <n v="12622.219499999999"/>
    <n v="10079.776"/>
    <n v="20.14"/>
  </r>
  <r>
    <x v="238"/>
    <s v="Electra Townie Commute Go! - 2018"/>
    <n v="15749.9475"/>
    <n v="12599.958000000001"/>
    <n v="20"/>
  </r>
  <r>
    <x v="239"/>
    <s v="Trek Domane AL 2 - 2018"/>
    <n v="2624.9650000000001"/>
    <n v="2099.9720000000002"/>
    <n v="20"/>
  </r>
  <r>
    <x v="240"/>
    <s v="Trek 1120 - 2018"/>
    <n v="8749.9650000000001"/>
    <n v="6999.9719999999998"/>
    <n v="20"/>
  </r>
  <r>
    <x v="241"/>
    <s v="Electra Cruiser Lux 3i Ladies' - 2018"/>
    <n v="1854.9649999999999"/>
    <n v="1483.972"/>
    <n v="20"/>
  </r>
  <r>
    <x v="242"/>
    <s v="Electra Townie Original 1 Ladies' - 2018"/>
    <n v="1574.9649999999999"/>
    <n v="1259.972"/>
    <n v="20"/>
  </r>
  <r>
    <x v="243"/>
    <s v="Surly Wednesday Frameset - 2017"/>
    <n v="14367.594300000001"/>
    <n v="11514.754999999999"/>
    <n v="19.86"/>
  </r>
  <r>
    <x v="244"/>
    <s v="Trek Precaliber 12 Boys - 2017"/>
    <n v="4972.0383000000002"/>
    <n v="3989.79"/>
    <n v="19.760000000000002"/>
  </r>
  <r>
    <x v="245"/>
    <s v="Surly Krampus - 2018"/>
    <n v="11767.15"/>
    <n v="9443.7000000000007"/>
    <n v="19.75"/>
  </r>
  <r>
    <x v="246"/>
    <s v="Trek Precaliber 16 Girls - 2017"/>
    <n v="4577.7820000000002"/>
    <n v="3674.8249999999998"/>
    <n v="19.72"/>
  </r>
  <r>
    <x v="247"/>
    <s v="Trek X-Caliber Frameset - 2018"/>
    <n v="5219.9651999999996"/>
    <n v="4199.9719999999998"/>
    <n v="19.54"/>
  </r>
  <r>
    <x v="248"/>
    <s v="Heller Shagamaw GX1 - 2018"/>
    <n v="11305.65"/>
    <n v="9096.5"/>
    <n v="19.54"/>
  </r>
  <r>
    <x v="249"/>
    <s v="Electra Amsterdam Original 3i Ladies' - 2017"/>
    <n v="17793.330399999999"/>
    <n v="14321.782999999999"/>
    <n v="19.510000000000002"/>
  </r>
  <r>
    <x v="250"/>
    <s v="Trek Boone 7 - 2017"/>
    <n v="127609.6354"/>
    <n v="102899.70600000001"/>
    <n v="19.36"/>
  </r>
  <r>
    <x v="251"/>
    <s v="Trek Fuel EX 5 27.5 Plus - 2017"/>
    <n v="67849.705000000002"/>
    <n v="54739.762000000002"/>
    <n v="19.32"/>
  </r>
  <r>
    <x v="252"/>
    <s v="Sun Bicycles Revolutions 24 - Girl's - 2017"/>
    <n v="5436.4434000000001"/>
    <n v="4392.3249999999998"/>
    <n v="19.21"/>
  </r>
  <r>
    <x v="253"/>
    <s v="Strider Classic 12 Balance Bike - 2018"/>
    <n v="857.60469999999998"/>
    <n v="692.923"/>
    <n v="19.2"/>
  </r>
  <r>
    <x v="254"/>
    <s v="Electra Moto 3i - 2018"/>
    <n v="2771.1567"/>
    <n v="2239.9650000000001"/>
    <n v="19.170000000000002"/>
  </r>
  <r>
    <x v="255"/>
    <s v="Trek X-Caliber 7 - 2018"/>
    <n v="3983.5567000000001"/>
    <n v="3219.9650000000001"/>
    <n v="19.170000000000002"/>
  </r>
  <r>
    <x v="256"/>
    <s v="Electra Starship 1 16 - 2018"/>
    <n v="1212.3567"/>
    <n v="979.96500000000003"/>
    <n v="19.170000000000002"/>
  </r>
  <r>
    <x v="257"/>
    <s v="Surly Straggler 650b - 2018"/>
    <n v="5359.54"/>
    <n v="4337.2"/>
    <n v="19.079999999999998"/>
  </r>
  <r>
    <x v="258"/>
    <s v="Surly Pack Rat - 2018"/>
    <n v="9335.08"/>
    <n v="7554.4"/>
    <n v="19.079999999999998"/>
  </r>
  <r>
    <x v="259"/>
    <s v="Trek Precaliber 24 21-speed Boy's - 2018"/>
    <n v="640.08270000000005"/>
    <n v="517.98599999999999"/>
    <n v="19.079999999999998"/>
  </r>
  <r>
    <x v="260"/>
    <s v="Heller Bloodhound Trail - 2018"/>
    <n v="8992.5400000000009"/>
    <n v="7277.2"/>
    <n v="19.079999999999998"/>
  </r>
  <r>
    <x v="261"/>
    <s v="Trek CrossRip+ - 2018"/>
    <n v="15524.9655"/>
    <n v="12599.972"/>
    <n v="18.84"/>
  </r>
  <r>
    <x v="262"/>
    <s v="Surly Straggler - 2018"/>
    <n v="5344.05"/>
    <n v="4337.2"/>
    <n v="18.84"/>
  </r>
  <r>
    <x v="263"/>
    <s v="Trek XM700+ - 2018"/>
    <n v="24149.931"/>
    <n v="19599.944"/>
    <n v="18.84"/>
  </r>
  <r>
    <x v="264"/>
    <s v="Surly ECR 27.5 - 2018"/>
    <n v="13103.1"/>
    <n v="10634.4"/>
    <n v="18.84"/>
  </r>
  <r>
    <x v="265"/>
    <s v="Electra Heartchya 1 (20-inch) - Girl's - 2018"/>
    <n v="1929.5397"/>
    <n v="1567.951"/>
    <n v="18.739999999999998"/>
  </r>
  <r>
    <x v="266"/>
    <s v="Electra Delivery 3i - 2016/2017/2018"/>
    <n v="4953.5483999999997"/>
    <n v="4031.9580000000001"/>
    <n v="18.600000000000001"/>
  </r>
  <r>
    <x v="267"/>
    <s v="Electra Straight 8 3i - 2018"/>
    <n v="3121.2656999999999"/>
    <n v="2547.9720000000002"/>
    <n v="18.37"/>
  </r>
  <r>
    <x v="268"/>
    <s v="Trek XM700+ Lowstep - 2018"/>
    <n v="20964.9401"/>
    <n v="17149.951000000001"/>
    <n v="18.2"/>
  </r>
  <r>
    <x v="269"/>
    <s v="Electra Townie Commute 8D Ladies' - 2018"/>
    <n v="5389.9229999999998"/>
    <n v="4409.9369999999999"/>
    <n v="18.18"/>
  </r>
  <r>
    <x v="270"/>
    <s v="Haro Downtown 16 - 2017"/>
    <n v="8464.2435000000005"/>
    <n v="6929.79"/>
    <n v="18.13"/>
  </r>
  <r>
    <x v="271"/>
    <s v="Trek CrossRip 1 - 2018"/>
    <n v="4089.5574000000001"/>
    <n v="3359.9650000000001"/>
    <n v="17.84"/>
  </r>
  <r>
    <x v="272"/>
    <s v="Electra Townie Balloon 3i EQ Ladies' - 2018"/>
    <n v="5447.9318999999996"/>
    <n v="4479.9440000000004"/>
    <n v="17.77"/>
  </r>
  <r>
    <x v="273"/>
    <s v="Trek Domane SLR 6 - 2018"/>
    <n v="8499.9830000000002"/>
    <n v="6999.9859999999999"/>
    <n v="17.649999999999999"/>
  </r>
  <r>
    <x v="274"/>
    <s v="Trek Precaliber 20 6-speed Boy's - 2018"/>
    <n v="492.983"/>
    <n v="405.98599999999999"/>
    <n v="17.649999999999999"/>
  </r>
  <r>
    <x v="275"/>
    <s v="Electra Townie Original 7D EQ - 2018"/>
    <n v="1019.9829999999999"/>
    <n v="839.98599999999999"/>
    <n v="17.649999999999999"/>
  </r>
  <r>
    <x v="276"/>
    <s v="Trek Precaliber 20 Boy's - 2018"/>
    <n v="781.96600000000001"/>
    <n v="643.97199999999998"/>
    <n v="17.649999999999999"/>
  </r>
  <r>
    <x v="277"/>
    <s v="Electra Townie Balloon 3i EQ - 2017/2018"/>
    <n v="3172.4576999999999"/>
    <n v="2624.9650000000001"/>
    <n v="17.260000000000002"/>
  </r>
  <r>
    <x v="278"/>
    <s v="Trek Domane AL 3 Women's - 2018"/>
    <n v="6219.1324000000004"/>
    <n v="5151.9440000000004"/>
    <n v="17.16"/>
  </r>
  <r>
    <x v="279"/>
    <s v="Trek Crockett 5 Disc - 2018"/>
    <n v="4553.9746999999998"/>
    <n v="3779.9789999999998"/>
    <n v="17"/>
  </r>
  <r>
    <x v="280"/>
    <s v="Electra Amsterdam Royal 8i Ladies - 2018"/>
    <n v="3035.9747000000002"/>
    <n v="2519.9789999999998"/>
    <n v="17"/>
  </r>
  <r>
    <x v="281"/>
    <s v="Trek Domane ALR 4 Disc - 2018"/>
    <n v="3921.4747000000002"/>
    <n v="3254.9789999999998"/>
    <n v="17"/>
  </r>
  <r>
    <x v="282"/>
    <s v="Trek Procaliber 6 - 2018"/>
    <n v="4553.9746999999998"/>
    <n v="3779.9789999999998"/>
    <n v="17"/>
  </r>
  <r>
    <x v="283"/>
    <s v="Trek Marlin 6 - 2018"/>
    <n v="1467.3747000000001"/>
    <n v="1217.979"/>
    <n v="17"/>
  </r>
  <r>
    <x v="284"/>
    <s v="Electra Cruiser Lux 1 - 2016/2018"/>
    <n v="2175.7494000000002"/>
    <n v="1805.9580000000001"/>
    <n v="17"/>
  </r>
  <r>
    <x v="285"/>
    <s v="Electra Townie Commute 8D - 2018"/>
    <n v="1897.4747"/>
    <n v="1574.979"/>
    <n v="17"/>
  </r>
  <r>
    <x v="286"/>
    <s v="Trek Domane ALR Frameset - 2018"/>
    <n v="13439.958000000001"/>
    <n v="11199.965"/>
    <n v="16.670000000000002"/>
  </r>
  <r>
    <x v="287"/>
    <s v="Trek X-Caliber 8 - 2018"/>
    <n v="2499.9749999999999"/>
    <n v="2099.9789999999998"/>
    <n v="16"/>
  </r>
  <r>
    <x v="288"/>
    <s v="Trek Domane SL 5 Disc Women's - 2018"/>
    <n v="6249.9750000000004"/>
    <n v="5249.9790000000003"/>
    <n v="16"/>
  </r>
  <r>
    <x v="289"/>
    <s v="Electra Townie Commute 8D - 2018"/>
    <n v="1874.9749999999999"/>
    <n v="1574.979"/>
    <n v="16"/>
  </r>
  <r>
    <x v="290"/>
    <s v="Electra Townie Balloon 8D EQ Ladies' - 2016/2017/2018"/>
    <n v="3749.95"/>
    <n v="3149.9580000000001"/>
    <n v="16"/>
  </r>
  <r>
    <x v="291"/>
    <s v="Surly Straggler - 2018"/>
    <n v="6428.35"/>
    <n v="5421.5"/>
    <n v="15.66"/>
  </r>
  <r>
    <x v="292"/>
    <s v="Trek Verve+ - 2018"/>
    <n v="9544.9585000000006"/>
    <n v="8049.9650000000001"/>
    <n v="15.66"/>
  </r>
  <r>
    <x v="293"/>
    <s v="Electra Townie Balloon 8D EQ - 2016/2017/2018"/>
    <n v="2474.9670000000001"/>
    <n v="2099.9720000000002"/>
    <n v="15.15"/>
  </r>
  <r>
    <x v="294"/>
    <s v="Trek Domane SL 6 Disc - 2018"/>
    <n v="17324.950499999999"/>
    <n v="14699.958000000001"/>
    <n v="15.15"/>
  </r>
  <r>
    <x v="295"/>
    <s v="Trek Verve+ Lowstep - 2018"/>
    <n v="9429.9590000000007"/>
    <n v="8049.9650000000001"/>
    <n v="14.63"/>
  </r>
  <r>
    <x v="296"/>
    <s v="Trek Lift+ Lowstep - 2018"/>
    <n v="4479.9840000000004"/>
    <n v="3919.9859999999999"/>
    <n v="12.5"/>
  </r>
  <r>
    <x v="297"/>
    <s v="Electra Cruiser Lux 7D Ladies' - 2018"/>
    <n v="767.98400000000004"/>
    <n v="671.98599999999999"/>
    <n v="12.5"/>
  </r>
  <r>
    <x v="298"/>
    <s v="Trek Fuel EX 7 29 - 2018"/>
    <n v="7999.9679999999998"/>
    <n v="6999.9719999999998"/>
    <n v="12.5"/>
  </r>
  <r>
    <x v="299"/>
    <s v="Electra Soft Serve 1 (16-inch) - Girl's - 2018"/>
    <n v="223.99199999999999"/>
    <n v="195.99299999999999"/>
    <n v="12.5"/>
  </r>
  <r>
    <x v="300"/>
    <s v="Trek Domane SLR Disc Frameset - 2018"/>
    <n v="2559.9920000000002"/>
    <n v="2239.9929999999999"/>
    <n v="12.5"/>
  </r>
  <r>
    <x v="301"/>
    <s v="Electra Treasure 3i 20 - 2018"/>
    <n v="295.99200000000002"/>
    <n v="258.99299999999999"/>
    <n v="12.5"/>
  </r>
  <r>
    <x v="302"/>
    <s v="Trek Domane SL 5 Women's - 2018"/>
    <n v="1759.992"/>
    <n v="1539.9929999999999"/>
    <n v="12.5"/>
  </r>
  <r>
    <x v="303"/>
    <s v="Trek Remedy 9.8 27.5 - 2018"/>
    <n v="11999.976000000001"/>
    <n v="10499.978999999999"/>
    <n v="12.5"/>
  </r>
  <r>
    <x v="304"/>
    <s v="Trek Precaliber 24 7-speed Girl's - 2018"/>
    <n v="255.99199999999999"/>
    <n v="223.99299999999999"/>
    <n v="12.5"/>
  </r>
  <r>
    <x v="305"/>
    <s v="Electra Townie Original 21D - 2018"/>
    <n v="447.99200000000002"/>
    <n v="391.99299999999999"/>
    <n v="12.5"/>
  </r>
  <r>
    <x v="306"/>
    <s v="Electra Townie Original 21D EQ Ladies' - 2018"/>
    <n v="1087.9839999999999"/>
    <n v="951.98599999999999"/>
    <n v="1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4:H5" firstHeaderRow="1" firstDataRow="1" firstDataCol="0"/>
  <pivotFields count="5">
    <pivotField showAll="0">
      <items count="308">
        <item x="190"/>
        <item x="191"/>
        <item x="200"/>
        <item x="210"/>
        <item x="162"/>
        <item x="119"/>
        <item x="109"/>
        <item x="168"/>
        <item x="173"/>
        <item x="175"/>
        <item x="126"/>
        <item x="163"/>
        <item x="197"/>
        <item x="166"/>
        <item x="221"/>
        <item x="111"/>
        <item x="114"/>
        <item x="184"/>
        <item x="211"/>
        <item x="94"/>
        <item x="209"/>
        <item x="204"/>
        <item x="106"/>
        <item x="146"/>
        <item x="125"/>
        <item x="181"/>
        <item x="160"/>
        <item x="222"/>
        <item x="91"/>
        <item x="148"/>
        <item x="96"/>
        <item x="243"/>
        <item x="118"/>
        <item x="134"/>
        <item x="145"/>
        <item x="218"/>
        <item x="87"/>
        <item x="150"/>
        <item x="174"/>
        <item x="72"/>
        <item x="251"/>
        <item x="88"/>
        <item x="108"/>
        <item x="230"/>
        <item x="164"/>
        <item x="105"/>
        <item x="81"/>
        <item x="234"/>
        <item x="101"/>
        <item x="51"/>
        <item x="112"/>
        <item x="110"/>
        <item x="187"/>
        <item x="201"/>
        <item x="169"/>
        <item x="179"/>
        <item x="113"/>
        <item x="231"/>
        <item x="208"/>
        <item x="66"/>
        <item x="250"/>
        <item x="153"/>
        <item x="228"/>
        <item x="159"/>
        <item x="212"/>
        <item x="252"/>
        <item x="75"/>
        <item x="90"/>
        <item x="152"/>
        <item x="71"/>
        <item x="171"/>
        <item x="156"/>
        <item x="80"/>
        <item x="82"/>
        <item x="122"/>
        <item x="89"/>
        <item x="99"/>
        <item x="233"/>
        <item x="123"/>
        <item x="102"/>
        <item x="249"/>
        <item x="151"/>
        <item x="227"/>
        <item x="270"/>
        <item x="206"/>
        <item x="244"/>
        <item x="224"/>
        <item x="120"/>
        <item x="246"/>
        <item x="185"/>
        <item x="235"/>
        <item x="149"/>
        <item x="196"/>
        <item x="97"/>
        <item x="186"/>
        <item x="203"/>
        <item x="229"/>
        <item x="189"/>
        <item x="165"/>
        <item x="202"/>
        <item x="68"/>
        <item x="147"/>
        <item x="213"/>
        <item x="182"/>
        <item x="121"/>
        <item x="157"/>
        <item x="237"/>
        <item x="199"/>
        <item x="107"/>
        <item x="207"/>
        <item x="95"/>
        <item x="183"/>
        <item x="283"/>
        <item x="117"/>
        <item x="63"/>
        <item x="23"/>
        <item x="287"/>
        <item x="20"/>
        <item x="298"/>
        <item x="216"/>
        <item x="103"/>
        <item x="245"/>
        <item x="195"/>
        <item x="78"/>
        <item x="264"/>
        <item x="255"/>
        <item x="115"/>
        <item x="260"/>
        <item x="140"/>
        <item x="61"/>
        <item x="30"/>
        <item x="247"/>
        <item x="282"/>
        <item x="248"/>
        <item x="5"/>
        <item x="26"/>
        <item x="303"/>
        <item x="154"/>
        <item x="58"/>
        <item x="41"/>
        <item x="281"/>
        <item x="220"/>
        <item x="273"/>
        <item x="47"/>
        <item x="178"/>
        <item x="74"/>
        <item x="177"/>
        <item x="155"/>
        <item x="288"/>
        <item x="161"/>
        <item x="100"/>
        <item x="130"/>
        <item x="0"/>
        <item x="271"/>
        <item x="25"/>
        <item x="57"/>
        <item x="127"/>
        <item x="139"/>
        <item x="258"/>
        <item x="257"/>
        <item x="240"/>
        <item x="116"/>
        <item x="12"/>
        <item x="262"/>
        <item x="38"/>
        <item x="44"/>
        <item x="56"/>
        <item x="180"/>
        <item x="286"/>
        <item x="300"/>
        <item x="42"/>
        <item x="39"/>
        <item x="10"/>
        <item x="239"/>
        <item x="28"/>
        <item x="278"/>
        <item x="79"/>
        <item x="215"/>
        <item x="302"/>
        <item x="294"/>
        <item x="92"/>
        <item x="261"/>
        <item x="59"/>
        <item x="268"/>
        <item x="296"/>
        <item x="60"/>
        <item x="85"/>
        <item x="9"/>
        <item x="217"/>
        <item x="263"/>
        <item x="292"/>
        <item x="295"/>
        <item x="238"/>
        <item x="135"/>
        <item x="46"/>
        <item x="3"/>
        <item x="50"/>
        <item x="73"/>
        <item x="158"/>
        <item x="31"/>
        <item x="69"/>
        <item x="225"/>
        <item x="279"/>
        <item x="77"/>
        <item x="291"/>
        <item x="13"/>
        <item x="37"/>
        <item x="194"/>
        <item x="76"/>
        <item x="52"/>
        <item x="167"/>
        <item x="267"/>
        <item x="1"/>
        <item x="254"/>
        <item x="70"/>
        <item x="53"/>
        <item x="136"/>
        <item x="32"/>
        <item x="4"/>
        <item x="266"/>
        <item x="170"/>
        <item x="17"/>
        <item x="86"/>
        <item x="284"/>
        <item x="124"/>
        <item x="241"/>
        <item x="297"/>
        <item x="18"/>
        <item x="67"/>
        <item x="192"/>
        <item x="176"/>
        <item x="16"/>
        <item x="293"/>
        <item x="131"/>
        <item x="54"/>
        <item x="285"/>
        <item x="269"/>
        <item x="8"/>
        <item x="27"/>
        <item x="48"/>
        <item x="19"/>
        <item x="275"/>
        <item x="236"/>
        <item x="83"/>
        <item x="36"/>
        <item x="55"/>
        <item x="104"/>
        <item x="98"/>
        <item x="277"/>
        <item x="84"/>
        <item x="144"/>
        <item x="193"/>
        <item x="138"/>
        <item x="280"/>
        <item x="93"/>
        <item x="65"/>
        <item x="141"/>
        <item x="253"/>
        <item x="49"/>
        <item x="223"/>
        <item x="132"/>
        <item x="142"/>
        <item x="219"/>
        <item x="6"/>
        <item x="129"/>
        <item x="274"/>
        <item x="45"/>
        <item x="276"/>
        <item x="232"/>
        <item x="226"/>
        <item x="259"/>
        <item x="128"/>
        <item x="304"/>
        <item x="15"/>
        <item x="35"/>
        <item x="172"/>
        <item x="265"/>
        <item x="299"/>
        <item x="256"/>
        <item x="11"/>
        <item x="34"/>
        <item x="2"/>
        <item x="14"/>
        <item x="64"/>
        <item x="21"/>
        <item x="137"/>
        <item x="214"/>
        <item x="301"/>
        <item x="205"/>
        <item x="22"/>
        <item x="305"/>
        <item x="272"/>
        <item x="188"/>
        <item x="62"/>
        <item x="43"/>
        <item x="198"/>
        <item x="133"/>
        <item x="29"/>
        <item x="40"/>
        <item x="290"/>
        <item x="33"/>
        <item x="24"/>
        <item x="289"/>
        <item x="143"/>
        <item x="242"/>
        <item x="306"/>
        <item x="7"/>
        <item t="default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total_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308" totalsRowShown="0">
  <autoFilter ref="A1:E308"/>
  <tableColumns count="5">
    <tableColumn id="1" name="product_id"/>
    <tableColumn id="2" name="product name">
      <calculatedColumnFormula>VLOOKUP(A2,'Product Dataset'!A:B,2,FALSE)</calculatedColumnFormula>
    </tableColumn>
    <tableColumn id="3" name="total_revenue"/>
    <tableColumn id="4" name="estimated_cost"/>
    <tableColumn id="5" name="profit_margin_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Views>
    <sheetView tabSelected="1" zoomScale="70" zoomScaleNormal="70" workbookViewId="0">
      <selection activeCell="G11" sqref="G11"/>
    </sheetView>
  </sheetViews>
  <sheetFormatPr defaultRowHeight="15" x14ac:dyDescent="0.25"/>
  <cols>
    <col min="1" max="1" width="15.7109375" customWidth="1"/>
    <col min="2" max="2" width="49.7109375" bestFit="1" customWidth="1"/>
    <col min="3" max="3" width="19.140625" customWidth="1"/>
    <col min="4" max="4" width="20.85546875" customWidth="1"/>
    <col min="5" max="5" width="28.5703125" customWidth="1"/>
    <col min="6" max="6" width="49.7109375" bestFit="1" customWidth="1"/>
    <col min="8" max="9" width="26.28515625" customWidth="1"/>
    <col min="10" max="12" width="17.7109375" bestFit="1" customWidth="1"/>
    <col min="13" max="13" width="16" bestFit="1" customWidth="1"/>
    <col min="14" max="16" width="17.7109375" bestFit="1" customWidth="1"/>
    <col min="17" max="17" width="14.5703125" bestFit="1" customWidth="1"/>
    <col min="18" max="23" width="16" bestFit="1" customWidth="1"/>
    <col min="24" max="26" width="13.140625" bestFit="1" customWidth="1"/>
    <col min="27" max="38" width="16" bestFit="1" customWidth="1"/>
    <col min="39" max="39" width="14.5703125" bestFit="1" customWidth="1"/>
    <col min="40" max="40" width="16" bestFit="1" customWidth="1"/>
    <col min="41" max="42" width="14.5703125" bestFit="1" customWidth="1"/>
    <col min="43" max="46" width="16" bestFit="1" customWidth="1"/>
    <col min="47" max="47" width="17.7109375" bestFit="1" customWidth="1"/>
    <col min="48" max="48" width="16" bestFit="1" customWidth="1"/>
    <col min="49" max="49" width="14.5703125" bestFit="1" customWidth="1"/>
    <col min="50" max="50" width="17.7109375" bestFit="1" customWidth="1"/>
    <col min="51" max="52" width="16" bestFit="1" customWidth="1"/>
    <col min="53" max="53" width="14.5703125" bestFit="1" customWidth="1"/>
    <col min="54" max="55" width="16" bestFit="1" customWidth="1"/>
    <col min="56" max="58" width="17.7109375" bestFit="1" customWidth="1"/>
    <col min="59" max="62" width="16" bestFit="1" customWidth="1"/>
    <col min="63" max="63" width="17.7109375" bestFit="1" customWidth="1"/>
    <col min="64" max="64" width="16" bestFit="1" customWidth="1"/>
    <col min="65" max="65" width="17.7109375" bestFit="1" customWidth="1"/>
    <col min="66" max="67" width="16" bestFit="1" customWidth="1"/>
    <col min="68" max="69" width="17.7109375" bestFit="1" customWidth="1"/>
    <col min="70" max="70" width="16" bestFit="1" customWidth="1"/>
    <col min="71" max="71" width="14.5703125" bestFit="1" customWidth="1"/>
    <col min="72" max="72" width="16" bestFit="1" customWidth="1"/>
    <col min="73" max="74" width="14.5703125" bestFit="1" customWidth="1"/>
    <col min="75" max="78" width="16" bestFit="1" customWidth="1"/>
    <col min="79" max="79" width="14.5703125" bestFit="1" customWidth="1"/>
    <col min="80" max="82" width="16" bestFit="1" customWidth="1"/>
    <col min="83" max="83" width="14.5703125" bestFit="1" customWidth="1"/>
    <col min="84" max="85" width="16" bestFit="1" customWidth="1"/>
    <col min="86" max="86" width="14.5703125" bestFit="1" customWidth="1"/>
    <col min="87" max="89" width="16" bestFit="1" customWidth="1"/>
    <col min="90" max="96" width="14.5703125" bestFit="1" customWidth="1"/>
    <col min="97" max="97" width="13.140625" bestFit="1" customWidth="1"/>
    <col min="98" max="101" width="14.5703125" bestFit="1" customWidth="1"/>
    <col min="102" max="102" width="16" bestFit="1" customWidth="1"/>
    <col min="103" max="103" width="14.5703125" bestFit="1" customWidth="1"/>
    <col min="104" max="104" width="16" bestFit="1" customWidth="1"/>
    <col min="105" max="106" width="14.5703125" bestFit="1" customWidth="1"/>
    <col min="107" max="113" width="16" bestFit="1" customWidth="1"/>
    <col min="114" max="114" width="14.5703125" bestFit="1" customWidth="1"/>
    <col min="115" max="115" width="16" bestFit="1" customWidth="1"/>
    <col min="116" max="117" width="14.5703125" bestFit="1" customWidth="1"/>
    <col min="118" max="118" width="16" bestFit="1" customWidth="1"/>
    <col min="119" max="121" width="14.5703125" bestFit="1" customWidth="1"/>
    <col min="122" max="122" width="16" bestFit="1" customWidth="1"/>
    <col min="123" max="124" width="14.5703125" bestFit="1" customWidth="1"/>
    <col min="125" max="125" width="13.140625" bestFit="1" customWidth="1"/>
    <col min="126" max="126" width="14.5703125" bestFit="1" customWidth="1"/>
    <col min="127" max="127" width="13.140625" bestFit="1" customWidth="1"/>
    <col min="128" max="128" width="16" bestFit="1" customWidth="1"/>
    <col min="129" max="129" width="14.5703125" bestFit="1" customWidth="1"/>
    <col min="130" max="130" width="13.140625" bestFit="1" customWidth="1"/>
    <col min="131" max="132" width="14.5703125" bestFit="1" customWidth="1"/>
    <col min="133" max="133" width="11.7109375" bestFit="1" customWidth="1"/>
    <col min="134" max="135" width="14.5703125" bestFit="1" customWidth="1"/>
    <col min="136" max="136" width="11.7109375" bestFit="1" customWidth="1"/>
    <col min="137" max="137" width="13.140625" bestFit="1" customWidth="1"/>
    <col min="138" max="138" width="14.5703125" bestFit="1" customWidth="1"/>
    <col min="139" max="139" width="13.140625" bestFit="1" customWidth="1"/>
    <col min="140" max="141" width="14.5703125" bestFit="1" customWidth="1"/>
    <col min="142" max="142" width="13.140625" bestFit="1" customWidth="1"/>
    <col min="143" max="143" width="14.5703125" bestFit="1" customWidth="1"/>
    <col min="144" max="144" width="16" bestFit="1" customWidth="1"/>
    <col min="145" max="145" width="14.5703125" bestFit="1" customWidth="1"/>
    <col min="146" max="147" width="16" bestFit="1" customWidth="1"/>
    <col min="148" max="149" width="14.5703125" bestFit="1" customWidth="1"/>
    <col min="150" max="150" width="16" bestFit="1" customWidth="1"/>
    <col min="151" max="151" width="13.140625" bestFit="1" customWidth="1"/>
    <col min="152" max="155" width="16" bestFit="1" customWidth="1"/>
    <col min="156" max="156" width="14.5703125" bestFit="1" customWidth="1"/>
    <col min="157" max="157" width="13.140625" bestFit="1" customWidth="1"/>
    <col min="158" max="159" width="16" bestFit="1" customWidth="1"/>
    <col min="160" max="162" width="14.5703125" bestFit="1" customWidth="1"/>
    <col min="163" max="164" width="16" bestFit="1" customWidth="1"/>
    <col min="165" max="165" width="10.28515625" bestFit="1" customWidth="1"/>
    <col min="166" max="166" width="14.5703125" bestFit="1" customWidth="1"/>
    <col min="167" max="168" width="11.7109375" bestFit="1" customWidth="1"/>
    <col min="169" max="169" width="13.140625" bestFit="1" customWidth="1"/>
    <col min="170" max="170" width="14.5703125" bestFit="1" customWidth="1"/>
    <col min="171" max="171" width="13.140625" bestFit="1" customWidth="1"/>
    <col min="172" max="172" width="11.7109375" bestFit="1" customWidth="1"/>
    <col min="173" max="173" width="16" bestFit="1" customWidth="1"/>
    <col min="174" max="175" width="14.5703125" bestFit="1" customWidth="1"/>
    <col min="176" max="176" width="16" bestFit="1" customWidth="1"/>
    <col min="177" max="177" width="14.5703125" bestFit="1" customWidth="1"/>
    <col min="178" max="178" width="13.140625" bestFit="1" customWidth="1"/>
    <col min="179" max="181" width="14.5703125" bestFit="1" customWidth="1"/>
    <col min="182" max="182" width="13.140625" bestFit="1" customWidth="1"/>
    <col min="183" max="184" width="14.5703125" bestFit="1" customWidth="1"/>
    <col min="185" max="186" width="16" bestFit="1" customWidth="1"/>
    <col min="187" max="187" width="13.140625" bestFit="1" customWidth="1"/>
    <col min="188" max="190" width="16" bestFit="1" customWidth="1"/>
    <col min="191" max="191" width="14.5703125" bestFit="1" customWidth="1"/>
    <col min="192" max="192" width="16" bestFit="1" customWidth="1"/>
    <col min="193" max="193" width="13.140625" bestFit="1" customWidth="1"/>
    <col min="194" max="194" width="16" bestFit="1" customWidth="1"/>
    <col min="195" max="196" width="14.5703125" bestFit="1" customWidth="1"/>
    <col min="197" max="197" width="16" bestFit="1" customWidth="1"/>
    <col min="198" max="199" width="14.5703125" bestFit="1" customWidth="1"/>
    <col min="200" max="200" width="13.140625" bestFit="1" customWidth="1"/>
    <col min="201" max="201" width="16" bestFit="1" customWidth="1"/>
    <col min="202" max="202" width="13.140625" bestFit="1" customWidth="1"/>
    <col min="203" max="204" width="14.5703125" bestFit="1" customWidth="1"/>
    <col min="205" max="205" width="16" bestFit="1" customWidth="1"/>
    <col min="206" max="206" width="14.5703125" bestFit="1" customWidth="1"/>
    <col min="207" max="208" width="16" bestFit="1" customWidth="1"/>
    <col min="209" max="209" width="14.5703125" bestFit="1" customWidth="1"/>
    <col min="210" max="210" width="16" bestFit="1" customWidth="1"/>
    <col min="211" max="211" width="14.5703125" bestFit="1" customWidth="1"/>
    <col min="212" max="212" width="16" bestFit="1" customWidth="1"/>
    <col min="213" max="213" width="11.7109375" bestFit="1" customWidth="1"/>
    <col min="214" max="214" width="10.28515625" bestFit="1" customWidth="1"/>
    <col min="215" max="215" width="13.140625" bestFit="1" customWidth="1"/>
    <col min="216" max="220" width="14.5703125" bestFit="1" customWidth="1"/>
    <col min="221" max="221" width="13.140625" bestFit="1" customWidth="1"/>
    <col min="222" max="223" width="14.5703125" bestFit="1" customWidth="1"/>
    <col min="224" max="224" width="13.140625" bestFit="1" customWidth="1"/>
    <col min="225" max="225" width="11.7109375" bestFit="1" customWidth="1"/>
    <col min="226" max="226" width="14.5703125" bestFit="1" customWidth="1"/>
    <col min="227" max="227" width="13.140625" bestFit="1" customWidth="1"/>
    <col min="228" max="230" width="14.5703125" bestFit="1" customWidth="1"/>
    <col min="231" max="231" width="13.140625" bestFit="1" customWidth="1"/>
    <col min="232" max="233" width="14.5703125" bestFit="1" customWidth="1"/>
    <col min="234" max="234" width="13.140625" bestFit="1" customWidth="1"/>
    <col min="235" max="235" width="11.7109375" bestFit="1" customWidth="1"/>
    <col min="236" max="236" width="14.5703125" bestFit="1" customWidth="1"/>
    <col min="237" max="238" width="13.140625" bestFit="1" customWidth="1"/>
    <col min="239" max="239" width="14.5703125" bestFit="1" customWidth="1"/>
    <col min="240" max="241" width="13.140625" bestFit="1" customWidth="1"/>
    <col min="242" max="242" width="11.7109375" bestFit="1" customWidth="1"/>
    <col min="243" max="243" width="13.140625" bestFit="1" customWidth="1"/>
    <col min="244" max="244" width="14.5703125" bestFit="1" customWidth="1"/>
    <col min="245" max="246" width="13.140625" bestFit="1" customWidth="1"/>
    <col min="247" max="249" width="14.5703125" bestFit="1" customWidth="1"/>
    <col min="250" max="250" width="13.140625" bestFit="1" customWidth="1"/>
    <col min="251" max="253" width="14.5703125" bestFit="1" customWidth="1"/>
    <col min="254" max="256" width="16" bestFit="1" customWidth="1"/>
    <col min="257" max="258" width="14.5703125" bestFit="1" customWidth="1"/>
    <col min="259" max="259" width="11.7109375" bestFit="1" customWidth="1"/>
    <col min="260" max="260" width="14.5703125" bestFit="1" customWidth="1"/>
    <col min="261" max="261" width="11.7109375" bestFit="1" customWidth="1"/>
    <col min="262" max="264" width="14.5703125" bestFit="1" customWidth="1"/>
    <col min="265" max="265" width="11.7109375" bestFit="1" customWidth="1"/>
    <col min="266" max="266" width="13.140625" bestFit="1" customWidth="1"/>
    <col min="267" max="268" width="14.5703125" bestFit="1" customWidth="1"/>
    <col min="269" max="269" width="11.7109375" bestFit="1" customWidth="1"/>
    <col min="270" max="270" width="13.140625" bestFit="1" customWidth="1"/>
    <col min="271" max="271" width="14.5703125" bestFit="1" customWidth="1"/>
    <col min="272" max="273" width="13.140625" bestFit="1" customWidth="1"/>
    <col min="274" max="274" width="11.7109375" bestFit="1" customWidth="1"/>
    <col min="275" max="275" width="13.140625" bestFit="1" customWidth="1"/>
    <col min="276" max="276" width="11.7109375" bestFit="1" customWidth="1"/>
    <col min="277" max="277" width="13.140625" bestFit="1" customWidth="1"/>
    <col min="278" max="278" width="14.5703125" bestFit="1" customWidth="1"/>
    <col min="279" max="279" width="13.140625" bestFit="1" customWidth="1"/>
    <col min="280" max="281" width="11.7109375" bestFit="1" customWidth="1"/>
    <col min="282" max="283" width="13.140625" bestFit="1" customWidth="1"/>
    <col min="284" max="285" width="14.5703125" bestFit="1" customWidth="1"/>
    <col min="286" max="286" width="11.7109375" bestFit="1" customWidth="1"/>
    <col min="287" max="287" width="14.5703125" bestFit="1" customWidth="1"/>
    <col min="288" max="289" width="13.140625" bestFit="1" customWidth="1"/>
    <col min="290" max="290" width="11.7109375" bestFit="1" customWidth="1"/>
    <col min="291" max="292" width="13.140625" bestFit="1" customWidth="1"/>
    <col min="293" max="293" width="14.5703125" bestFit="1" customWidth="1"/>
    <col min="294" max="294" width="11.7109375" bestFit="1" customWidth="1"/>
    <col min="295" max="295" width="14.5703125" bestFit="1" customWidth="1"/>
    <col min="296" max="296" width="11.7109375" bestFit="1" customWidth="1"/>
    <col min="297" max="298" width="13.140625" bestFit="1" customWidth="1"/>
    <col min="299" max="299" width="11.7109375" bestFit="1" customWidth="1"/>
    <col min="300" max="301" width="14.5703125" bestFit="1" customWidth="1"/>
    <col min="302" max="302" width="13.140625" bestFit="1" customWidth="1"/>
    <col min="303" max="303" width="14.5703125" bestFit="1" customWidth="1"/>
    <col min="304" max="305" width="11.7109375" bestFit="1" customWidth="1"/>
    <col min="306" max="306" width="13.140625" bestFit="1" customWidth="1"/>
    <col min="307" max="307" width="14.5703125" bestFit="1" customWidth="1"/>
    <col min="308" max="308" width="11.7109375" bestFit="1" customWidth="1"/>
    <col min="309" max="309" width="13.140625" bestFit="1" customWidth="1"/>
    <col min="310" max="310" width="14.5703125" bestFit="1" customWidth="1"/>
    <col min="311" max="315" width="13.140625" bestFit="1" customWidth="1"/>
    <col min="316" max="316" width="17.7109375" bestFit="1" customWidth="1"/>
  </cols>
  <sheetData>
    <row r="1" spans="1:8" x14ac:dyDescent="0.25">
      <c r="A1" t="s">
        <v>0</v>
      </c>
      <c r="B1" t="s">
        <v>283</v>
      </c>
      <c r="C1" t="s">
        <v>280</v>
      </c>
      <c r="D1" t="s">
        <v>281</v>
      </c>
      <c r="E1" t="s">
        <v>282</v>
      </c>
    </row>
    <row r="2" spans="1:8" x14ac:dyDescent="0.25">
      <c r="A2">
        <v>157</v>
      </c>
      <c r="B2" t="str">
        <f>VLOOKUP(A2,'Product Dataset'!A:B,2,FALSE)</f>
        <v>Trek Domane SL Frameset Women's - 2018</v>
      </c>
      <c r="C2">
        <v>6174.9904999999999</v>
      </c>
      <c r="D2">
        <v>4549.9930000000004</v>
      </c>
      <c r="E2">
        <v>26.32</v>
      </c>
    </row>
    <row r="3" spans="1:8" x14ac:dyDescent="0.25">
      <c r="A3">
        <v>218</v>
      </c>
      <c r="B3" t="str">
        <f>VLOOKUP(A3,'Product Dataset'!A:B,2,FALSE)</f>
        <v>Electra Cruiser 7D - 2016/2017/2018</v>
      </c>
      <c r="C3">
        <v>303.9905</v>
      </c>
      <c r="D3">
        <v>223.99299999999999</v>
      </c>
      <c r="E3">
        <v>26.32</v>
      </c>
    </row>
    <row r="4" spans="1:8" x14ac:dyDescent="0.25">
      <c r="A4">
        <v>289</v>
      </c>
      <c r="B4" t="str">
        <f>VLOOKUP(A4,'Product Dataset'!A:B,2,FALSE)</f>
        <v>Electra Superbolt 1 20 - 2018</v>
      </c>
      <c r="C4">
        <v>607.98099999999999</v>
      </c>
      <c r="D4">
        <v>447.98599999999999</v>
      </c>
      <c r="E4">
        <v>26.32</v>
      </c>
      <c r="H4" t="s">
        <v>284</v>
      </c>
    </row>
    <row r="5" spans="1:8" x14ac:dyDescent="0.25">
      <c r="A5">
        <v>201</v>
      </c>
      <c r="B5" t="str">
        <f>VLOOKUP(A5,'Product Dataset'!A:B,2,FALSE)</f>
        <v>Trek Powerfly 5 FS - 2018</v>
      </c>
      <c r="C5">
        <v>4274.9904999999999</v>
      </c>
      <c r="D5">
        <v>3149.9929999999999</v>
      </c>
      <c r="E5">
        <v>26.32</v>
      </c>
      <c r="H5" s="1">
        <v>7689116.5575999944</v>
      </c>
    </row>
    <row r="6" spans="1:8" x14ac:dyDescent="0.25">
      <c r="A6">
        <v>224</v>
      </c>
      <c r="B6" t="str">
        <f>VLOOKUP(A6,'Product Dataset'!A:B,2,FALSE)</f>
        <v>Electra Cruiser Lux 7D - 2018</v>
      </c>
      <c r="C6">
        <v>1823.962</v>
      </c>
      <c r="D6">
        <v>1343.972</v>
      </c>
      <c r="E6">
        <v>26.32</v>
      </c>
    </row>
    <row r="7" spans="1:8" x14ac:dyDescent="0.25">
      <c r="A7">
        <v>138</v>
      </c>
      <c r="B7" t="str">
        <f>VLOOKUP(A7,'Product Dataset'!A:B,2,FALSE)</f>
        <v>Trek Fuel EX 5 Plus - 2018</v>
      </c>
      <c r="C7">
        <v>12824.942999999999</v>
      </c>
      <c r="D7">
        <v>9449.9580000000005</v>
      </c>
      <c r="E7">
        <v>26.32</v>
      </c>
    </row>
    <row r="8" spans="1:8" x14ac:dyDescent="0.25">
      <c r="A8">
        <v>270</v>
      </c>
      <c r="B8" t="str">
        <f>VLOOKUP(A8,'Product Dataset'!A:B,2,FALSE)</f>
        <v>Trek Precaliber 16 Boy's - 2018</v>
      </c>
      <c r="C8">
        <v>199.4905</v>
      </c>
      <c r="D8">
        <v>146.99299999999999</v>
      </c>
      <c r="E8">
        <v>26.32</v>
      </c>
    </row>
    <row r="9" spans="1:8" x14ac:dyDescent="0.25">
      <c r="A9">
        <v>315</v>
      </c>
      <c r="B9" t="str">
        <f>VLOOKUP(A9,'Product Dataset'!A:B,2,FALSE)</f>
        <v>Electra Townie Original 21D Ladies' - 2018</v>
      </c>
      <c r="C9">
        <v>1063.981</v>
      </c>
      <c r="D9">
        <v>783.98599999999999</v>
      </c>
      <c r="E9">
        <v>26.32</v>
      </c>
    </row>
    <row r="10" spans="1:8" x14ac:dyDescent="0.25">
      <c r="A10">
        <v>243</v>
      </c>
      <c r="B10" t="str">
        <f>VLOOKUP(A10,'Product Dataset'!A:B,2,FALSE)</f>
        <v>Electra Townie Original 21D EQ Ladies' - 2018</v>
      </c>
      <c r="C10">
        <v>3875.9430000000002</v>
      </c>
      <c r="D10">
        <v>2855.9580000000001</v>
      </c>
      <c r="E10">
        <v>26.32</v>
      </c>
    </row>
    <row r="11" spans="1:8" x14ac:dyDescent="0.25">
      <c r="A11">
        <v>192</v>
      </c>
      <c r="B11" t="str">
        <f>VLOOKUP(A11,'Product Dataset'!A:B,2,FALSE)</f>
        <v>Electra Townie Go! 8i - 2017/2018</v>
      </c>
      <c r="C11">
        <v>2469.9904999999999</v>
      </c>
      <c r="D11">
        <v>1819.9929999999999</v>
      </c>
      <c r="E11">
        <v>26.32</v>
      </c>
    </row>
    <row r="12" spans="1:8" x14ac:dyDescent="0.25">
      <c r="A12">
        <v>177</v>
      </c>
      <c r="B12" t="str">
        <f>VLOOKUP(A12,'Product Dataset'!A:B,2,FALSE)</f>
        <v>Trek Domane SLR 6 Disc - 2018</v>
      </c>
      <c r="C12">
        <v>10449.981</v>
      </c>
      <c r="D12">
        <v>7699.9859999999999</v>
      </c>
      <c r="E12">
        <v>26.32</v>
      </c>
    </row>
    <row r="13" spans="1:8" x14ac:dyDescent="0.25">
      <c r="A13">
        <v>287</v>
      </c>
      <c r="B13" t="str">
        <f>VLOOKUP(A13,'Product Dataset'!A:B,2,FALSE)</f>
        <v>Electra Straight 8 1 (16-inch) - Boy's - 2018</v>
      </c>
      <c r="C13">
        <v>265.9905</v>
      </c>
      <c r="D13">
        <v>195.99299999999999</v>
      </c>
      <c r="E13">
        <v>26.32</v>
      </c>
    </row>
    <row r="14" spans="1:8" x14ac:dyDescent="0.25">
      <c r="A14">
        <v>167</v>
      </c>
      <c r="B14" t="str">
        <f>VLOOKUP(A14,'Product Dataset'!A:B,2,FALSE)</f>
        <v>Surly ECR Frameset - 2018</v>
      </c>
      <c r="C14">
        <v>712.4905</v>
      </c>
      <c r="D14">
        <v>524.99300000000005</v>
      </c>
      <c r="E14">
        <v>26.32</v>
      </c>
    </row>
    <row r="15" spans="1:8" x14ac:dyDescent="0.25">
      <c r="A15">
        <v>211</v>
      </c>
      <c r="B15" t="str">
        <f>VLOOKUP(A15,'Product Dataset'!A:B,2,FALSE)</f>
        <v>Surly Straggler 650b - 2018</v>
      </c>
      <c r="C15">
        <v>2943.1</v>
      </c>
      <c r="D15">
        <v>2168.6</v>
      </c>
      <c r="E15">
        <v>26.32</v>
      </c>
    </row>
    <row r="16" spans="1:8" x14ac:dyDescent="0.25">
      <c r="A16">
        <v>290</v>
      </c>
      <c r="B16" t="str">
        <f>VLOOKUP(A16,'Product Dataset'!A:B,2,FALSE)</f>
        <v>Electra Superbolt 3i 20 - 2018</v>
      </c>
      <c r="C16">
        <v>351.4905</v>
      </c>
      <c r="D16">
        <v>258.99299999999999</v>
      </c>
      <c r="E16">
        <v>26.32</v>
      </c>
    </row>
    <row r="17" spans="1:5" x14ac:dyDescent="0.25">
      <c r="A17">
        <v>280</v>
      </c>
      <c r="B17" t="str">
        <f>VLOOKUP(A17,'Product Dataset'!A:B,2,FALSE)</f>
        <v>Trek Superfly 24 - 2017/2018</v>
      </c>
      <c r="C17">
        <v>465.4905</v>
      </c>
      <c r="D17">
        <v>342.99299999999999</v>
      </c>
      <c r="E17">
        <v>26.32</v>
      </c>
    </row>
    <row r="18" spans="1:5" x14ac:dyDescent="0.25">
      <c r="A18">
        <v>237</v>
      </c>
      <c r="B18" t="str">
        <f>VLOOKUP(A18,'Product Dataset'!A:B,2,FALSE)</f>
        <v>Electra Relic 3i - 2018</v>
      </c>
      <c r="C18">
        <v>4844.9430000000002</v>
      </c>
      <c r="D18">
        <v>3569.9580000000001</v>
      </c>
      <c r="E18">
        <v>26.32</v>
      </c>
    </row>
    <row r="19" spans="1:5" x14ac:dyDescent="0.25">
      <c r="A19">
        <v>227</v>
      </c>
      <c r="B19" t="str">
        <f>VLOOKUP(A19,'Product Dataset'!A:B,2,FALSE)</f>
        <v>Electra Cruiser 7D (24-Inch) Ladies' - 2016/2018</v>
      </c>
      <c r="C19">
        <v>1209.5622000000001</v>
      </c>
      <c r="D19">
        <v>895.97199999999998</v>
      </c>
      <c r="E19">
        <v>25.93</v>
      </c>
    </row>
    <row r="20" spans="1:5" x14ac:dyDescent="0.25">
      <c r="A20">
        <v>233</v>
      </c>
      <c r="B20" t="str">
        <f>VLOOKUP(A20,'Product Dataset'!A:B,2,FALSE)</f>
        <v>Electra Cruiser Lux Fat Tire 7D - 2018</v>
      </c>
      <c r="C20">
        <v>1811.1717000000001</v>
      </c>
      <c r="D20">
        <v>1343.979</v>
      </c>
      <c r="E20">
        <v>25.8</v>
      </c>
    </row>
    <row r="21" spans="1:5" x14ac:dyDescent="0.25">
      <c r="A21">
        <v>246</v>
      </c>
      <c r="B21" t="str">
        <f>VLOOKUP(A21,'Product Dataset'!A:B,2,FALSE)</f>
        <v>Electra Townie Original 3i EQ Ladies' - 2018</v>
      </c>
      <c r="C21">
        <v>1811.1717000000001</v>
      </c>
      <c r="D21">
        <v>1343.979</v>
      </c>
      <c r="E21">
        <v>25.8</v>
      </c>
    </row>
    <row r="22" spans="1:5" x14ac:dyDescent="0.25">
      <c r="A22">
        <v>119</v>
      </c>
      <c r="B22" t="str">
        <f>VLOOKUP(A22,'Product Dataset'!A:B,2,FALSE)</f>
        <v>Trek Kids' Neko - 2018</v>
      </c>
      <c r="C22">
        <v>2213.6529</v>
      </c>
      <c r="D22">
        <v>1644.9649999999999</v>
      </c>
      <c r="E22">
        <v>25.69</v>
      </c>
    </row>
    <row r="23" spans="1:5" x14ac:dyDescent="0.25">
      <c r="A23">
        <v>293</v>
      </c>
      <c r="B23" t="str">
        <f>VLOOKUP(A23,'Product Dataset'!A:B,2,FALSE)</f>
        <v>Electra Tiger Shark 1 (20-inch) - Boys' - 2018</v>
      </c>
      <c r="C23">
        <v>1804.7436</v>
      </c>
      <c r="D23">
        <v>1343.9580000000001</v>
      </c>
      <c r="E23">
        <v>25.53</v>
      </c>
    </row>
    <row r="24" spans="1:5" x14ac:dyDescent="0.25">
      <c r="A24">
        <v>298</v>
      </c>
      <c r="B24" t="str">
        <f>VLOOKUP(A24,'Product Dataset'!A:B,2,FALSE)</f>
        <v>Electra Water Lily 1 (16-inch) - Girl's - 2018</v>
      </c>
      <c r="C24">
        <v>1315.953</v>
      </c>
      <c r="D24">
        <v>979.96500000000003</v>
      </c>
      <c r="E24">
        <v>25.53</v>
      </c>
    </row>
    <row r="25" spans="1:5" x14ac:dyDescent="0.25">
      <c r="A25">
        <v>117</v>
      </c>
      <c r="B25" t="str">
        <f>VLOOKUP(A25,'Product Dataset'!A:B,2,FALSE)</f>
        <v>Trek Ticket S Frame - 2018</v>
      </c>
      <c r="C25">
        <v>5527.1624000000002</v>
      </c>
      <c r="D25">
        <v>4115.9719999999998</v>
      </c>
      <c r="E25">
        <v>25.53</v>
      </c>
    </row>
    <row r="26" spans="1:5" x14ac:dyDescent="0.25">
      <c r="A26">
        <v>310</v>
      </c>
      <c r="B26" t="str">
        <f>VLOOKUP(A26,'Product Dataset'!A:B,2,FALSE)</f>
        <v>Electra Townie Commute 27D Ladies - 2018</v>
      </c>
      <c r="C26">
        <v>5912.9342999999999</v>
      </c>
      <c r="D26">
        <v>4409.951</v>
      </c>
      <c r="E26">
        <v>25.42</v>
      </c>
    </row>
    <row r="27" spans="1:5" x14ac:dyDescent="0.25">
      <c r="A27">
        <v>159</v>
      </c>
      <c r="B27" t="str">
        <f>VLOOKUP(A27,'Product Dataset'!A:B,2,FALSE)</f>
        <v>Trek Emonda ALR 6 - 2018</v>
      </c>
      <c r="C27">
        <v>15110.934300000001</v>
      </c>
      <c r="D27">
        <v>11269.950999999999</v>
      </c>
      <c r="E27">
        <v>25.42</v>
      </c>
    </row>
    <row r="28" spans="1:5" x14ac:dyDescent="0.25">
      <c r="A28">
        <v>139</v>
      </c>
      <c r="B28" t="str">
        <f>VLOOKUP(A28,'Product Dataset'!A:B,2,FALSE)</f>
        <v>Trek Remedy 7 27.5 - 2018</v>
      </c>
      <c r="C28">
        <v>14069.953100000001</v>
      </c>
      <c r="D28">
        <v>10499.965</v>
      </c>
      <c r="E28">
        <v>25.37</v>
      </c>
    </row>
    <row r="29" spans="1:5" x14ac:dyDescent="0.25">
      <c r="A29">
        <v>244</v>
      </c>
      <c r="B29" t="str">
        <f>VLOOKUP(A29,'Product Dataset'!A:B,2,FALSE)</f>
        <v>Electra Townie Original 21D Ladies' - 2018</v>
      </c>
      <c r="C29">
        <v>1573.5718999999999</v>
      </c>
      <c r="D29">
        <v>1175.979</v>
      </c>
      <c r="E29">
        <v>25.27</v>
      </c>
    </row>
    <row r="30" spans="1:5" x14ac:dyDescent="0.25">
      <c r="A30">
        <v>179</v>
      </c>
      <c r="B30" t="str">
        <f>VLOOKUP(A30,'Product Dataset'!A:B,2,FALSE)</f>
        <v>Trek Domane AL 3 - 2018</v>
      </c>
      <c r="C30">
        <v>2585.1718999999998</v>
      </c>
      <c r="D30">
        <v>1931.979</v>
      </c>
      <c r="E30">
        <v>25.27</v>
      </c>
    </row>
    <row r="31" spans="1:5" x14ac:dyDescent="0.25">
      <c r="A31">
        <v>306</v>
      </c>
      <c r="B31" t="str">
        <f>VLOOKUP(A31,'Product Dataset'!A:B,2,FALSE)</f>
        <v>Electra Townie Balloon 7i EQ Ladies' - 2017/2018</v>
      </c>
      <c r="C31">
        <v>5039.9440000000004</v>
      </c>
      <c r="D31">
        <v>3779.9580000000001</v>
      </c>
      <c r="E31">
        <v>25</v>
      </c>
    </row>
    <row r="32" spans="1:5" x14ac:dyDescent="0.25">
      <c r="A32">
        <v>134</v>
      </c>
      <c r="B32" t="str">
        <f>VLOOKUP(A32,'Product Dataset'!A:B,2,FALSE)</f>
        <v>Trek Remedy 27.5 C Frameset - 2018</v>
      </c>
      <c r="C32">
        <v>4199.9719999999998</v>
      </c>
      <c r="D32">
        <v>3149.9789999999998</v>
      </c>
      <c r="E32">
        <v>25</v>
      </c>
    </row>
    <row r="33" spans="1:5" x14ac:dyDescent="0.25">
      <c r="A33">
        <v>205</v>
      </c>
      <c r="B33" t="str">
        <f>VLOOKUP(A33,'Product Dataset'!A:B,2,FALSE)</f>
        <v>Trek Super Commuter+ 8S - 2018</v>
      </c>
      <c r="C33">
        <v>37299.9254</v>
      </c>
      <c r="D33">
        <v>27999.944</v>
      </c>
      <c r="E33">
        <v>24.93</v>
      </c>
    </row>
    <row r="34" spans="1:5" x14ac:dyDescent="0.25">
      <c r="A34">
        <v>223</v>
      </c>
      <c r="B34" t="str">
        <f>VLOOKUP(A34,'Product Dataset'!A:B,2,FALSE)</f>
        <v>Electra Cruiser Lux 3i - 2018</v>
      </c>
      <c r="C34">
        <v>3455.5347999999999</v>
      </c>
      <c r="D34">
        <v>2596.951</v>
      </c>
      <c r="E34">
        <v>24.85</v>
      </c>
    </row>
    <row r="35" spans="1:5" x14ac:dyDescent="0.25">
      <c r="A35">
        <v>309</v>
      </c>
      <c r="B35" t="str">
        <f>VLOOKUP(A35,'Product Dataset'!A:B,2,FALSE)</f>
        <v>Electra Townie Commute 27D - 2018</v>
      </c>
      <c r="C35">
        <v>836.99069999999995</v>
      </c>
      <c r="D35">
        <v>629.99300000000005</v>
      </c>
      <c r="E35">
        <v>24.73</v>
      </c>
    </row>
    <row r="36" spans="1:5" x14ac:dyDescent="0.25">
      <c r="A36">
        <v>288</v>
      </c>
      <c r="B36" t="str">
        <f>VLOOKUP(A36,'Product Dataset'!A:B,2,FALSE)</f>
        <v>Electra Straight 8 1 (20-inch) - Boy's - 2018</v>
      </c>
      <c r="C36">
        <v>362.69069999999999</v>
      </c>
      <c r="D36">
        <v>272.99299999999999</v>
      </c>
      <c r="E36">
        <v>24.73</v>
      </c>
    </row>
    <row r="37" spans="1:5" x14ac:dyDescent="0.25">
      <c r="A37">
        <v>281</v>
      </c>
      <c r="B37" t="str">
        <f>VLOOKUP(A37,'Product Dataset'!A:B,2,FALSE)</f>
        <v>Electra Cruiser 7D (24-Inch) Ladies' - 2016/2018</v>
      </c>
      <c r="C37">
        <v>892.77210000000002</v>
      </c>
      <c r="D37">
        <v>671.97900000000004</v>
      </c>
      <c r="E37">
        <v>24.73</v>
      </c>
    </row>
    <row r="38" spans="1:5" x14ac:dyDescent="0.25">
      <c r="A38">
        <v>250</v>
      </c>
      <c r="B38" t="str">
        <f>VLOOKUP(A38,'Product Dataset'!A:B,2,FALSE)</f>
        <v>Electra Townie Go! 8i - 2017/2018</v>
      </c>
      <c r="C38">
        <v>2417.9906999999998</v>
      </c>
      <c r="D38">
        <v>1819.9929999999999</v>
      </c>
      <c r="E38">
        <v>24.73</v>
      </c>
    </row>
    <row r="39" spans="1:5" x14ac:dyDescent="0.25">
      <c r="A39">
        <v>212</v>
      </c>
      <c r="B39" t="str">
        <f>VLOOKUP(A39,'Product Dataset'!A:B,2,FALSE)</f>
        <v>Electra Townie Original 21D - 2018</v>
      </c>
      <c r="C39">
        <v>520.79070000000002</v>
      </c>
      <c r="D39">
        <v>391.99299999999999</v>
      </c>
      <c r="E39">
        <v>24.73</v>
      </c>
    </row>
    <row r="40" spans="1:5" x14ac:dyDescent="0.25">
      <c r="A40">
        <v>169</v>
      </c>
      <c r="B40" t="str">
        <f>VLOOKUP(A40,'Product Dataset'!A:B,2,FALSE)</f>
        <v>Trek Emonda SLR 8 - 2018</v>
      </c>
      <c r="C40">
        <v>24179.962800000001</v>
      </c>
      <c r="D40">
        <v>18199.972000000002</v>
      </c>
      <c r="E40">
        <v>24.73</v>
      </c>
    </row>
    <row r="41" spans="1:5" x14ac:dyDescent="0.25">
      <c r="A41">
        <v>176</v>
      </c>
      <c r="B41" t="str">
        <f>VLOOKUP(A41,'Product Dataset'!A:B,2,FALSE)</f>
        <v>Trek Madone 9 Frameset - 2018</v>
      </c>
      <c r="C41">
        <v>2975.9906999999998</v>
      </c>
      <c r="D41">
        <v>2239.9929999999999</v>
      </c>
      <c r="E41">
        <v>24.73</v>
      </c>
    </row>
    <row r="42" spans="1:5" x14ac:dyDescent="0.25">
      <c r="A42">
        <v>307</v>
      </c>
      <c r="B42" t="str">
        <f>VLOOKUP(A42,'Product Dataset'!A:B,2,FALSE)</f>
        <v>Electra Townie Balloon 8D EQ - 2016/2017/2018</v>
      </c>
      <c r="C42">
        <v>2092.4721</v>
      </c>
      <c r="D42">
        <v>1574.979</v>
      </c>
      <c r="E42">
        <v>24.73</v>
      </c>
    </row>
    <row r="43" spans="1:5" x14ac:dyDescent="0.25">
      <c r="A43">
        <v>143</v>
      </c>
      <c r="B43" t="str">
        <f>VLOOKUP(A43,'Product Dataset'!A:B,2,FALSE)</f>
        <v>Trek Domane ALR 3 - 2018</v>
      </c>
      <c r="C43">
        <v>1022.9906999999999</v>
      </c>
      <c r="D43">
        <v>769.99300000000005</v>
      </c>
      <c r="E43">
        <v>24.73</v>
      </c>
    </row>
    <row r="44" spans="1:5" x14ac:dyDescent="0.25">
      <c r="A44">
        <v>175</v>
      </c>
      <c r="B44" t="str">
        <f>VLOOKUP(A44,'Product Dataset'!A:B,2,FALSE)</f>
        <v>Trek Domane SLR Frameset - 2018</v>
      </c>
      <c r="C44">
        <v>8927.9721000000009</v>
      </c>
      <c r="D44">
        <v>6719.9790000000003</v>
      </c>
      <c r="E44">
        <v>24.73</v>
      </c>
    </row>
    <row r="45" spans="1:5" x14ac:dyDescent="0.25">
      <c r="A45">
        <v>303</v>
      </c>
      <c r="B45" t="str">
        <f>VLOOKUP(A45,'Product Dataset'!A:B,2,FALSE)</f>
        <v>Electra Townie Go! 8i - 2017/2018</v>
      </c>
      <c r="C45">
        <v>4835.9813999999997</v>
      </c>
      <c r="D45">
        <v>3639.9859999999999</v>
      </c>
      <c r="E45">
        <v>24.73</v>
      </c>
    </row>
    <row r="46" spans="1:5" x14ac:dyDescent="0.25">
      <c r="A46">
        <v>170</v>
      </c>
      <c r="B46" t="str">
        <f>VLOOKUP(A46,'Product Dataset'!A:B,2,FALSE)</f>
        <v>Trek CrossRip 2 - 2018</v>
      </c>
      <c r="C46">
        <v>1208.9907000000001</v>
      </c>
      <c r="D46">
        <v>909.99300000000005</v>
      </c>
      <c r="E46">
        <v>24.73</v>
      </c>
    </row>
    <row r="47" spans="1:5" x14ac:dyDescent="0.25">
      <c r="A47">
        <v>273</v>
      </c>
      <c r="B47" t="str">
        <f>VLOOKUP(A47,'Product Dataset'!A:B,2,FALSE)</f>
        <v>Trek Precaliber 20 6-speed Girl's - 2018</v>
      </c>
      <c r="C47">
        <v>269.69069999999999</v>
      </c>
      <c r="D47">
        <v>202.99299999999999</v>
      </c>
      <c r="E47">
        <v>24.73</v>
      </c>
    </row>
    <row r="48" spans="1:5" x14ac:dyDescent="0.25">
      <c r="A48">
        <v>200</v>
      </c>
      <c r="B48" t="str">
        <f>VLOOKUP(A48,'Product Dataset'!A:B,2,FALSE)</f>
        <v>Trek Powerfly 5 - 2018</v>
      </c>
      <c r="C48">
        <v>3254.9906999999998</v>
      </c>
      <c r="D48">
        <v>2449.9929999999999</v>
      </c>
      <c r="E48">
        <v>24.73</v>
      </c>
    </row>
    <row r="49" spans="1:5" x14ac:dyDescent="0.25">
      <c r="A49">
        <v>147</v>
      </c>
      <c r="B49" t="str">
        <f>VLOOKUP(A49,'Product Dataset'!A:B,2,FALSE)</f>
        <v>Trek Domane ALR 5 Gravel - 2018</v>
      </c>
      <c r="C49">
        <v>11681.935100000001</v>
      </c>
      <c r="D49">
        <v>8819.9509999999991</v>
      </c>
      <c r="E49">
        <v>24.5</v>
      </c>
    </row>
    <row r="50" spans="1:5" x14ac:dyDescent="0.25">
      <c r="A50">
        <v>245</v>
      </c>
      <c r="B50" t="str">
        <f>VLOOKUP(A50,'Product Dataset'!A:B,2,FALSE)</f>
        <v>Electra Townie Original 3i EQ - 2017/2018</v>
      </c>
      <c r="C50">
        <v>1834.7722000000001</v>
      </c>
      <c r="D50">
        <v>1385.979</v>
      </c>
      <c r="E50">
        <v>24.46</v>
      </c>
    </row>
    <row r="51" spans="1:5" x14ac:dyDescent="0.25">
      <c r="A51">
        <v>264</v>
      </c>
      <c r="B51" t="str">
        <f>VLOOKUP(A51,'Product Dataset'!A:B,2,FALSE)</f>
        <v>Strider Sport 16 - 2018</v>
      </c>
      <c r="C51">
        <v>1157.4537</v>
      </c>
      <c r="D51">
        <v>874.96500000000003</v>
      </c>
      <c r="E51">
        <v>24.41</v>
      </c>
    </row>
    <row r="52" spans="1:5" x14ac:dyDescent="0.25">
      <c r="A52">
        <v>202</v>
      </c>
      <c r="B52" t="str">
        <f>VLOOKUP(A52,'Product Dataset'!A:B,2,FALSE)</f>
        <v>Trek Powerfly 5 Women's - 2018</v>
      </c>
      <c r="C52">
        <v>16204.9537</v>
      </c>
      <c r="D52">
        <v>12249.965</v>
      </c>
      <c r="E52">
        <v>24.41</v>
      </c>
    </row>
    <row r="53" spans="1:5" x14ac:dyDescent="0.25">
      <c r="A53">
        <v>51</v>
      </c>
      <c r="B53" t="str">
        <f>VLOOKUP(A53,'Product Dataset'!A:B,2,FALSE)</f>
        <v>Trek Silque SLR 8 Women's - 2017</v>
      </c>
      <c r="C53">
        <v>174524.73149999999</v>
      </c>
      <c r="D53">
        <v>131949.79699999999</v>
      </c>
      <c r="E53">
        <v>24.39</v>
      </c>
    </row>
    <row r="54" spans="1:5" x14ac:dyDescent="0.25">
      <c r="A54">
        <v>215</v>
      </c>
      <c r="B54" t="str">
        <f>VLOOKUP(A54,'Product Dataset'!A:B,2,FALSE)</f>
        <v>Electra Queen of Hearts 3i - 2018</v>
      </c>
      <c r="C54">
        <v>4162.4444999999996</v>
      </c>
      <c r="D54">
        <v>3149.9580000000001</v>
      </c>
      <c r="E54">
        <v>24.32</v>
      </c>
    </row>
    <row r="55" spans="1:5" x14ac:dyDescent="0.25">
      <c r="A55">
        <v>221</v>
      </c>
      <c r="B55" t="str">
        <f>VLOOKUP(A55,'Product Dataset'!A:B,2,FALSE)</f>
        <v>Electra Cruiser 7D Ladies' - 2016/2018</v>
      </c>
      <c r="C55">
        <v>591.98149999999998</v>
      </c>
      <c r="D55">
        <v>447.98599999999999</v>
      </c>
      <c r="E55">
        <v>24.32</v>
      </c>
    </row>
    <row r="56" spans="1:5" x14ac:dyDescent="0.25">
      <c r="A56">
        <v>240</v>
      </c>
      <c r="B56" t="str">
        <f>VLOOKUP(A56,'Product Dataset'!A:B,2,FALSE)</f>
        <v>Electra Townie Commute 27D Ladies - 2018</v>
      </c>
      <c r="C56">
        <v>3329.9630000000002</v>
      </c>
      <c r="D56">
        <v>2519.9720000000002</v>
      </c>
      <c r="E56">
        <v>24.32</v>
      </c>
    </row>
    <row r="57" spans="1:5" x14ac:dyDescent="0.25">
      <c r="A57">
        <v>251</v>
      </c>
      <c r="B57" t="str">
        <f>VLOOKUP(A57,'Product Dataset'!A:B,2,FALSE)</f>
        <v>Electra Townie Commute Go! - 2018</v>
      </c>
      <c r="C57">
        <v>16649.944500000001</v>
      </c>
      <c r="D57">
        <v>12599.958000000001</v>
      </c>
      <c r="E57">
        <v>24.32</v>
      </c>
    </row>
    <row r="58" spans="1:5" x14ac:dyDescent="0.25">
      <c r="A58">
        <v>171</v>
      </c>
      <c r="B58" t="str">
        <f>VLOOKUP(A58,'Product Dataset'!A:B,2,FALSE)</f>
        <v>Trek Domane SL 6 - 2018</v>
      </c>
      <c r="C58">
        <v>23679.925999999999</v>
      </c>
      <c r="D58">
        <v>17919.944</v>
      </c>
      <c r="E58">
        <v>24.32</v>
      </c>
    </row>
    <row r="59" spans="1:5" x14ac:dyDescent="0.25">
      <c r="A59">
        <v>160</v>
      </c>
      <c r="B59" t="str">
        <f>VLOOKUP(A59,'Product Dataset'!A:B,2,FALSE)</f>
        <v>Trek Emonda SLR 6 - 2018</v>
      </c>
      <c r="C59">
        <v>20789.953799999999</v>
      </c>
      <c r="D59">
        <v>15749.965</v>
      </c>
      <c r="E59">
        <v>24.24</v>
      </c>
    </row>
    <row r="60" spans="1:5" x14ac:dyDescent="0.25">
      <c r="A60">
        <v>142</v>
      </c>
      <c r="B60" t="str">
        <f>VLOOKUP(A60,'Product Dataset'!A:B,2,FALSE)</f>
        <v>Trek Fuel EX 8 29 XT - 2018</v>
      </c>
      <c r="C60">
        <v>29503.907800000001</v>
      </c>
      <c r="D60">
        <v>22399.93</v>
      </c>
      <c r="E60">
        <v>24.08</v>
      </c>
    </row>
    <row r="61" spans="1:5" x14ac:dyDescent="0.25">
      <c r="A61">
        <v>187</v>
      </c>
      <c r="B61" t="str">
        <f>VLOOKUP(A61,'Product Dataset'!A:B,2,FALSE)</f>
        <v>Trek Neko+ - 2018</v>
      </c>
      <c r="C61">
        <v>7727.9723999999997</v>
      </c>
      <c r="D61">
        <v>5879.9790000000003</v>
      </c>
      <c r="E61">
        <v>23.91</v>
      </c>
    </row>
    <row r="62" spans="1:5" x14ac:dyDescent="0.25">
      <c r="A62">
        <v>190</v>
      </c>
      <c r="B62" t="str">
        <f>VLOOKUP(A62,'Product Dataset'!A:B,2,FALSE)</f>
        <v>Trek Dual Sport+ - 2018</v>
      </c>
      <c r="C62">
        <v>15455.944799999999</v>
      </c>
      <c r="D62">
        <v>11759.958000000001</v>
      </c>
      <c r="E62">
        <v>23.91</v>
      </c>
    </row>
    <row r="63" spans="1:5" x14ac:dyDescent="0.25">
      <c r="A63">
        <v>133</v>
      </c>
      <c r="B63" t="str">
        <f>VLOOKUP(A63,'Product Dataset'!A:B,2,FALSE)</f>
        <v>Trek Procaliber Frameset - 2018</v>
      </c>
      <c r="C63">
        <v>4139.9723999999997</v>
      </c>
      <c r="D63">
        <v>3149.9789999999998</v>
      </c>
      <c r="E63">
        <v>23.91</v>
      </c>
    </row>
    <row r="64" spans="1:5" x14ac:dyDescent="0.25">
      <c r="A64">
        <v>302</v>
      </c>
      <c r="B64" t="str">
        <f>VLOOKUP(A64,'Product Dataset'!A:B,2,FALSE)</f>
        <v>Electra Townie Original 1 - 2018</v>
      </c>
      <c r="C64">
        <v>2069.9540000000002</v>
      </c>
      <c r="D64">
        <v>1574.9649999999999</v>
      </c>
      <c r="E64">
        <v>23.91</v>
      </c>
    </row>
    <row r="65" spans="1:5" x14ac:dyDescent="0.25">
      <c r="A65">
        <v>116</v>
      </c>
      <c r="B65" t="str">
        <f>VLOOKUP(A65,'Product Dataset'!A:B,2,FALSE)</f>
        <v>Trek Marlin 7 - 2017/2018</v>
      </c>
      <c r="C65">
        <v>2069.9724000000001</v>
      </c>
      <c r="D65">
        <v>1574.979</v>
      </c>
      <c r="E65">
        <v>23.91</v>
      </c>
    </row>
    <row r="66" spans="1:5" x14ac:dyDescent="0.25">
      <c r="A66">
        <v>292</v>
      </c>
      <c r="B66" t="str">
        <f>VLOOKUP(A66,'Product Dataset'!A:B,2,FALSE)</f>
        <v>Electra Sweet Ride 3i (20-inch) - Girls' - 2018</v>
      </c>
      <c r="C66">
        <v>1701.954</v>
      </c>
      <c r="D66">
        <v>1294.9649999999999</v>
      </c>
      <c r="E66">
        <v>23.91</v>
      </c>
    </row>
    <row r="67" spans="1:5" x14ac:dyDescent="0.25">
      <c r="A67">
        <v>261</v>
      </c>
      <c r="B67" t="str">
        <f>VLOOKUP(A67,'Product Dataset'!A:B,2,FALSE)</f>
        <v>Electra Townie Balloon 7i EQ - 2018</v>
      </c>
      <c r="C67">
        <v>2483.9724000000001</v>
      </c>
      <c r="D67">
        <v>1889.979</v>
      </c>
      <c r="E67">
        <v>23.91</v>
      </c>
    </row>
    <row r="68" spans="1:5" x14ac:dyDescent="0.25">
      <c r="A68">
        <v>61</v>
      </c>
      <c r="B68" t="str">
        <f>VLOOKUP(A68,'Product Dataset'!A:B,2,FALSE)</f>
        <v>Trek Powerfly 8 FS Plus - 2017</v>
      </c>
      <c r="C68">
        <v>188249.62349999999</v>
      </c>
      <c r="D68">
        <v>143499.71299999999</v>
      </c>
      <c r="E68">
        <v>23.77</v>
      </c>
    </row>
    <row r="69" spans="1:5" x14ac:dyDescent="0.25">
      <c r="A69">
        <v>234</v>
      </c>
      <c r="B69" t="str">
        <f>VLOOKUP(A69,'Product Dataset'!A:B,2,FALSE)</f>
        <v>Electra Daydreamer 3i Ladies' - 2018</v>
      </c>
      <c r="C69">
        <v>4949.9449999999997</v>
      </c>
      <c r="D69">
        <v>3779.9580000000001</v>
      </c>
      <c r="E69">
        <v>23.64</v>
      </c>
    </row>
    <row r="70" spans="1:5" x14ac:dyDescent="0.25">
      <c r="A70">
        <v>102</v>
      </c>
      <c r="B70" t="str">
        <f>VLOOKUP(A70,'Product Dataset'!A:B,2,FALSE)</f>
        <v>Electra Townie Original 7D - 2017</v>
      </c>
      <c r="C70">
        <v>17502.442800000001</v>
      </c>
      <c r="D70">
        <v>13376.727000000001</v>
      </c>
      <c r="E70">
        <v>23.57</v>
      </c>
    </row>
    <row r="71" spans="1:5" x14ac:dyDescent="0.25">
      <c r="A71">
        <v>206</v>
      </c>
      <c r="B71" t="str">
        <f>VLOOKUP(A71,'Product Dataset'!A:B,2,FALSE)</f>
        <v>Trek Boone 5 Disc - 2018</v>
      </c>
      <c r="C71">
        <v>6038.9817000000003</v>
      </c>
      <c r="D71">
        <v>4619.9859999999999</v>
      </c>
      <c r="E71">
        <v>23.5</v>
      </c>
    </row>
    <row r="72" spans="1:5" x14ac:dyDescent="0.25">
      <c r="A72">
        <v>220</v>
      </c>
      <c r="B72" t="str">
        <f>VLOOKUP(A72,'Product Dataset'!A:B,2,FALSE)</f>
        <v>Electra Cruiser 1 Ladies' - 2018</v>
      </c>
      <c r="C72">
        <v>1482.2451000000001</v>
      </c>
      <c r="D72">
        <v>1133.9580000000001</v>
      </c>
      <c r="E72">
        <v>23.5</v>
      </c>
    </row>
    <row r="73" spans="1:5" x14ac:dyDescent="0.25">
      <c r="A73">
        <v>71</v>
      </c>
      <c r="B73" t="str">
        <f>VLOOKUP(A73,'Product Dataset'!A:B,2,FALSE)</f>
        <v>Sun Bicycles Atlas X-Type - 2017</v>
      </c>
      <c r="C73">
        <v>15620.445400000001</v>
      </c>
      <c r="D73">
        <v>11967.612999999999</v>
      </c>
      <c r="E73">
        <v>23.38</v>
      </c>
    </row>
    <row r="74" spans="1:5" x14ac:dyDescent="0.25">
      <c r="A74">
        <v>41</v>
      </c>
      <c r="B74" t="str">
        <f>VLOOKUP(A74,'Product Dataset'!A:B,2,FALSE)</f>
        <v>Haro Shift R3 - 2017</v>
      </c>
      <c r="C74">
        <v>46980.880400000002</v>
      </c>
      <c r="D74">
        <v>36014.754999999997</v>
      </c>
      <c r="E74">
        <v>23.34</v>
      </c>
    </row>
    <row r="75" spans="1:5" x14ac:dyDescent="0.25">
      <c r="A75">
        <v>203</v>
      </c>
      <c r="B75" t="str">
        <f>VLOOKUP(A75,'Product Dataset'!A:B,2,FALSE)</f>
        <v>Trek Powerfly 7 FS - 2018</v>
      </c>
      <c r="C75">
        <v>36499.927000000003</v>
      </c>
      <c r="D75">
        <v>27999.944</v>
      </c>
      <c r="E75">
        <v>23.29</v>
      </c>
    </row>
    <row r="76" spans="1:5" x14ac:dyDescent="0.25">
      <c r="A76">
        <v>149</v>
      </c>
      <c r="B76" t="str">
        <f>VLOOKUP(A76,'Product Dataset'!A:B,2,FALSE)</f>
        <v>Trek Domane SLR 8 Disc - 2018</v>
      </c>
      <c r="C76">
        <v>27374.963500000002</v>
      </c>
      <c r="D76">
        <v>20999.972000000002</v>
      </c>
      <c r="E76">
        <v>23.29</v>
      </c>
    </row>
    <row r="77" spans="1:5" x14ac:dyDescent="0.25">
      <c r="A77">
        <v>68</v>
      </c>
      <c r="B77" t="str">
        <f>VLOOKUP(A77,'Product Dataset'!A:B,2,FALSE)</f>
        <v>Sun Bicycles Cruz 3 - 2017</v>
      </c>
      <c r="C77">
        <v>10673.7628</v>
      </c>
      <c r="D77">
        <v>8189.8180000000002</v>
      </c>
      <c r="E77">
        <v>23.27</v>
      </c>
    </row>
    <row r="78" spans="1:5" x14ac:dyDescent="0.25">
      <c r="A78">
        <v>214</v>
      </c>
      <c r="B78" t="str">
        <f>VLOOKUP(A78,'Product Dataset'!A:B,2,FALSE)</f>
        <v>Electra Tiger Shark 3i - 2018</v>
      </c>
      <c r="C78">
        <v>4103.9543999999996</v>
      </c>
      <c r="D78">
        <v>3149.9650000000001</v>
      </c>
      <c r="E78">
        <v>23.25</v>
      </c>
    </row>
    <row r="79" spans="1:5" x14ac:dyDescent="0.25">
      <c r="A79">
        <v>209</v>
      </c>
      <c r="B79" t="str">
        <f>VLOOKUP(A79,'Product Dataset'!A:B,2,FALSE)</f>
        <v>Trek Crockett 7 Disc - 2018</v>
      </c>
      <c r="C79">
        <v>13679.954400000001</v>
      </c>
      <c r="D79">
        <v>10499.965</v>
      </c>
      <c r="E79">
        <v>23.25</v>
      </c>
    </row>
    <row r="80" spans="1:5" x14ac:dyDescent="0.25">
      <c r="A80">
        <v>127</v>
      </c>
      <c r="B80" t="str">
        <f>VLOOKUP(A80,'Product Dataset'!A:B,2,FALSE)</f>
        <v>Surly Pack Rat Frameset - 2018</v>
      </c>
      <c r="C80">
        <v>2143.1543999999999</v>
      </c>
      <c r="D80">
        <v>1644.9649999999999</v>
      </c>
      <c r="E80">
        <v>23.25</v>
      </c>
    </row>
    <row r="81" spans="1:5" x14ac:dyDescent="0.25">
      <c r="A81">
        <v>181</v>
      </c>
      <c r="B81" t="str">
        <f>VLOOKUP(A81,'Product Dataset'!A:B,2,FALSE)</f>
        <v>Trek Domane SL 5 - 2018</v>
      </c>
      <c r="C81">
        <v>10031.954400000001</v>
      </c>
      <c r="D81">
        <v>7699.9650000000001</v>
      </c>
      <c r="E81">
        <v>23.25</v>
      </c>
    </row>
    <row r="82" spans="1:5" x14ac:dyDescent="0.25">
      <c r="A82">
        <v>74</v>
      </c>
      <c r="B82" t="str">
        <f>VLOOKUP(A82,'Product Dataset'!A:B,2,FALSE)</f>
        <v>Electra Cruiser Lux 1 - 2017</v>
      </c>
      <c r="C82">
        <v>10432.162899999999</v>
      </c>
      <c r="D82">
        <v>8007.8180000000002</v>
      </c>
      <c r="E82">
        <v>23.24</v>
      </c>
    </row>
    <row r="83" spans="1:5" x14ac:dyDescent="0.25">
      <c r="A83">
        <v>48</v>
      </c>
      <c r="B83" t="str">
        <f>VLOOKUP(A83,'Product Dataset'!A:B,2,FALSE)</f>
        <v>Trek Emonda S 4 - 2017</v>
      </c>
      <c r="C83">
        <v>57359.617599999998</v>
      </c>
      <c r="D83">
        <v>44099.705999999998</v>
      </c>
      <c r="E83">
        <v>23.12</v>
      </c>
    </row>
    <row r="84" spans="1:5" x14ac:dyDescent="0.25">
      <c r="A84">
        <v>75</v>
      </c>
      <c r="B84" t="str">
        <f>VLOOKUP(A84,'Product Dataset'!A:B,2,FALSE)</f>
        <v>Electra Cruiser Lux Fat Tire 1 Ladies - 2017</v>
      </c>
      <c r="C84">
        <v>14747.754199999999</v>
      </c>
      <c r="D84">
        <v>11339.811</v>
      </c>
      <c r="E84">
        <v>23.11</v>
      </c>
    </row>
    <row r="85" spans="1:5" x14ac:dyDescent="0.25">
      <c r="A85">
        <v>249</v>
      </c>
      <c r="B85" t="str">
        <f>VLOOKUP(A85,'Product Dataset'!A:B,2,FALSE)</f>
        <v>Electra White Water 3i - 2018</v>
      </c>
      <c r="C85">
        <v>3412.4544999999998</v>
      </c>
      <c r="D85">
        <v>2624.9650000000001</v>
      </c>
      <c r="E85">
        <v>23.08</v>
      </c>
    </row>
    <row r="86" spans="1:5" x14ac:dyDescent="0.25">
      <c r="A86">
        <v>255</v>
      </c>
      <c r="B86" t="str">
        <f>VLOOKUP(A86,'Product Dataset'!A:B,2,FALSE)</f>
        <v>Electra Townie Balloon 7i EQ Ladies' - 2017/2018</v>
      </c>
      <c r="C86">
        <v>2456.9726999999998</v>
      </c>
      <c r="D86">
        <v>1889.979</v>
      </c>
      <c r="E86">
        <v>23.08</v>
      </c>
    </row>
    <row r="87" spans="1:5" x14ac:dyDescent="0.25">
      <c r="A87">
        <v>191</v>
      </c>
      <c r="B87" t="str">
        <f>VLOOKUP(A87,'Product Dataset'!A:B,2,FALSE)</f>
        <v>Electra Loft Go! 8i - 2018</v>
      </c>
      <c r="C87">
        <v>7643.9727000000003</v>
      </c>
      <c r="D87">
        <v>5879.9790000000003</v>
      </c>
      <c r="E87">
        <v>23.08</v>
      </c>
    </row>
    <row r="88" spans="1:5" x14ac:dyDescent="0.25">
      <c r="A88">
        <v>228</v>
      </c>
      <c r="B88" t="str">
        <f>VLOOKUP(A88,'Product Dataset'!A:B,2,FALSE)</f>
        <v>Electra Cruiser 7D Tall - 2016/2018</v>
      </c>
      <c r="C88">
        <v>873.57270000000005</v>
      </c>
      <c r="D88">
        <v>671.97900000000004</v>
      </c>
      <c r="E88">
        <v>23.08</v>
      </c>
    </row>
    <row r="89" spans="1:5" x14ac:dyDescent="0.25">
      <c r="A89">
        <v>38</v>
      </c>
      <c r="B89" t="str">
        <f>VLOOKUP(A89,'Product Dataset'!A:B,2,FALSE)</f>
        <v>Haro Flightline Two 26 Plus - 2017</v>
      </c>
      <c r="C89">
        <v>14008.2453</v>
      </c>
      <c r="D89">
        <v>10779.804</v>
      </c>
      <c r="E89">
        <v>23.05</v>
      </c>
    </row>
    <row r="90" spans="1:5" x14ac:dyDescent="0.25">
      <c r="A90">
        <v>43</v>
      </c>
      <c r="B90" t="str">
        <f>VLOOKUP(A90,'Product Dataset'!A:B,2,FALSE)</f>
        <v>Trek Fuel EX 9.8 27.5 Plus - 2017</v>
      </c>
      <c r="C90">
        <v>159052.69990000001</v>
      </c>
      <c r="D90">
        <v>122429.769</v>
      </c>
      <c r="E90">
        <v>23.03</v>
      </c>
    </row>
    <row r="91" spans="1:5" x14ac:dyDescent="0.25">
      <c r="A91">
        <v>77</v>
      </c>
      <c r="B91" t="str">
        <f>VLOOKUP(A91,'Product Dataset'!A:B,2,FALSE)</f>
        <v>Electra Glam Punk 3i Ladies' - 2017</v>
      </c>
      <c r="C91">
        <v>27647.654399999999</v>
      </c>
      <c r="D91">
        <v>21279.734</v>
      </c>
      <c r="E91">
        <v>23.03</v>
      </c>
    </row>
    <row r="92" spans="1:5" x14ac:dyDescent="0.25">
      <c r="A92">
        <v>69</v>
      </c>
      <c r="B92" t="str">
        <f>VLOOKUP(A92,'Product Dataset'!A:B,2,FALSE)</f>
        <v>Sun Bicycles Cruz 7 - 2017</v>
      </c>
      <c r="C92">
        <v>10996.0263</v>
      </c>
      <c r="D92">
        <v>8464.8970000000008</v>
      </c>
      <c r="E92">
        <v>23.02</v>
      </c>
    </row>
    <row r="93" spans="1:5" x14ac:dyDescent="0.25">
      <c r="A93">
        <v>30</v>
      </c>
      <c r="B93" t="str">
        <f>VLOOKUP(A93,'Product Dataset'!A:B,2,FALSE)</f>
        <v>Surly Ice Cream Truck Frameset - 2017</v>
      </c>
      <c r="C93">
        <v>27269.727299999999</v>
      </c>
      <c r="D93">
        <v>20999.79</v>
      </c>
      <c r="E93">
        <v>22.99</v>
      </c>
    </row>
    <row r="94" spans="1:5" x14ac:dyDescent="0.25">
      <c r="A94">
        <v>185</v>
      </c>
      <c r="B94" t="str">
        <f>VLOOKUP(A94,'Product Dataset'!A:B,2,FALSE)</f>
        <v>Trek Conduit+ - 2018</v>
      </c>
      <c r="C94">
        <v>17807.936399999999</v>
      </c>
      <c r="D94">
        <v>13719.950999999999</v>
      </c>
      <c r="E94">
        <v>22.96</v>
      </c>
    </row>
    <row r="95" spans="1:5" x14ac:dyDescent="0.25">
      <c r="A95">
        <v>260</v>
      </c>
      <c r="B95" t="str">
        <f>VLOOKUP(A95,'Product Dataset'!A:B,2,FALSE)</f>
        <v>Electra Townie Balloon 3i EQ Ladies' - 2018</v>
      </c>
      <c r="C95">
        <v>4359.9454999999998</v>
      </c>
      <c r="D95">
        <v>3359.9580000000001</v>
      </c>
      <c r="E95">
        <v>22.94</v>
      </c>
    </row>
    <row r="96" spans="1:5" x14ac:dyDescent="0.25">
      <c r="A96">
        <v>21</v>
      </c>
      <c r="B96" t="str">
        <f>VLOOKUP(A96,'Product Dataset'!A:B,2,FALSE)</f>
        <v>Electra Cruiser 1 (24-Inch) - 2016</v>
      </c>
      <c r="C96">
        <v>34078.137799999997</v>
      </c>
      <c r="D96">
        <v>26270.026999999998</v>
      </c>
      <c r="E96">
        <v>22.91</v>
      </c>
    </row>
    <row r="97" spans="1:5" x14ac:dyDescent="0.25">
      <c r="A97">
        <v>112</v>
      </c>
      <c r="B97" t="str">
        <f>VLOOKUP(A97,'Product Dataset'!A:B,2,FALSE)</f>
        <v>Trek 820 - 2018</v>
      </c>
      <c r="C97">
        <v>1379.3637000000001</v>
      </c>
      <c r="D97">
        <v>1063.972</v>
      </c>
      <c r="E97">
        <v>22.87</v>
      </c>
    </row>
    <row r="98" spans="1:5" x14ac:dyDescent="0.25">
      <c r="A98">
        <v>32</v>
      </c>
      <c r="B98" t="str">
        <f>VLOOKUP(A98,'Product Dataset'!A:B,2,FALSE)</f>
        <v>Trek Farley Alloy Frameset - 2017</v>
      </c>
      <c r="C98">
        <v>11937.745999999999</v>
      </c>
      <c r="D98">
        <v>9211.8040000000001</v>
      </c>
      <c r="E98">
        <v>22.83</v>
      </c>
    </row>
    <row r="99" spans="1:5" x14ac:dyDescent="0.25">
      <c r="A99">
        <v>95</v>
      </c>
      <c r="B99" t="str">
        <f>VLOOKUP(A99,'Product Dataset'!A:B,2,FALSE)</f>
        <v>Electra Girl's Hawaii 1 16 - 2017</v>
      </c>
      <c r="C99">
        <v>12785.5738</v>
      </c>
      <c r="D99">
        <v>9869.6710000000003</v>
      </c>
      <c r="E99">
        <v>22.81</v>
      </c>
    </row>
    <row r="100" spans="1:5" x14ac:dyDescent="0.25">
      <c r="A100">
        <v>253</v>
      </c>
      <c r="B100" t="str">
        <f>VLOOKUP(A100,'Product Dataset'!A:B,2,FALSE)</f>
        <v>Electra Townie Go! 8i Ladies' - 2018</v>
      </c>
      <c r="C100">
        <v>14143.945599999999</v>
      </c>
      <c r="D100">
        <v>10919.958000000001</v>
      </c>
      <c r="E100">
        <v>22.79</v>
      </c>
    </row>
    <row r="101" spans="1:5" x14ac:dyDescent="0.25">
      <c r="A101">
        <v>78</v>
      </c>
      <c r="B101" t="str">
        <f>VLOOKUP(A101,'Product Dataset'!A:B,2,FALSE)</f>
        <v>Sun Bicycles Biscayne Tandem CB - 2017</v>
      </c>
      <c r="C101">
        <v>22899.9666</v>
      </c>
      <c r="D101">
        <v>17690.127</v>
      </c>
      <c r="E101">
        <v>22.75</v>
      </c>
    </row>
    <row r="102" spans="1:5" x14ac:dyDescent="0.25">
      <c r="A102">
        <v>155</v>
      </c>
      <c r="B102" t="str">
        <f>VLOOKUP(A102,'Product Dataset'!A:B,2,FALSE)</f>
        <v>Trek Domane SLR 9 Disc - 2018</v>
      </c>
      <c r="C102">
        <v>54359.954700000002</v>
      </c>
      <c r="D102">
        <v>41999.964999999997</v>
      </c>
      <c r="E102">
        <v>22.74</v>
      </c>
    </row>
    <row r="103" spans="1:5" x14ac:dyDescent="0.25">
      <c r="A103">
        <v>50</v>
      </c>
      <c r="B103" t="str">
        <f>VLOOKUP(A103,'Product Dataset'!A:B,2,FALSE)</f>
        <v>Trek Silque SLR 7 Women's - 2017</v>
      </c>
      <c r="C103">
        <v>163079.72820000001</v>
      </c>
      <c r="D103">
        <v>125999.79</v>
      </c>
      <c r="E103">
        <v>22.74</v>
      </c>
    </row>
    <row r="104" spans="1:5" x14ac:dyDescent="0.25">
      <c r="A104">
        <v>81</v>
      </c>
      <c r="B104" t="str">
        <f>VLOOKUP(A104,'Product Dataset'!A:B,2,FALSE)</f>
        <v>Electra Amsterdam Fashion 7i Ladies' - 2017</v>
      </c>
      <c r="C104">
        <v>39863.637600000002</v>
      </c>
      <c r="D104">
        <v>30799.72</v>
      </c>
      <c r="E104">
        <v>22.74</v>
      </c>
    </row>
    <row r="105" spans="1:5" x14ac:dyDescent="0.25">
      <c r="A105">
        <v>123</v>
      </c>
      <c r="B105" t="str">
        <f>VLOOKUP(A105,'Product Dataset'!A:B,2,FALSE)</f>
        <v>Trek Farley Carbon Frameset - 2018</v>
      </c>
      <c r="C105">
        <v>7239.9276</v>
      </c>
      <c r="D105">
        <v>5599.9440000000004</v>
      </c>
      <c r="E105">
        <v>22.65</v>
      </c>
    </row>
    <row r="106" spans="1:5" x14ac:dyDescent="0.25">
      <c r="A106">
        <v>252</v>
      </c>
      <c r="B106" t="str">
        <f>VLOOKUP(A106,'Product Dataset'!A:B,2,FALSE)</f>
        <v>Electra Townie Commute Go! Ladies' - 2018</v>
      </c>
      <c r="C106">
        <v>29849.9005</v>
      </c>
      <c r="D106">
        <v>23099.922999999999</v>
      </c>
      <c r="E106">
        <v>22.61</v>
      </c>
    </row>
    <row r="107" spans="1:5" x14ac:dyDescent="0.25">
      <c r="A107">
        <v>47</v>
      </c>
      <c r="B107" t="str">
        <f>VLOOKUP(A107,'Product Dataset'!A:B,2,FALSE)</f>
        <v>Trek Remedy 9.8 - 2017</v>
      </c>
      <c r="C107">
        <v>105469.80100000001</v>
      </c>
      <c r="D107">
        <v>81619.846000000005</v>
      </c>
      <c r="E107">
        <v>22.61</v>
      </c>
    </row>
    <row r="108" spans="1:5" x14ac:dyDescent="0.25">
      <c r="A108">
        <v>24</v>
      </c>
      <c r="B108" t="str">
        <f>VLOOKUP(A108,'Product Dataset'!A:B,2,FALSE)</f>
        <v>Electra Townie Original 21D - 2016</v>
      </c>
      <c r="C108">
        <v>67621.270499999999</v>
      </c>
      <c r="D108">
        <v>52359.048000000003</v>
      </c>
      <c r="E108">
        <v>22.57</v>
      </c>
    </row>
    <row r="109" spans="1:5" x14ac:dyDescent="0.25">
      <c r="A109">
        <v>110</v>
      </c>
      <c r="B109" t="str">
        <f>VLOOKUP(A109,'Product Dataset'!A:B,2,FALSE)</f>
        <v>Sun Bicycles Drifter 7 - 2017</v>
      </c>
      <c r="C109">
        <v>10644.374</v>
      </c>
      <c r="D109">
        <v>8242.3250000000007</v>
      </c>
      <c r="E109">
        <v>22.57</v>
      </c>
    </row>
    <row r="110" spans="1:5" x14ac:dyDescent="0.25">
      <c r="A110">
        <v>44</v>
      </c>
      <c r="B110" t="str">
        <f>VLOOKUP(A110,'Product Dataset'!A:B,2,FALSE)</f>
        <v>Haro SR 1.1 - 2017</v>
      </c>
      <c r="C110">
        <v>10740.401099999999</v>
      </c>
      <c r="D110">
        <v>8315.8459999999995</v>
      </c>
      <c r="E110">
        <v>22.57</v>
      </c>
    </row>
    <row r="111" spans="1:5" x14ac:dyDescent="0.25">
      <c r="A111">
        <v>8</v>
      </c>
      <c r="B111" t="str">
        <f>VLOOKUP(A111,'Product Dataset'!A:B,2,FALSE)</f>
        <v>Trek Remedy 29 Carbon Frameset - 2016</v>
      </c>
      <c r="C111">
        <v>203380.8701</v>
      </c>
      <c r="D111">
        <v>157499.125</v>
      </c>
      <c r="E111">
        <v>22.56</v>
      </c>
    </row>
    <row r="112" spans="1:5" x14ac:dyDescent="0.25">
      <c r="A112">
        <v>53</v>
      </c>
      <c r="B112" t="str">
        <f>VLOOKUP(A112,'Product Dataset'!A:B,2,FALSE)</f>
        <v>Surly Ogre Frameset - 2017</v>
      </c>
      <c r="C112">
        <v>14909.8012</v>
      </c>
      <c r="D112">
        <v>11549.846</v>
      </c>
      <c r="E112">
        <v>22.54</v>
      </c>
    </row>
    <row r="113" spans="1:5" x14ac:dyDescent="0.25">
      <c r="A113">
        <v>17</v>
      </c>
      <c r="B113" t="str">
        <f>VLOOKUP(A113,'Product Dataset'!A:B,2,FALSE)</f>
        <v>Pure Cycles Vine 8-Speed - 2016</v>
      </c>
      <c r="C113">
        <v>51531.48</v>
      </c>
      <c r="D113">
        <v>39939.9</v>
      </c>
      <c r="E113">
        <v>22.49</v>
      </c>
    </row>
    <row r="114" spans="1:5" x14ac:dyDescent="0.25">
      <c r="A114">
        <v>52</v>
      </c>
      <c r="B114" t="str">
        <f>VLOOKUP(A114,'Product Dataset'!A:B,2,FALSE)</f>
        <v>Surly Steamroller - 2017</v>
      </c>
      <c r="C114">
        <v>27690.043900000001</v>
      </c>
      <c r="D114">
        <v>21461.755000000001</v>
      </c>
      <c r="E114">
        <v>22.49</v>
      </c>
    </row>
    <row r="115" spans="1:5" x14ac:dyDescent="0.25">
      <c r="A115">
        <v>58</v>
      </c>
      <c r="B115" t="str">
        <f>VLOOKUP(A115,'Product Dataset'!A:B,2,FALSE)</f>
        <v>Trek Madone 9.2 - 2017</v>
      </c>
      <c r="C115">
        <v>175899.6482</v>
      </c>
      <c r="D115">
        <v>136499.72700000001</v>
      </c>
      <c r="E115">
        <v>22.4</v>
      </c>
    </row>
    <row r="116" spans="1:5" x14ac:dyDescent="0.25">
      <c r="A116">
        <v>18</v>
      </c>
      <c r="B116" t="str">
        <f>VLOOKUP(A116,'Product Dataset'!A:B,2,FALSE)</f>
        <v>Pure Cycles Western 3-Speed - Women's - 2015/2016</v>
      </c>
      <c r="C116">
        <v>54270.63</v>
      </c>
      <c r="D116">
        <v>42116.2</v>
      </c>
      <c r="E116">
        <v>22.4</v>
      </c>
    </row>
    <row r="117" spans="1:5" x14ac:dyDescent="0.25">
      <c r="A117">
        <v>130</v>
      </c>
      <c r="B117" t="str">
        <f>VLOOKUP(A117,'Product Dataset'!A:B,2,FALSE)</f>
        <v>Trek Stache Carbon Frameset - 2018</v>
      </c>
      <c r="C117">
        <v>4149.1549000000005</v>
      </c>
      <c r="D117">
        <v>3219.9650000000001</v>
      </c>
      <c r="E117">
        <v>22.39</v>
      </c>
    </row>
    <row r="118" spans="1:5" x14ac:dyDescent="0.25">
      <c r="A118">
        <v>166</v>
      </c>
      <c r="B118" t="str">
        <f>VLOOKUP(A118,'Product Dataset'!A:B,2,FALSE)</f>
        <v>Trek Domane AL 2 Women's - 2018</v>
      </c>
      <c r="C118">
        <v>3382.4549000000002</v>
      </c>
      <c r="D118">
        <v>2624.9650000000001</v>
      </c>
      <c r="E118">
        <v>22.39</v>
      </c>
    </row>
    <row r="119" spans="1:5" x14ac:dyDescent="0.25">
      <c r="A119">
        <v>115</v>
      </c>
      <c r="B119" t="str">
        <f>VLOOKUP(A119,'Product Dataset'!A:B,2,FALSE)</f>
        <v>Trek Fuel EX 8 29 - 2018</v>
      </c>
      <c r="C119">
        <v>14431.954900000001</v>
      </c>
      <c r="D119">
        <v>11199.965</v>
      </c>
      <c r="E119">
        <v>22.39</v>
      </c>
    </row>
    <row r="120" spans="1:5" x14ac:dyDescent="0.25">
      <c r="A120">
        <v>34</v>
      </c>
      <c r="B120" t="str">
        <f>VLOOKUP(A120,'Product Dataset'!A:B,2,FALSE)</f>
        <v>Trek Session DH 27.5 Carbon Frameset - 2017</v>
      </c>
      <c r="C120">
        <v>6781.9557000000004</v>
      </c>
      <c r="D120">
        <v>5263.8879999999999</v>
      </c>
      <c r="E120">
        <v>22.38</v>
      </c>
    </row>
    <row r="121" spans="1:5" x14ac:dyDescent="0.25">
      <c r="A121">
        <v>7</v>
      </c>
      <c r="B121" t="str">
        <f>VLOOKUP(A121,'Product Dataset'!A:B,2,FALSE)</f>
        <v>Trek Slash 8 27.5 - 2016</v>
      </c>
      <c r="C121">
        <v>555558.61109999998</v>
      </c>
      <c r="D121">
        <v>431198.92200000002</v>
      </c>
      <c r="E121">
        <v>22.38</v>
      </c>
    </row>
    <row r="122" spans="1:5" x14ac:dyDescent="0.25">
      <c r="A122">
        <v>89</v>
      </c>
      <c r="B122" t="str">
        <f>VLOOKUP(A122,'Product Dataset'!A:B,2,FALSE)</f>
        <v>Trek Precaliber 16 Boys - 2017</v>
      </c>
      <c r="C122">
        <v>5113.2565000000004</v>
      </c>
      <c r="D122">
        <v>3968.8110000000001</v>
      </c>
      <c r="E122">
        <v>22.38</v>
      </c>
    </row>
    <row r="123" spans="1:5" x14ac:dyDescent="0.25">
      <c r="A123">
        <v>106</v>
      </c>
      <c r="B123" t="str">
        <f>VLOOKUP(A123,'Product Dataset'!A:B,2,FALSE)</f>
        <v>Sun Bicycles Cruz 3 - 2017</v>
      </c>
      <c r="C123">
        <v>17036.6214</v>
      </c>
      <c r="D123">
        <v>13229.706</v>
      </c>
      <c r="E123">
        <v>22.35</v>
      </c>
    </row>
    <row r="124" spans="1:5" x14ac:dyDescent="0.25">
      <c r="A124">
        <v>76</v>
      </c>
      <c r="B124" t="str">
        <f>VLOOKUP(A124,'Product Dataset'!A:B,2,FALSE)</f>
        <v>Electra Girl's Hawaii 1 16 - 2017</v>
      </c>
      <c r="C124">
        <v>7301.7565999999997</v>
      </c>
      <c r="D124">
        <v>5669.8109999999997</v>
      </c>
      <c r="E124">
        <v>22.35</v>
      </c>
    </row>
    <row r="125" spans="1:5" x14ac:dyDescent="0.25">
      <c r="A125">
        <v>80</v>
      </c>
      <c r="B125" t="str">
        <f>VLOOKUP(A125,'Product Dataset'!A:B,2,FALSE)</f>
        <v>Sun Bicycles Brickell Tandem CB - 2017</v>
      </c>
      <c r="C125">
        <v>13045.2688</v>
      </c>
      <c r="D125">
        <v>10134.467000000001</v>
      </c>
      <c r="E125">
        <v>22.31</v>
      </c>
    </row>
    <row r="126" spans="1:5" x14ac:dyDescent="0.25">
      <c r="A126">
        <v>230</v>
      </c>
      <c r="B126" t="str">
        <f>VLOOKUP(A126,'Product Dataset'!A:B,2,FALSE)</f>
        <v>Electra Cruiser Lux 1 Ladies' - 2018</v>
      </c>
      <c r="C126">
        <v>3874.2098999999998</v>
      </c>
      <c r="D126">
        <v>3009.93</v>
      </c>
      <c r="E126">
        <v>22.31</v>
      </c>
    </row>
    <row r="127" spans="1:5" x14ac:dyDescent="0.25">
      <c r="A127">
        <v>26</v>
      </c>
      <c r="B127" t="str">
        <f>VLOOKUP(A127,'Product Dataset'!A:B,2,FALSE)</f>
        <v>Electra Townie Original 7D EQ - 2016</v>
      </c>
      <c r="C127">
        <v>72424.7929</v>
      </c>
      <c r="D127">
        <v>56279.061999999998</v>
      </c>
      <c r="E127">
        <v>22.29</v>
      </c>
    </row>
    <row r="128" spans="1:5" x14ac:dyDescent="0.25">
      <c r="A128">
        <v>12</v>
      </c>
      <c r="B128" t="str">
        <f>VLOOKUP(A128,'Product Dataset'!A:B,2,FALSE)</f>
        <v>Electra Townie Original 21D - 2016</v>
      </c>
      <c r="C128">
        <v>75772.122300000003</v>
      </c>
      <c r="D128">
        <v>58903.928999999996</v>
      </c>
      <c r="E128">
        <v>22.26</v>
      </c>
    </row>
    <row r="129" spans="1:5" x14ac:dyDescent="0.25">
      <c r="A129">
        <v>161</v>
      </c>
      <c r="B129" t="str">
        <f>VLOOKUP(A129,'Product Dataset'!A:B,2,FALSE)</f>
        <v>Surly ECR - 2018</v>
      </c>
      <c r="C129">
        <v>5127.3</v>
      </c>
      <c r="D129">
        <v>3987.9</v>
      </c>
      <c r="E129">
        <v>22.22</v>
      </c>
    </row>
    <row r="130" spans="1:5" x14ac:dyDescent="0.25">
      <c r="A130">
        <v>278</v>
      </c>
      <c r="B130" t="str">
        <f>VLOOKUP(A130,'Product Dataset'!A:B,2,FALSE)</f>
        <v>Trek Precaliber 24 21-speed Girl's - 2018</v>
      </c>
      <c r="C130">
        <v>665.98199999999997</v>
      </c>
      <c r="D130">
        <v>517.98599999999999</v>
      </c>
      <c r="E130">
        <v>22.22</v>
      </c>
    </row>
    <row r="131" spans="1:5" x14ac:dyDescent="0.25">
      <c r="A131">
        <v>271</v>
      </c>
      <c r="B131" t="str">
        <f>VLOOKUP(A131,'Product Dataset'!A:B,2,FALSE)</f>
        <v>Trek Precaliber 16 Girl's - 2018</v>
      </c>
      <c r="C131">
        <v>1511.9280000000001</v>
      </c>
      <c r="D131">
        <v>1175.944</v>
      </c>
      <c r="E131">
        <v>22.22</v>
      </c>
    </row>
    <row r="132" spans="1:5" x14ac:dyDescent="0.25">
      <c r="A132">
        <v>156</v>
      </c>
      <c r="B132" t="str">
        <f>VLOOKUP(A132,'Product Dataset'!A:B,2,FALSE)</f>
        <v>Trek Domane SL Frameset - 2018</v>
      </c>
      <c r="C132">
        <v>17549.973000000002</v>
      </c>
      <c r="D132">
        <v>13649.978999999999</v>
      </c>
      <c r="E132">
        <v>22.22</v>
      </c>
    </row>
    <row r="133" spans="1:5" x14ac:dyDescent="0.25">
      <c r="A133">
        <v>239</v>
      </c>
      <c r="B133" t="str">
        <f>VLOOKUP(A133,'Product Dataset'!A:B,2,FALSE)</f>
        <v>Electra Townie Balloon 8D EQ Ladies' - 2016/2017/2018</v>
      </c>
      <c r="C133">
        <v>674.99099999999999</v>
      </c>
      <c r="D133">
        <v>524.99300000000005</v>
      </c>
      <c r="E133">
        <v>22.22</v>
      </c>
    </row>
    <row r="134" spans="1:5" x14ac:dyDescent="0.25">
      <c r="A134">
        <v>266</v>
      </c>
      <c r="B134" t="str">
        <f>VLOOKUP(A134,'Product Dataset'!A:B,2,FALSE)</f>
        <v>Trek Superfly 20 - 2018</v>
      </c>
      <c r="C134">
        <v>359.99099999999999</v>
      </c>
      <c r="D134">
        <v>279.99299999999999</v>
      </c>
      <c r="E134">
        <v>22.22</v>
      </c>
    </row>
    <row r="135" spans="1:5" x14ac:dyDescent="0.25">
      <c r="A135">
        <v>305</v>
      </c>
      <c r="B135" t="str">
        <f>VLOOKUP(A135,'Product Dataset'!A:B,2,FALSE)</f>
        <v>Electra Townie Balloon 3i EQ - 2017/2018</v>
      </c>
      <c r="C135">
        <v>674.99099999999999</v>
      </c>
      <c r="D135">
        <v>524.99300000000005</v>
      </c>
      <c r="E135">
        <v>22.22</v>
      </c>
    </row>
    <row r="136" spans="1:5" x14ac:dyDescent="0.25">
      <c r="A136">
        <v>35</v>
      </c>
      <c r="B136" t="str">
        <f>VLOOKUP(A136,'Product Dataset'!A:B,2,FALSE)</f>
        <v>Sun Bicycles Spider 3i - 2017</v>
      </c>
      <c r="C136">
        <v>19491.966</v>
      </c>
      <c r="D136">
        <v>15160.418</v>
      </c>
      <c r="E136">
        <v>22.22</v>
      </c>
    </row>
    <row r="137" spans="1:5" x14ac:dyDescent="0.25">
      <c r="A137">
        <v>199</v>
      </c>
      <c r="B137" t="str">
        <f>VLOOKUP(A137,'Product Dataset'!A:B,2,FALSE)</f>
        <v>Electra Townie Commute Go! Ladies' - 2018</v>
      </c>
      <c r="C137">
        <v>5399.982</v>
      </c>
      <c r="D137">
        <v>4199.9859999999999</v>
      </c>
      <c r="E137">
        <v>22.22</v>
      </c>
    </row>
    <row r="138" spans="1:5" x14ac:dyDescent="0.25">
      <c r="A138">
        <v>222</v>
      </c>
      <c r="B138" t="str">
        <f>VLOOKUP(A138,'Product Dataset'!A:B,2,FALSE)</f>
        <v>Electra Cruiser 1 Tall - 2016/2018</v>
      </c>
      <c r="C138">
        <v>242.99100000000001</v>
      </c>
      <c r="D138">
        <v>188.99299999999999</v>
      </c>
      <c r="E138">
        <v>22.22</v>
      </c>
    </row>
    <row r="139" spans="1:5" x14ac:dyDescent="0.25">
      <c r="A139">
        <v>294</v>
      </c>
      <c r="B139" t="str">
        <f>VLOOKUP(A139,'Product Dataset'!A:B,2,FALSE)</f>
        <v>Electra Tiger Shark 3i (20-inch) - Boys' - 2018</v>
      </c>
      <c r="C139">
        <v>332.99099999999999</v>
      </c>
      <c r="D139">
        <v>258.99299999999999</v>
      </c>
      <c r="E139">
        <v>22.22</v>
      </c>
    </row>
    <row r="140" spans="1:5" x14ac:dyDescent="0.25">
      <c r="A140">
        <v>258</v>
      </c>
      <c r="B140" t="str">
        <f>VLOOKUP(A140,'Product Dataset'!A:B,2,FALSE)</f>
        <v>Electra Amsterdam Royal 8i - 2017/2018</v>
      </c>
      <c r="C140">
        <v>1133.9100000000001</v>
      </c>
      <c r="D140">
        <v>881.93</v>
      </c>
      <c r="E140">
        <v>22.22</v>
      </c>
    </row>
    <row r="141" spans="1:5" x14ac:dyDescent="0.25">
      <c r="A141">
        <v>162</v>
      </c>
      <c r="B141" t="str">
        <f>VLOOKUP(A141,'Product Dataset'!A:B,2,FALSE)</f>
        <v>Trek Emonda SL 6 Disc - 2018</v>
      </c>
      <c r="C141">
        <v>10799.964</v>
      </c>
      <c r="D141">
        <v>8399.9719999999998</v>
      </c>
      <c r="E141">
        <v>22.22</v>
      </c>
    </row>
    <row r="142" spans="1:5" x14ac:dyDescent="0.25">
      <c r="A142">
        <v>132</v>
      </c>
      <c r="B142" t="str">
        <f>VLOOKUP(A142,'Product Dataset'!A:B,2,FALSE)</f>
        <v>Trek Procal AL Frameset - 2018</v>
      </c>
      <c r="C142">
        <v>4049.973</v>
      </c>
      <c r="D142">
        <v>3149.9789999999998</v>
      </c>
      <c r="E142">
        <v>22.22</v>
      </c>
    </row>
    <row r="143" spans="1:5" x14ac:dyDescent="0.25">
      <c r="A143">
        <v>262</v>
      </c>
      <c r="B143" t="str">
        <f>VLOOKUP(A143,'Product Dataset'!A:B,2,FALSE)</f>
        <v>Trek MT 201 - 2018</v>
      </c>
      <c r="C143">
        <v>224.99100000000001</v>
      </c>
      <c r="D143">
        <v>174.99299999999999</v>
      </c>
      <c r="E143">
        <v>22.22</v>
      </c>
    </row>
    <row r="144" spans="1:5" x14ac:dyDescent="0.25">
      <c r="A144">
        <v>268</v>
      </c>
      <c r="B144" t="str">
        <f>VLOOKUP(A144,'Product Dataset'!A:B,2,FALSE)</f>
        <v>Trek Kickster - 2018</v>
      </c>
      <c r="C144">
        <v>1151.9280000000001</v>
      </c>
      <c r="D144">
        <v>895.94399999999996</v>
      </c>
      <c r="E144">
        <v>22.22</v>
      </c>
    </row>
    <row r="145" spans="1:5" x14ac:dyDescent="0.25">
      <c r="A145">
        <v>312</v>
      </c>
      <c r="B145" t="str">
        <f>VLOOKUP(A145,'Product Dataset'!A:B,2,FALSE)</f>
        <v>Electra Townie Commute 8D Ladies' - 2018</v>
      </c>
      <c r="C145">
        <v>1259.982</v>
      </c>
      <c r="D145">
        <v>979.98599999999999</v>
      </c>
      <c r="E145">
        <v>22.22</v>
      </c>
    </row>
    <row r="146" spans="1:5" x14ac:dyDescent="0.25">
      <c r="A146">
        <v>256</v>
      </c>
      <c r="B146" t="str">
        <f>VLOOKUP(A146,'Product Dataset'!A:B,2,FALSE)</f>
        <v>Electra Townie Commute 27D - 2018</v>
      </c>
      <c r="C146">
        <v>809.99099999999999</v>
      </c>
      <c r="D146">
        <v>629.99300000000005</v>
      </c>
      <c r="E146">
        <v>22.22</v>
      </c>
    </row>
    <row r="147" spans="1:5" x14ac:dyDescent="0.25">
      <c r="A147">
        <v>36</v>
      </c>
      <c r="B147" t="str">
        <f>VLOOKUP(A147,'Product Dataset'!A:B,2,FALSE)</f>
        <v>Surly Troll Frameset - 2017</v>
      </c>
      <c r="C147">
        <v>34477.456100000003</v>
      </c>
      <c r="D147">
        <v>26822.277999999998</v>
      </c>
      <c r="E147">
        <v>22.2</v>
      </c>
    </row>
    <row r="148" spans="1:5" x14ac:dyDescent="0.25">
      <c r="A148">
        <v>25</v>
      </c>
      <c r="B148" t="str">
        <f>VLOOKUP(A148,'Product Dataset'!A:B,2,FALSE)</f>
        <v>Electra Townie Original 7D - 2015/2016</v>
      </c>
      <c r="C148">
        <v>66568.668600000005</v>
      </c>
      <c r="D148">
        <v>51798.964</v>
      </c>
      <c r="E148">
        <v>22.19</v>
      </c>
    </row>
    <row r="149" spans="1:5" x14ac:dyDescent="0.25">
      <c r="A149">
        <v>103</v>
      </c>
      <c r="B149" t="str">
        <f>VLOOKUP(A149,'Product Dataset'!A:B,2,FALSE)</f>
        <v>Sun Bicycles Streamway 3 - 2017</v>
      </c>
      <c r="C149">
        <v>19363.8092</v>
      </c>
      <c r="D149">
        <v>15069.326999999999</v>
      </c>
      <c r="E149">
        <v>22.18</v>
      </c>
    </row>
    <row r="150" spans="1:5" x14ac:dyDescent="0.25">
      <c r="A150">
        <v>31</v>
      </c>
      <c r="B150" t="str">
        <f>VLOOKUP(A150,'Product Dataset'!A:B,2,FALSE)</f>
        <v>Surly Wednesday - 2017</v>
      </c>
      <c r="C150">
        <v>26438.108100000001</v>
      </c>
      <c r="D150">
        <v>20575.673999999999</v>
      </c>
      <c r="E150">
        <v>22.17</v>
      </c>
    </row>
    <row r="151" spans="1:5" x14ac:dyDescent="0.25">
      <c r="A151">
        <v>93</v>
      </c>
      <c r="B151" t="str">
        <f>VLOOKUP(A151,'Product Dataset'!A:B,2,FALSE)</f>
        <v>Haro Shredder 20 Girls - 2017</v>
      </c>
      <c r="C151">
        <v>7364.3492999999999</v>
      </c>
      <c r="D151">
        <v>5732.7269999999999</v>
      </c>
      <c r="E151">
        <v>22.16</v>
      </c>
    </row>
    <row r="152" spans="1:5" x14ac:dyDescent="0.25">
      <c r="A152">
        <v>39</v>
      </c>
      <c r="B152" t="str">
        <f>VLOOKUP(A152,'Product Dataset'!A:B,2,FALSE)</f>
        <v>Trek Stache 5 - 2017</v>
      </c>
      <c r="C152">
        <v>33719.775199999996</v>
      </c>
      <c r="D152">
        <v>26249.825000000001</v>
      </c>
      <c r="E152">
        <v>22.15</v>
      </c>
    </row>
    <row r="153" spans="1:5" x14ac:dyDescent="0.25">
      <c r="A153">
        <v>83</v>
      </c>
      <c r="B153" t="str">
        <f>VLOOKUP(A153,'Product Dataset'!A:B,2,FALSE)</f>
        <v>Trek Boy's Kickster - 2015/2017</v>
      </c>
      <c r="C153">
        <v>3236.7842000000001</v>
      </c>
      <c r="D153">
        <v>2519.8319999999999</v>
      </c>
      <c r="E153">
        <v>22.15</v>
      </c>
    </row>
    <row r="154" spans="1:5" x14ac:dyDescent="0.25">
      <c r="A154">
        <v>70</v>
      </c>
      <c r="B154" t="str">
        <f>VLOOKUP(A154,'Product Dataset'!A:B,2,FALSE)</f>
        <v>Electra Amsterdam Original 3i - 2015/2017</v>
      </c>
      <c r="C154">
        <v>18987.9123</v>
      </c>
      <c r="D154">
        <v>14783.776</v>
      </c>
      <c r="E154">
        <v>22.14</v>
      </c>
    </row>
    <row r="155" spans="1:5" x14ac:dyDescent="0.25">
      <c r="A155">
        <v>63</v>
      </c>
      <c r="B155" t="str">
        <f>VLOOKUP(A155,'Product Dataset'!A:B,2,FALSE)</f>
        <v>Trek Boone Race Shop Limited - 2017</v>
      </c>
      <c r="C155">
        <v>91244.739300000001</v>
      </c>
      <c r="D155">
        <v>71049.797000000006</v>
      </c>
      <c r="E155">
        <v>22.13</v>
      </c>
    </row>
    <row r="156" spans="1:5" x14ac:dyDescent="0.25">
      <c r="A156">
        <v>141</v>
      </c>
      <c r="B156" t="str">
        <f>VLOOKUP(A156,'Product Dataset'!A:B,2,FALSE)</f>
        <v>Trek Stache 5 - 2018</v>
      </c>
      <c r="C156">
        <v>10063.937099999999</v>
      </c>
      <c r="D156">
        <v>7839.951</v>
      </c>
      <c r="E156">
        <v>22.1</v>
      </c>
    </row>
    <row r="157" spans="1:5" x14ac:dyDescent="0.25">
      <c r="A157">
        <v>151</v>
      </c>
      <c r="B157" t="str">
        <f>VLOOKUP(A157,'Product Dataset'!A:B,2,FALSE)</f>
        <v>Trek Domane ALR 4 Disc Women's - 2018</v>
      </c>
      <c r="C157">
        <v>9749.4370999999992</v>
      </c>
      <c r="D157">
        <v>7594.951</v>
      </c>
      <c r="E157">
        <v>22.1</v>
      </c>
    </row>
    <row r="158" spans="1:5" x14ac:dyDescent="0.25">
      <c r="A158">
        <v>73</v>
      </c>
      <c r="B158" t="str">
        <f>VLOOKUP(A158,'Product Dataset'!A:B,2,FALSE)</f>
        <v>Sun Bicycles Brickell Tandem 7 - 2017</v>
      </c>
      <c r="C158">
        <v>19544.739399999999</v>
      </c>
      <c r="D158">
        <v>15224.797</v>
      </c>
      <c r="E158">
        <v>22.1</v>
      </c>
    </row>
    <row r="159" spans="1:5" x14ac:dyDescent="0.25">
      <c r="A159">
        <v>107</v>
      </c>
      <c r="B159" t="str">
        <f>VLOOKUP(A159,'Product Dataset'!A:B,2,FALSE)</f>
        <v>Sun Bicycles Cruz 7 - 2017</v>
      </c>
      <c r="C159">
        <v>9361.4254999999994</v>
      </c>
      <c r="D159">
        <v>7297.3249999999998</v>
      </c>
      <c r="E159">
        <v>22.05</v>
      </c>
    </row>
    <row r="160" spans="1:5" x14ac:dyDescent="0.25">
      <c r="A160">
        <v>204</v>
      </c>
      <c r="B160" t="str">
        <f>VLOOKUP(A160,'Product Dataset'!A:B,2,FALSE)</f>
        <v>Trek Super Commuter+ 7 - 2018</v>
      </c>
      <c r="C160">
        <v>25847.928199999998</v>
      </c>
      <c r="D160">
        <v>20159.944</v>
      </c>
      <c r="E160">
        <v>22.01</v>
      </c>
    </row>
    <row r="161" spans="1:5" x14ac:dyDescent="0.25">
      <c r="A161">
        <v>65</v>
      </c>
      <c r="B161" t="str">
        <f>VLOOKUP(A161,'Product Dataset'!A:B,2,FALSE)</f>
        <v>Sun Bicycles Lil Bolt Type-R - 2017</v>
      </c>
      <c r="C161">
        <v>18681.941599999998</v>
      </c>
      <c r="D161">
        <v>14573.58</v>
      </c>
      <c r="E161">
        <v>21.99</v>
      </c>
    </row>
    <row r="162" spans="1:5" x14ac:dyDescent="0.25">
      <c r="A162">
        <v>28</v>
      </c>
      <c r="B162" t="str">
        <f>VLOOKUP(A162,'Product Dataset'!A:B,2,FALSE)</f>
        <v>Surly Karate Monkey 27.5+ Frameset - 2017</v>
      </c>
      <c r="C162">
        <v>87474.650099999999</v>
      </c>
      <c r="D162">
        <v>68249.726999999999</v>
      </c>
      <c r="E162">
        <v>21.98</v>
      </c>
    </row>
    <row r="163" spans="1:5" x14ac:dyDescent="0.25">
      <c r="A163">
        <v>153</v>
      </c>
      <c r="B163" t="str">
        <f>VLOOKUP(A163,'Product Dataset'!A:B,2,FALSE)</f>
        <v>Trek Domane SL 7 Women's - 2018</v>
      </c>
      <c r="C163">
        <v>31399.9372</v>
      </c>
      <c r="D163">
        <v>24499.951000000001</v>
      </c>
      <c r="E163">
        <v>21.97</v>
      </c>
    </row>
    <row r="164" spans="1:5" x14ac:dyDescent="0.25">
      <c r="A164">
        <v>6</v>
      </c>
      <c r="B164" t="str">
        <f>VLOOKUP(A164,'Product Dataset'!A:B,2,FALSE)</f>
        <v>Surly Ice Cream Truck Frameset - 2016</v>
      </c>
      <c r="C164">
        <v>70371.602700000003</v>
      </c>
      <c r="D164">
        <v>54941.830999999998</v>
      </c>
      <c r="E164">
        <v>21.93</v>
      </c>
    </row>
    <row r="165" spans="1:5" x14ac:dyDescent="0.25">
      <c r="A165">
        <v>13</v>
      </c>
      <c r="B165" t="str">
        <f>VLOOKUP(A165,'Product Dataset'!A:B,2,FALSE)</f>
        <v>Electra Cruiser 1 (24-Inch) - 2016</v>
      </c>
      <c r="C165">
        <v>37992.9928</v>
      </c>
      <c r="D165">
        <v>29671.901000000002</v>
      </c>
      <c r="E165">
        <v>21.9</v>
      </c>
    </row>
    <row r="166" spans="1:5" x14ac:dyDescent="0.25">
      <c r="A166">
        <v>46</v>
      </c>
      <c r="B166" t="str">
        <f>VLOOKUP(A166,'Product Dataset'!A:B,2,FALSE)</f>
        <v>Haro SR 1.3 - 2017</v>
      </c>
      <c r="C166">
        <v>34121.758000000002</v>
      </c>
      <c r="D166">
        <v>26648.811000000002</v>
      </c>
      <c r="E166">
        <v>21.9</v>
      </c>
    </row>
    <row r="167" spans="1:5" x14ac:dyDescent="0.25">
      <c r="A167">
        <v>100</v>
      </c>
      <c r="B167" t="str">
        <f>VLOOKUP(A167,'Product Dataset'!A:B,2,FALSE)</f>
        <v>Electra Townie 3i EQ (20-inch) - Boys' - 2017</v>
      </c>
      <c r="C167">
        <v>17125.1505</v>
      </c>
      <c r="D167">
        <v>13376.727000000001</v>
      </c>
      <c r="E167">
        <v>21.89</v>
      </c>
    </row>
    <row r="168" spans="1:5" x14ac:dyDescent="0.25">
      <c r="A168">
        <v>15</v>
      </c>
      <c r="B168" t="str">
        <f>VLOOKUP(A168,'Product Dataset'!A:B,2,FALSE)</f>
        <v>Electra Moto 1 - 2016</v>
      </c>
      <c r="C168">
        <v>65061.572399999997</v>
      </c>
      <c r="D168">
        <v>50826.040999999997</v>
      </c>
      <c r="E168">
        <v>21.88</v>
      </c>
    </row>
    <row r="169" spans="1:5" x14ac:dyDescent="0.25">
      <c r="A169">
        <v>216</v>
      </c>
      <c r="B169" t="str">
        <f>VLOOKUP(A169,'Product Dataset'!A:B,2,FALSE)</f>
        <v>Electra Super Moto 8i - 2018</v>
      </c>
      <c r="C169">
        <v>6443.9283999999998</v>
      </c>
      <c r="D169">
        <v>5039.9440000000004</v>
      </c>
      <c r="E169">
        <v>21.79</v>
      </c>
    </row>
    <row r="170" spans="1:5" x14ac:dyDescent="0.25">
      <c r="A170">
        <v>9</v>
      </c>
      <c r="B170" t="str">
        <f>VLOOKUP(A170,'Product Dataset'!A:B,2,FALSE)</f>
        <v>Trek Conduit+ - 2016</v>
      </c>
      <c r="C170">
        <v>389248.70250000001</v>
      </c>
      <c r="D170">
        <v>304498.98499999999</v>
      </c>
      <c r="E170">
        <v>21.77</v>
      </c>
    </row>
    <row r="171" spans="1:5" x14ac:dyDescent="0.25">
      <c r="A171">
        <v>56</v>
      </c>
      <c r="B171" t="str">
        <f>VLOOKUP(A171,'Product Dataset'!A:B,2,FALSE)</f>
        <v>Trek Domane SLR 6 Disc - 2017</v>
      </c>
      <c r="C171">
        <v>211584.6153</v>
      </c>
      <c r="D171">
        <v>165549.69899999999</v>
      </c>
      <c r="E171">
        <v>21.76</v>
      </c>
    </row>
    <row r="172" spans="1:5" x14ac:dyDescent="0.25">
      <c r="A172">
        <v>226</v>
      </c>
      <c r="B172" t="str">
        <f>VLOOKUP(A172,'Product Dataset'!A:B,2,FALSE)</f>
        <v>Electra Townie Original 21D EQ - 2017/2018</v>
      </c>
      <c r="C172">
        <v>4256.7374</v>
      </c>
      <c r="D172">
        <v>3331.951</v>
      </c>
      <c r="E172">
        <v>21.73</v>
      </c>
    </row>
    <row r="173" spans="1:5" x14ac:dyDescent="0.25">
      <c r="A173">
        <v>72</v>
      </c>
      <c r="B173" t="str">
        <f>VLOOKUP(A173,'Product Dataset'!A:B,2,FALSE)</f>
        <v>Sun Bicycles Biscayne Tandem 7 - 2017</v>
      </c>
      <c r="C173">
        <v>18289.705000000002</v>
      </c>
      <c r="D173">
        <v>14321.769</v>
      </c>
      <c r="E173">
        <v>21.69</v>
      </c>
    </row>
    <row r="174" spans="1:5" x14ac:dyDescent="0.25">
      <c r="A174">
        <v>282</v>
      </c>
      <c r="B174" t="str">
        <f>VLOOKUP(A174,'Product Dataset'!A:B,2,FALSE)</f>
        <v>Electra Cyclosaurus 1 (16-inch) - Boy's - 2018</v>
      </c>
      <c r="C174">
        <v>2001.9285</v>
      </c>
      <c r="D174">
        <v>1567.944</v>
      </c>
      <c r="E174">
        <v>21.68</v>
      </c>
    </row>
    <row r="175" spans="1:5" x14ac:dyDescent="0.25">
      <c r="A175">
        <v>10</v>
      </c>
      <c r="B175" t="str">
        <f>VLOOKUP(A175,'Product Dataset'!A:B,2,FALSE)</f>
        <v>Surly Straggler - 2016</v>
      </c>
      <c r="C175">
        <v>203507.62</v>
      </c>
      <c r="D175">
        <v>159392.1</v>
      </c>
      <c r="E175">
        <v>21.68</v>
      </c>
    </row>
    <row r="176" spans="1:5" x14ac:dyDescent="0.25">
      <c r="A176">
        <v>40</v>
      </c>
      <c r="B176" t="str">
        <f>VLOOKUP(A176,'Product Dataset'!A:B,2,FALSE)</f>
        <v>Trek Fuel EX 9.8 29 - 2017</v>
      </c>
      <c r="C176">
        <v>147449.70509999999</v>
      </c>
      <c r="D176">
        <v>115499.769</v>
      </c>
      <c r="E176">
        <v>21.67</v>
      </c>
    </row>
    <row r="177" spans="1:5" x14ac:dyDescent="0.25">
      <c r="A177">
        <v>11</v>
      </c>
      <c r="B177" t="str">
        <f>VLOOKUP(A177,'Product Dataset'!A:B,2,FALSE)</f>
        <v>Surly Straggler 650b - 2016</v>
      </c>
      <c r="C177">
        <v>226765.55100000001</v>
      </c>
      <c r="D177">
        <v>177680.64300000001</v>
      </c>
      <c r="E177">
        <v>21.65</v>
      </c>
    </row>
    <row r="178" spans="1:5" x14ac:dyDescent="0.25">
      <c r="A178">
        <v>236</v>
      </c>
      <c r="B178" t="str">
        <f>VLOOKUP(A178,'Product Dataset'!A:B,2,FALSE)</f>
        <v>Electra Morningstar 3i Ladies' - 2018</v>
      </c>
      <c r="C178">
        <v>2009.9731999999999</v>
      </c>
      <c r="D178">
        <v>1574.979</v>
      </c>
      <c r="E178">
        <v>21.64</v>
      </c>
    </row>
    <row r="179" spans="1:5" x14ac:dyDescent="0.25">
      <c r="A179">
        <v>150</v>
      </c>
      <c r="B179" t="str">
        <f>VLOOKUP(A179,'Product Dataset'!A:B,2,FALSE)</f>
        <v>Trek Emonda SL 7 - 2018</v>
      </c>
      <c r="C179">
        <v>12059.9732</v>
      </c>
      <c r="D179">
        <v>9449.9789999999994</v>
      </c>
      <c r="E179">
        <v>21.64</v>
      </c>
    </row>
    <row r="180" spans="1:5" x14ac:dyDescent="0.25">
      <c r="A180">
        <v>148</v>
      </c>
      <c r="B180" t="str">
        <f>VLOOKUP(A180,'Product Dataset'!A:B,2,FALSE)</f>
        <v>Trek Domane SL 8 Disc - 2018</v>
      </c>
      <c r="C180">
        <v>14739.9732</v>
      </c>
      <c r="D180">
        <v>11549.978999999999</v>
      </c>
      <c r="E180">
        <v>21.64</v>
      </c>
    </row>
    <row r="181" spans="1:5" x14ac:dyDescent="0.25">
      <c r="A181">
        <v>57</v>
      </c>
      <c r="B181" t="str">
        <f>VLOOKUP(A181,'Product Dataset'!A:B,2,FALSE)</f>
        <v>Trek Emonda S 5 - 2017</v>
      </c>
      <c r="C181">
        <v>41079.794600000001</v>
      </c>
      <c r="D181">
        <v>32199.839</v>
      </c>
      <c r="E181">
        <v>21.62</v>
      </c>
    </row>
    <row r="182" spans="1:5" x14ac:dyDescent="0.25">
      <c r="A182">
        <v>172</v>
      </c>
      <c r="B182" t="str">
        <f>VLOOKUP(A182,'Product Dataset'!A:B,2,FALSE)</f>
        <v>Trek Domane ALR Disc Frameset - 2018</v>
      </c>
      <c r="C182">
        <v>19999.9375</v>
      </c>
      <c r="D182">
        <v>15679.950999999999</v>
      </c>
      <c r="E182">
        <v>21.6</v>
      </c>
    </row>
    <row r="183" spans="1:5" x14ac:dyDescent="0.25">
      <c r="A183">
        <v>27</v>
      </c>
      <c r="B183" t="str">
        <f>VLOOKUP(A183,'Product Dataset'!A:B,2,FALSE)</f>
        <v>Surly Big Dummy Frameset - 2017</v>
      </c>
      <c r="C183">
        <v>27679.7232</v>
      </c>
      <c r="D183">
        <v>21699.782999999999</v>
      </c>
      <c r="E183">
        <v>21.6</v>
      </c>
    </row>
    <row r="184" spans="1:5" x14ac:dyDescent="0.25">
      <c r="A184">
        <v>105</v>
      </c>
      <c r="B184" t="str">
        <f>VLOOKUP(A184,'Product Dataset'!A:B,2,FALSE)</f>
        <v>Sun Bicycles Streamway 7 - 2017</v>
      </c>
      <c r="C184">
        <v>17637.689699999999</v>
      </c>
      <c r="D184">
        <v>13830.341</v>
      </c>
      <c r="E184">
        <v>21.59</v>
      </c>
    </row>
    <row r="185" spans="1:5" x14ac:dyDescent="0.25">
      <c r="A185">
        <v>113</v>
      </c>
      <c r="B185" t="str">
        <f>VLOOKUP(A185,'Product Dataset'!A:B,2,FALSE)</f>
        <v>Trek Marlin 5 - 2018</v>
      </c>
      <c r="C185">
        <v>3498.5286000000001</v>
      </c>
      <c r="D185">
        <v>2743.944</v>
      </c>
      <c r="E185">
        <v>21.57</v>
      </c>
    </row>
    <row r="186" spans="1:5" x14ac:dyDescent="0.25">
      <c r="A186">
        <v>19</v>
      </c>
      <c r="B186" t="str">
        <f>VLOOKUP(A186,'Product Dataset'!A:B,2,FALSE)</f>
        <v>Pure Cycles William 3-Speed - 2016</v>
      </c>
      <c r="C186">
        <v>43674.23</v>
      </c>
      <c r="D186">
        <v>34258.699999999997</v>
      </c>
      <c r="E186">
        <v>21.56</v>
      </c>
    </row>
    <row r="187" spans="1:5" x14ac:dyDescent="0.25">
      <c r="A187">
        <v>91</v>
      </c>
      <c r="B187" t="str">
        <f>VLOOKUP(A187,'Product Dataset'!A:B,2,FALSE)</f>
        <v>Trek Precaliber 24 (21-Speed) - Girls - 2017</v>
      </c>
      <c r="C187">
        <v>12179.652</v>
      </c>
      <c r="D187">
        <v>9554.7270000000008</v>
      </c>
      <c r="E187">
        <v>21.55</v>
      </c>
    </row>
    <row r="188" spans="1:5" x14ac:dyDescent="0.25">
      <c r="A188">
        <v>96</v>
      </c>
      <c r="B188" t="str">
        <f>VLOOKUP(A188,'Product Dataset'!A:B,2,FALSE)</f>
        <v>Electra Moto 3i (20-inch) - Boy's - 2017</v>
      </c>
      <c r="C188">
        <v>9680.7234000000008</v>
      </c>
      <c r="D188">
        <v>7594.7830000000004</v>
      </c>
      <c r="E188">
        <v>21.55</v>
      </c>
    </row>
    <row r="189" spans="1:5" x14ac:dyDescent="0.25">
      <c r="A189">
        <v>54</v>
      </c>
      <c r="B189" t="str">
        <f>VLOOKUP(A189,'Product Dataset'!A:B,2,FALSE)</f>
        <v>Trek Domane SL Disc Frameset - 2017</v>
      </c>
      <c r="C189">
        <v>68511.785900000003</v>
      </c>
      <c r="D189">
        <v>53759.832000000002</v>
      </c>
      <c r="E189">
        <v>21.53</v>
      </c>
    </row>
    <row r="190" spans="1:5" x14ac:dyDescent="0.25">
      <c r="A190">
        <v>301</v>
      </c>
      <c r="B190" t="str">
        <f>VLOOKUP(A190,'Product Dataset'!A:B,2,FALSE)</f>
        <v>Electra Townie Balloon 7i EQ - 2018</v>
      </c>
      <c r="C190">
        <v>4013.9553999999998</v>
      </c>
      <c r="D190">
        <v>3149.9650000000001</v>
      </c>
      <c r="E190">
        <v>21.52</v>
      </c>
    </row>
    <row r="191" spans="1:5" x14ac:dyDescent="0.25">
      <c r="A191">
        <v>99</v>
      </c>
      <c r="B191" t="str">
        <f>VLOOKUP(A191,'Product Dataset'!A:B,2,FALSE)</f>
        <v>Electra Sugar Skulls 1 (20-inch) - Girl's - 2017</v>
      </c>
      <c r="C191">
        <v>9095.6967999999997</v>
      </c>
      <c r="D191">
        <v>7139.7619999999997</v>
      </c>
      <c r="E191">
        <v>21.5</v>
      </c>
    </row>
    <row r="192" spans="1:5" x14ac:dyDescent="0.25">
      <c r="A192">
        <v>2</v>
      </c>
      <c r="B192" t="str">
        <f>VLOOKUP(A192,'Product Dataset'!A:B,2,FALSE)</f>
        <v>Ritchey Timberwolf Frameset - 2016</v>
      </c>
      <c r="C192">
        <v>78898.948000000004</v>
      </c>
      <c r="D192">
        <v>61949.173999999999</v>
      </c>
      <c r="E192">
        <v>21.48</v>
      </c>
    </row>
    <row r="193" spans="1:5" x14ac:dyDescent="0.25">
      <c r="A193">
        <v>3</v>
      </c>
      <c r="B193" t="str">
        <f>VLOOKUP(A193,'Product Dataset'!A:B,2,FALSE)</f>
        <v>Surly Wednesday Frameset - 2016</v>
      </c>
      <c r="C193">
        <v>112288.8771</v>
      </c>
      <c r="D193">
        <v>88199.118000000002</v>
      </c>
      <c r="E193">
        <v>21.45</v>
      </c>
    </row>
    <row r="194" spans="1:5" x14ac:dyDescent="0.25">
      <c r="A194">
        <v>235</v>
      </c>
      <c r="B194" t="str">
        <f>VLOOKUP(A194,'Product Dataset'!A:B,2,FALSE)</f>
        <v>Electra Koa 3i Ladies' - 2018</v>
      </c>
      <c r="C194">
        <v>8819.902</v>
      </c>
      <c r="D194">
        <v>6929.9229999999998</v>
      </c>
      <c r="E194">
        <v>21.43</v>
      </c>
    </row>
    <row r="195" spans="1:5" x14ac:dyDescent="0.25">
      <c r="A195">
        <v>257</v>
      </c>
      <c r="B195" t="str">
        <f>VLOOKUP(A195,'Product Dataset'!A:B,2,FALSE)</f>
        <v>Electra Amsterdam Fashion 3i Ladies' - 2017/2018</v>
      </c>
      <c r="C195">
        <v>4004.9555</v>
      </c>
      <c r="D195">
        <v>3149.9650000000001</v>
      </c>
      <c r="E195">
        <v>21.35</v>
      </c>
    </row>
    <row r="196" spans="1:5" x14ac:dyDescent="0.25">
      <c r="A196">
        <v>213</v>
      </c>
      <c r="B196" t="str">
        <f>VLOOKUP(A196,'Product Dataset'!A:B,2,FALSE)</f>
        <v>Electra Cruiser 1 - 2016/2017/2018</v>
      </c>
      <c r="C196">
        <v>1682.0377000000001</v>
      </c>
      <c r="D196">
        <v>1322.951</v>
      </c>
      <c r="E196">
        <v>21.35</v>
      </c>
    </row>
    <row r="197" spans="1:5" x14ac:dyDescent="0.25">
      <c r="A197">
        <v>126</v>
      </c>
      <c r="B197" t="str">
        <f>VLOOKUP(A197,'Product Dataset'!A:B,2,FALSE)</f>
        <v>Surly Big Fat Dummy Frameset - 2018</v>
      </c>
      <c r="C197">
        <v>2928.0376999999999</v>
      </c>
      <c r="D197">
        <v>2302.951</v>
      </c>
      <c r="E197">
        <v>21.35</v>
      </c>
    </row>
    <row r="198" spans="1:5" x14ac:dyDescent="0.25">
      <c r="A198">
        <v>94</v>
      </c>
      <c r="B198" t="str">
        <f>VLOOKUP(A198,'Product Dataset'!A:B,2,FALSE)</f>
        <v>Haro Shredder Pro 20 - 2017</v>
      </c>
      <c r="C198">
        <v>6227.2509</v>
      </c>
      <c r="D198">
        <v>4899.8040000000001</v>
      </c>
      <c r="E198">
        <v>21.32</v>
      </c>
    </row>
    <row r="199" spans="1:5" x14ac:dyDescent="0.25">
      <c r="A199">
        <v>14</v>
      </c>
      <c r="B199" t="str">
        <f>VLOOKUP(A199,'Product Dataset'!A:B,2,FALSE)</f>
        <v>Electra Girl's Hawaii 1 (16-inch) - 2015/2016</v>
      </c>
      <c r="C199">
        <v>29785.2968</v>
      </c>
      <c r="D199">
        <v>23435.132000000001</v>
      </c>
      <c r="E199">
        <v>21.32</v>
      </c>
    </row>
    <row r="200" spans="1:5" x14ac:dyDescent="0.25">
      <c r="A200">
        <v>304</v>
      </c>
      <c r="B200" t="str">
        <f>VLOOKUP(A200,'Product Dataset'!A:B,2,FALSE)</f>
        <v>Electra Townie Original 21D EQ - 2017/2018</v>
      </c>
      <c r="C200">
        <v>5439.92</v>
      </c>
      <c r="D200">
        <v>4283.9369999999999</v>
      </c>
      <c r="E200">
        <v>21.25</v>
      </c>
    </row>
    <row r="201" spans="1:5" x14ac:dyDescent="0.25">
      <c r="A201">
        <v>109</v>
      </c>
      <c r="B201" t="str">
        <f>VLOOKUP(A201,'Product Dataset'!A:B,2,FALSE)</f>
        <v>Sun Bicycles Cruz 7 - Women's - 2017</v>
      </c>
      <c r="C201">
        <v>12968.388999999999</v>
      </c>
      <c r="D201">
        <v>10216.254999999999</v>
      </c>
      <c r="E201">
        <v>21.22</v>
      </c>
    </row>
    <row r="202" spans="1:5" x14ac:dyDescent="0.25">
      <c r="A202">
        <v>4</v>
      </c>
      <c r="B202" t="str">
        <f>VLOOKUP(A202,'Product Dataset'!A:B,2,FALSE)</f>
        <v>Trek Fuel EX 8 29 - 2016</v>
      </c>
      <c r="C202">
        <v>368472.72940000001</v>
      </c>
      <c r="D202">
        <v>290288.99900000001</v>
      </c>
      <c r="E202">
        <v>21.22</v>
      </c>
    </row>
    <row r="203" spans="1:5" x14ac:dyDescent="0.25">
      <c r="A203">
        <v>55</v>
      </c>
      <c r="B203" t="str">
        <f>VLOOKUP(A203,'Product Dataset'!A:B,2,FALSE)</f>
        <v>Trek Domane S 6 - 2017</v>
      </c>
      <c r="C203">
        <v>93527.653600000005</v>
      </c>
      <c r="D203">
        <v>73709.726999999999</v>
      </c>
      <c r="E203">
        <v>21.19</v>
      </c>
    </row>
    <row r="204" spans="1:5" x14ac:dyDescent="0.25">
      <c r="A204">
        <v>101</v>
      </c>
      <c r="B204" t="str">
        <f>VLOOKUP(A204,'Product Dataset'!A:B,2,FALSE)</f>
        <v>Electra Townie 7D (20-inch) - Boys' - 2017</v>
      </c>
      <c r="C204">
        <v>12079.8447</v>
      </c>
      <c r="D204">
        <v>9519.7199999999993</v>
      </c>
      <c r="E204">
        <v>21.19</v>
      </c>
    </row>
    <row r="205" spans="1:5" x14ac:dyDescent="0.25">
      <c r="A205">
        <v>97</v>
      </c>
      <c r="B205" t="str">
        <f>VLOOKUP(A205,'Product Dataset'!A:B,2,FALSE)</f>
        <v>Electra Savannah 3i (20-inch) - Girl's - 2017</v>
      </c>
      <c r="C205">
        <v>10258.206899999999</v>
      </c>
      <c r="D205">
        <v>8084.7690000000002</v>
      </c>
      <c r="E205">
        <v>21.19</v>
      </c>
    </row>
    <row r="206" spans="1:5" x14ac:dyDescent="0.25">
      <c r="A206">
        <v>23</v>
      </c>
      <c r="B206" t="str">
        <f>VLOOKUP(A206,'Product Dataset'!A:B,2,FALSE)</f>
        <v>Electra Girl's Hawaii 1 (20-inch) - 2015/2016</v>
      </c>
      <c r="C206">
        <v>41011.632899999997</v>
      </c>
      <c r="D206">
        <v>32338.921999999999</v>
      </c>
      <c r="E206">
        <v>21.15</v>
      </c>
    </row>
    <row r="207" spans="1:5" x14ac:dyDescent="0.25">
      <c r="A207">
        <v>297</v>
      </c>
      <c r="B207" t="str">
        <f>VLOOKUP(A207,'Product Dataset'!A:B,2,FALSE)</f>
        <v>Electra Under-The-Sea 1 16 - 2018</v>
      </c>
      <c r="C207">
        <v>1987.9290000000001</v>
      </c>
      <c r="D207">
        <v>1567.944</v>
      </c>
      <c r="E207">
        <v>21.13</v>
      </c>
    </row>
    <row r="208" spans="1:5" x14ac:dyDescent="0.25">
      <c r="A208">
        <v>86</v>
      </c>
      <c r="B208" t="str">
        <f>VLOOKUP(A208,'Product Dataset'!A:B,2,FALSE)</f>
        <v>Trek Girl's Kickster - 2017</v>
      </c>
      <c r="C208">
        <v>3193.2871</v>
      </c>
      <c r="D208">
        <v>2519.8319999999999</v>
      </c>
      <c r="E208">
        <v>21.09</v>
      </c>
    </row>
    <row r="209" spans="1:5" x14ac:dyDescent="0.25">
      <c r="A209">
        <v>111</v>
      </c>
      <c r="B209" t="str">
        <f>VLOOKUP(A209,'Product Dataset'!A:B,2,FALSE)</f>
        <v>Sun Bicycles Drifter 7 - Women's - 2017</v>
      </c>
      <c r="C209">
        <v>10027.3771</v>
      </c>
      <c r="D209">
        <v>7912.6319999999996</v>
      </c>
      <c r="E209">
        <v>21.09</v>
      </c>
    </row>
    <row r="210" spans="1:5" x14ac:dyDescent="0.25">
      <c r="A210">
        <v>60</v>
      </c>
      <c r="B210" t="str">
        <f>VLOOKUP(A210,'Product Dataset'!A:B,2,FALSE)</f>
        <v>Sun Bicycles ElectroLite - 2017</v>
      </c>
      <c r="C210">
        <v>47049.2984</v>
      </c>
      <c r="D210">
        <v>37127.762000000002</v>
      </c>
      <c r="E210">
        <v>21.09</v>
      </c>
    </row>
    <row r="211" spans="1:5" x14ac:dyDescent="0.25">
      <c r="A211">
        <v>22</v>
      </c>
      <c r="B211" t="str">
        <f>VLOOKUP(A211,'Product Dataset'!A:B,2,FALSE)</f>
        <v>Electra Girl's Hawaii 1 (16-inch) - 2015/2016</v>
      </c>
      <c r="C211">
        <v>34728.813699999999</v>
      </c>
      <c r="D211">
        <v>27403.985000000001</v>
      </c>
      <c r="E211">
        <v>21.09</v>
      </c>
    </row>
    <row r="212" spans="1:5" x14ac:dyDescent="0.25">
      <c r="A212">
        <v>5</v>
      </c>
      <c r="B212" t="str">
        <f>VLOOKUP(A212,'Product Dataset'!A:B,2,FALSE)</f>
        <v>Heller Shagamaw Frame - 2016</v>
      </c>
      <c r="C212">
        <v>151160.88570000001</v>
      </c>
      <c r="D212">
        <v>119285.397</v>
      </c>
      <c r="E212">
        <v>21.09</v>
      </c>
    </row>
    <row r="213" spans="1:5" x14ac:dyDescent="0.25">
      <c r="A213">
        <v>20</v>
      </c>
      <c r="B213" t="str">
        <f>VLOOKUP(A213,'Product Dataset'!A:B,2,FALSE)</f>
        <v>Electra Townie Original 7D EQ - Women's - 2016</v>
      </c>
      <c r="C213">
        <v>66508.891499999998</v>
      </c>
      <c r="D213">
        <v>52499.125</v>
      </c>
      <c r="E213">
        <v>21.06</v>
      </c>
    </row>
    <row r="214" spans="1:5" x14ac:dyDescent="0.25">
      <c r="A214">
        <v>66</v>
      </c>
      <c r="B214" t="str">
        <f>VLOOKUP(A214,'Product Dataset'!A:B,2,FALSE)</f>
        <v>Sun Bicycles Revolutions 24 - 2017</v>
      </c>
      <c r="C214">
        <v>8011.6008000000002</v>
      </c>
      <c r="D214">
        <v>6324.9480000000003</v>
      </c>
      <c r="E214">
        <v>21.05</v>
      </c>
    </row>
    <row r="215" spans="1:5" x14ac:dyDescent="0.25">
      <c r="A215">
        <v>104</v>
      </c>
      <c r="B215" t="str">
        <f>VLOOKUP(A215,'Product Dataset'!A:B,2,FALSE)</f>
        <v>Sun Bicycles Streamway - 2017</v>
      </c>
      <c r="C215">
        <v>12816.114100000001</v>
      </c>
      <c r="D215">
        <v>10121.790000000001</v>
      </c>
      <c r="E215">
        <v>21.02</v>
      </c>
    </row>
    <row r="216" spans="1:5" x14ac:dyDescent="0.25">
      <c r="A216">
        <v>295</v>
      </c>
      <c r="B216" t="str">
        <f>VLOOKUP(A216,'Product Dataset'!A:B,2,FALSE)</f>
        <v>Electra Treasure 1 20 - 2018</v>
      </c>
      <c r="C216">
        <v>2835.1113999999998</v>
      </c>
      <c r="D216">
        <v>2239.9299999999998</v>
      </c>
      <c r="E216">
        <v>20.99</v>
      </c>
    </row>
    <row r="217" spans="1:5" x14ac:dyDescent="0.25">
      <c r="A217">
        <v>182</v>
      </c>
      <c r="B217" t="str">
        <f>VLOOKUP(A217,'Product Dataset'!A:B,2,FALSE)</f>
        <v>Trek Domane SL 5 Disc - 2018</v>
      </c>
      <c r="C217">
        <v>11074.9557</v>
      </c>
      <c r="D217">
        <v>8749.9650000000001</v>
      </c>
      <c r="E217">
        <v>20.99</v>
      </c>
    </row>
    <row r="218" spans="1:5" x14ac:dyDescent="0.25">
      <c r="A218">
        <v>122</v>
      </c>
      <c r="B218" t="str">
        <f>VLOOKUP(A218,'Product Dataset'!A:B,2,FALSE)</f>
        <v>Surly Troll Frameset - 2018</v>
      </c>
      <c r="C218">
        <v>11074.9557</v>
      </c>
      <c r="D218">
        <v>8749.9650000000001</v>
      </c>
      <c r="E218">
        <v>20.99</v>
      </c>
    </row>
    <row r="219" spans="1:5" x14ac:dyDescent="0.25">
      <c r="A219">
        <v>193</v>
      </c>
      <c r="B219" t="str">
        <f>VLOOKUP(A219,'Product Dataset'!A:B,2,FALSE)</f>
        <v>Trek Lift+ - 2018</v>
      </c>
      <c r="C219">
        <v>12403.9557</v>
      </c>
      <c r="D219">
        <v>9799.9650000000001</v>
      </c>
      <c r="E219">
        <v>20.99</v>
      </c>
    </row>
    <row r="220" spans="1:5" x14ac:dyDescent="0.25">
      <c r="A220">
        <v>37</v>
      </c>
      <c r="B220" t="str">
        <f>VLOOKUP(A220,'Product Dataset'!A:B,2,FALSE)</f>
        <v>Haro Flightline One ST - 2017</v>
      </c>
      <c r="C220">
        <v>10430.7255</v>
      </c>
      <c r="D220">
        <v>8245.7829999999994</v>
      </c>
      <c r="E220">
        <v>20.95</v>
      </c>
    </row>
    <row r="221" spans="1:5" x14ac:dyDescent="0.25">
      <c r="A221">
        <v>269</v>
      </c>
      <c r="B221" t="str">
        <f>VLOOKUP(A221,'Product Dataset'!A:B,2,FALSE)</f>
        <v>Trek Precaliber 12 Boy's - 2018</v>
      </c>
      <c r="C221">
        <v>1061.9468999999999</v>
      </c>
      <c r="D221">
        <v>839.95799999999997</v>
      </c>
      <c r="E221">
        <v>20.9</v>
      </c>
    </row>
    <row r="222" spans="1:5" x14ac:dyDescent="0.25">
      <c r="A222">
        <v>145</v>
      </c>
      <c r="B222" t="str">
        <f>VLOOKUP(A222,'Product Dataset'!A:B,2,FALSE)</f>
        <v>Trek Domane ALR 5 Disc - 2018</v>
      </c>
      <c r="C222">
        <v>11141.938099999999</v>
      </c>
      <c r="D222">
        <v>8819.9509999999991</v>
      </c>
      <c r="E222">
        <v>20.84</v>
      </c>
    </row>
    <row r="223" spans="1:5" x14ac:dyDescent="0.25">
      <c r="A223">
        <v>16</v>
      </c>
      <c r="B223" t="str">
        <f>VLOOKUP(A223,'Product Dataset'!A:B,2,FALSE)</f>
        <v>Electra Townie Original 7D EQ - 2016</v>
      </c>
      <c r="C223">
        <v>82744.620899999994</v>
      </c>
      <c r="D223">
        <v>65518.908000000003</v>
      </c>
      <c r="E223">
        <v>20.82</v>
      </c>
    </row>
    <row r="224" spans="1:5" x14ac:dyDescent="0.25">
      <c r="A224">
        <v>29</v>
      </c>
      <c r="B224" t="str">
        <f>VLOOKUP(A224,'Product Dataset'!A:B,2,FALSE)</f>
        <v>Trek X-Caliber 8 - 2017</v>
      </c>
      <c r="C224">
        <v>30939.690600000002</v>
      </c>
      <c r="D224">
        <v>24499.755000000001</v>
      </c>
      <c r="E224">
        <v>20.81</v>
      </c>
    </row>
    <row r="225" spans="1:5" x14ac:dyDescent="0.25">
      <c r="A225">
        <v>265</v>
      </c>
      <c r="B225" t="str">
        <f>VLOOKUP(A225,'Product Dataset'!A:B,2,FALSE)</f>
        <v>Strider Strider 20 Sport - 2018</v>
      </c>
      <c r="C225">
        <v>2305.4205000000002</v>
      </c>
      <c r="D225">
        <v>1826.9369999999999</v>
      </c>
      <c r="E225">
        <v>20.75</v>
      </c>
    </row>
    <row r="226" spans="1:5" x14ac:dyDescent="0.25">
      <c r="A226">
        <v>88</v>
      </c>
      <c r="B226" t="str">
        <f>VLOOKUP(A226,'Product Dataset'!A:B,2,FALSE)</f>
        <v>Trek Precaliber 12 Girls - 2017</v>
      </c>
      <c r="C226">
        <v>5198.1264000000001</v>
      </c>
      <c r="D226">
        <v>4122.7830000000004</v>
      </c>
      <c r="E226">
        <v>20.69</v>
      </c>
    </row>
    <row r="227" spans="1:5" x14ac:dyDescent="0.25">
      <c r="A227">
        <v>207</v>
      </c>
      <c r="B227" t="str">
        <f>VLOOKUP(A227,'Product Dataset'!A:B,2,FALSE)</f>
        <v>Trek Boone 7 Disc - 2018</v>
      </c>
      <c r="C227">
        <v>28239.929400000001</v>
      </c>
      <c r="D227">
        <v>22399.944</v>
      </c>
      <c r="E227">
        <v>20.68</v>
      </c>
    </row>
    <row r="228" spans="1:5" x14ac:dyDescent="0.25">
      <c r="A228">
        <v>276</v>
      </c>
      <c r="B228" t="str">
        <f>VLOOKUP(A228,'Product Dataset'!A:B,2,FALSE)</f>
        <v>Trek Precaliber 24 (7-Speed) - Boys - 2018</v>
      </c>
      <c r="C228">
        <v>1129.5646999999999</v>
      </c>
      <c r="D228">
        <v>895.97199999999998</v>
      </c>
      <c r="E228">
        <v>20.68</v>
      </c>
    </row>
    <row r="229" spans="1:5" x14ac:dyDescent="0.25">
      <c r="A229">
        <v>84</v>
      </c>
      <c r="B229" t="str">
        <f>VLOOKUP(A229,'Product Dataset'!A:B,2,FALSE)</f>
        <v>Sun Bicycles Lil Kitt'n - 2017</v>
      </c>
      <c r="C229">
        <v>2328.4883</v>
      </c>
      <c r="D229">
        <v>1847.8320000000001</v>
      </c>
      <c r="E229">
        <v>20.64</v>
      </c>
    </row>
    <row r="230" spans="1:5" x14ac:dyDescent="0.25">
      <c r="A230">
        <v>64</v>
      </c>
      <c r="B230" t="str">
        <f>VLOOKUP(A230,'Product Dataset'!A:B,2,FALSE)</f>
        <v>Electra Townie Original 7D - 2017</v>
      </c>
      <c r="C230">
        <v>11661.762000000001</v>
      </c>
      <c r="D230">
        <v>9260.8109999999997</v>
      </c>
      <c r="E230">
        <v>20.59</v>
      </c>
    </row>
    <row r="231" spans="1:5" x14ac:dyDescent="0.25">
      <c r="A231">
        <v>98</v>
      </c>
      <c r="B231" t="str">
        <f>VLOOKUP(A231,'Product Dataset'!A:B,2,FALSE)</f>
        <v>Electra Straight 8 3i (20-inch) - Boy's - 2017</v>
      </c>
      <c r="C231">
        <v>8638.5236999999997</v>
      </c>
      <c r="D231">
        <v>6859.86</v>
      </c>
      <c r="E231">
        <v>20.59</v>
      </c>
    </row>
    <row r="232" spans="1:5" x14ac:dyDescent="0.25">
      <c r="A232">
        <v>45</v>
      </c>
      <c r="B232" t="str">
        <f>VLOOKUP(A232,'Product Dataset'!A:B,2,FALSE)</f>
        <v>Haro SR 1.2 - 2017</v>
      </c>
      <c r="C232">
        <v>39862.941800000001</v>
      </c>
      <c r="D232">
        <v>31667.635999999999</v>
      </c>
      <c r="E232">
        <v>20.56</v>
      </c>
    </row>
    <row r="233" spans="1:5" x14ac:dyDescent="0.25">
      <c r="A233">
        <v>59</v>
      </c>
      <c r="B233" t="str">
        <f>VLOOKUP(A233,'Product Dataset'!A:B,2,FALSE)</f>
        <v>Trek Domane S 5 Disc - 2017</v>
      </c>
      <c r="C233">
        <v>59513.771099999998</v>
      </c>
      <c r="D233">
        <v>47319.817999999999</v>
      </c>
      <c r="E233">
        <v>20.49</v>
      </c>
    </row>
    <row r="234" spans="1:5" x14ac:dyDescent="0.25">
      <c r="A234">
        <v>275</v>
      </c>
      <c r="B234" t="str">
        <f>VLOOKUP(A234,'Product Dataset'!A:B,2,FALSE)</f>
        <v>Trek Precaliber 20 Girl's - 2018</v>
      </c>
      <c r="C234">
        <v>1011.956</v>
      </c>
      <c r="D234">
        <v>804.96500000000003</v>
      </c>
      <c r="E234">
        <v>20.45</v>
      </c>
    </row>
    <row r="235" spans="1:5" x14ac:dyDescent="0.25">
      <c r="A235">
        <v>79</v>
      </c>
      <c r="B235" t="str">
        <f>VLOOKUP(A235,'Product Dataset'!A:B,2,FALSE)</f>
        <v>Sun Bicycles Boardwalk (24-inch Wheels) - 2017</v>
      </c>
      <c r="C235">
        <v>7447.2551999999996</v>
      </c>
      <c r="D235">
        <v>5923.9530000000004</v>
      </c>
      <c r="E235">
        <v>20.45</v>
      </c>
    </row>
    <row r="236" spans="1:5" x14ac:dyDescent="0.25">
      <c r="A236">
        <v>49</v>
      </c>
      <c r="B236" t="str">
        <f>VLOOKUP(A236,'Product Dataset'!A:B,2,FALSE)</f>
        <v>Trek Domane SL 6 - 2017</v>
      </c>
      <c r="C236">
        <v>113644.6753</v>
      </c>
      <c r="D236">
        <v>90649.740999999995</v>
      </c>
      <c r="E236">
        <v>20.23</v>
      </c>
    </row>
    <row r="237" spans="1:5" x14ac:dyDescent="0.25">
      <c r="A237">
        <v>92</v>
      </c>
      <c r="B237" t="str">
        <f>VLOOKUP(A237,'Product Dataset'!A:B,2,FALSE)</f>
        <v>Haro Shredder 20 - 2017</v>
      </c>
      <c r="C237">
        <v>7183.7578999999996</v>
      </c>
      <c r="D237">
        <v>5732.7269999999999</v>
      </c>
      <c r="E237">
        <v>20.2</v>
      </c>
    </row>
    <row r="238" spans="1:5" x14ac:dyDescent="0.25">
      <c r="A238">
        <v>248</v>
      </c>
      <c r="B238" t="str">
        <f>VLOOKUP(A238,'Product Dataset'!A:B,2,FALSE)</f>
        <v>Electra Townie Original 7D EQ Ladies' - 2017/2018</v>
      </c>
      <c r="C238">
        <v>3683.9386</v>
      </c>
      <c r="D238">
        <v>2939.951</v>
      </c>
      <c r="E238">
        <v>20.2</v>
      </c>
    </row>
    <row r="239" spans="1:5" x14ac:dyDescent="0.25">
      <c r="A239">
        <v>108</v>
      </c>
      <c r="B239" t="str">
        <f>VLOOKUP(A239,'Product Dataset'!A:B,2,FALSE)</f>
        <v>Sun Bicycles Cruz 3 - Women's - 2017</v>
      </c>
      <c r="C239">
        <v>12622.219499999999</v>
      </c>
      <c r="D239">
        <v>10079.776</v>
      </c>
      <c r="E239">
        <v>20.14</v>
      </c>
    </row>
    <row r="240" spans="1:5" x14ac:dyDescent="0.25">
      <c r="A240">
        <v>198</v>
      </c>
      <c r="B240" t="str">
        <f>VLOOKUP(A240,'Product Dataset'!A:B,2,FALSE)</f>
        <v>Electra Townie Commute Go! - 2018</v>
      </c>
      <c r="C240">
        <v>15749.9475</v>
      </c>
      <c r="D240">
        <v>12599.958000000001</v>
      </c>
      <c r="E240">
        <v>20</v>
      </c>
    </row>
    <row r="241" spans="1:5" x14ac:dyDescent="0.25">
      <c r="A241">
        <v>178</v>
      </c>
      <c r="B241" t="str">
        <f>VLOOKUP(A241,'Product Dataset'!A:B,2,FALSE)</f>
        <v>Trek Domane AL 2 - 2018</v>
      </c>
      <c r="C241">
        <v>2624.9650000000001</v>
      </c>
      <c r="D241">
        <v>2099.9720000000002</v>
      </c>
      <c r="E241">
        <v>20</v>
      </c>
    </row>
    <row r="242" spans="1:5" x14ac:dyDescent="0.25">
      <c r="A242">
        <v>165</v>
      </c>
      <c r="B242" t="str">
        <f>VLOOKUP(A242,'Product Dataset'!A:B,2,FALSE)</f>
        <v>Trek 1120 - 2018</v>
      </c>
      <c r="C242">
        <v>8749.9650000000001</v>
      </c>
      <c r="D242">
        <v>6999.9719999999998</v>
      </c>
      <c r="E242">
        <v>20</v>
      </c>
    </row>
    <row r="243" spans="1:5" x14ac:dyDescent="0.25">
      <c r="A243">
        <v>231</v>
      </c>
      <c r="B243" t="str">
        <f>VLOOKUP(A243,'Product Dataset'!A:B,2,FALSE)</f>
        <v>Electra Cruiser Lux 3i Ladies' - 2018</v>
      </c>
      <c r="C243">
        <v>1854.9649999999999</v>
      </c>
      <c r="D243">
        <v>1483.972</v>
      </c>
      <c r="E243">
        <v>20</v>
      </c>
    </row>
    <row r="244" spans="1:5" x14ac:dyDescent="0.25">
      <c r="A244">
        <v>313</v>
      </c>
      <c r="B244" t="str">
        <f>VLOOKUP(A244,'Product Dataset'!A:B,2,FALSE)</f>
        <v>Electra Townie Original 1 Ladies' - 2018</v>
      </c>
      <c r="C244">
        <v>1574.9649999999999</v>
      </c>
      <c r="D244">
        <v>1259.972</v>
      </c>
      <c r="E244">
        <v>20</v>
      </c>
    </row>
    <row r="245" spans="1:5" x14ac:dyDescent="0.25">
      <c r="A245">
        <v>33</v>
      </c>
      <c r="B245" t="str">
        <f>VLOOKUP(A245,'Product Dataset'!A:B,2,FALSE)</f>
        <v>Surly Wednesday Frameset - 2017</v>
      </c>
      <c r="C245">
        <v>14367.594300000001</v>
      </c>
      <c r="D245">
        <v>11514.754999999999</v>
      </c>
      <c r="E245">
        <v>19.86</v>
      </c>
    </row>
    <row r="246" spans="1:5" x14ac:dyDescent="0.25">
      <c r="A246">
        <v>87</v>
      </c>
      <c r="B246" t="str">
        <f>VLOOKUP(A246,'Product Dataset'!A:B,2,FALSE)</f>
        <v>Trek Precaliber 12 Boys - 2017</v>
      </c>
      <c r="C246">
        <v>4972.0383000000002</v>
      </c>
      <c r="D246">
        <v>3989.79</v>
      </c>
      <c r="E246">
        <v>19.760000000000002</v>
      </c>
    </row>
    <row r="247" spans="1:5" x14ac:dyDescent="0.25">
      <c r="A247">
        <v>124</v>
      </c>
      <c r="B247" t="str">
        <f>VLOOKUP(A247,'Product Dataset'!A:B,2,FALSE)</f>
        <v>Surly Krampus - 2018</v>
      </c>
      <c r="C247">
        <v>11767.15</v>
      </c>
      <c r="D247">
        <v>9443.7000000000007</v>
      </c>
      <c r="E247">
        <v>19.75</v>
      </c>
    </row>
    <row r="248" spans="1:5" x14ac:dyDescent="0.25">
      <c r="A248">
        <v>90</v>
      </c>
      <c r="B248" t="str">
        <f>VLOOKUP(A248,'Product Dataset'!A:B,2,FALSE)</f>
        <v>Trek Precaliber 16 Girls - 2017</v>
      </c>
      <c r="C248">
        <v>4577.7820000000002</v>
      </c>
      <c r="D248">
        <v>3674.8249999999998</v>
      </c>
      <c r="E248">
        <v>19.72</v>
      </c>
    </row>
    <row r="249" spans="1:5" x14ac:dyDescent="0.25">
      <c r="A249">
        <v>135</v>
      </c>
      <c r="B249" t="str">
        <f>VLOOKUP(A249,'Product Dataset'!A:B,2,FALSE)</f>
        <v>Trek X-Caliber Frameset - 2018</v>
      </c>
      <c r="C249">
        <v>5219.9651999999996</v>
      </c>
      <c r="D249">
        <v>4199.9719999999998</v>
      </c>
      <c r="E249">
        <v>19.54</v>
      </c>
    </row>
    <row r="250" spans="1:5" x14ac:dyDescent="0.25">
      <c r="A250">
        <v>137</v>
      </c>
      <c r="B250" t="str">
        <f>VLOOKUP(A250,'Product Dataset'!A:B,2,FALSE)</f>
        <v>Heller Shagamaw GX1 - 2018</v>
      </c>
      <c r="C250">
        <v>11305.65</v>
      </c>
      <c r="D250">
        <v>9096.5</v>
      </c>
      <c r="E250">
        <v>19.54</v>
      </c>
    </row>
    <row r="251" spans="1:5" x14ac:dyDescent="0.25">
      <c r="A251">
        <v>82</v>
      </c>
      <c r="B251" t="str">
        <f>VLOOKUP(A251,'Product Dataset'!A:B,2,FALSE)</f>
        <v>Electra Amsterdam Original 3i Ladies' - 2017</v>
      </c>
      <c r="C251">
        <v>17793.330399999999</v>
      </c>
      <c r="D251">
        <v>14321.782999999999</v>
      </c>
      <c r="E251">
        <v>19.510000000000002</v>
      </c>
    </row>
    <row r="252" spans="1:5" x14ac:dyDescent="0.25">
      <c r="A252">
        <v>62</v>
      </c>
      <c r="B252" t="str">
        <f>VLOOKUP(A252,'Product Dataset'!A:B,2,FALSE)</f>
        <v>Trek Boone 7 - 2017</v>
      </c>
      <c r="C252">
        <v>127609.6354</v>
      </c>
      <c r="D252">
        <v>102899.70600000001</v>
      </c>
      <c r="E252">
        <v>19.36</v>
      </c>
    </row>
    <row r="253" spans="1:5" x14ac:dyDescent="0.25">
      <c r="A253">
        <v>42</v>
      </c>
      <c r="B253" t="str">
        <f>VLOOKUP(A253,'Product Dataset'!A:B,2,FALSE)</f>
        <v>Trek Fuel EX 5 27.5 Plus - 2017</v>
      </c>
      <c r="C253">
        <v>67849.705000000002</v>
      </c>
      <c r="D253">
        <v>54739.762000000002</v>
      </c>
      <c r="E253">
        <v>19.32</v>
      </c>
    </row>
    <row r="254" spans="1:5" x14ac:dyDescent="0.25">
      <c r="A254">
        <v>67</v>
      </c>
      <c r="B254" t="str">
        <f>VLOOKUP(A254,'Product Dataset'!A:B,2,FALSE)</f>
        <v>Sun Bicycles Revolutions 24 - Girl's - 2017</v>
      </c>
      <c r="C254">
        <v>5436.4434000000001</v>
      </c>
      <c r="D254">
        <v>4392.3249999999998</v>
      </c>
      <c r="E254">
        <v>19.21</v>
      </c>
    </row>
    <row r="255" spans="1:5" x14ac:dyDescent="0.25">
      <c r="A255">
        <v>263</v>
      </c>
      <c r="B255" t="str">
        <f>VLOOKUP(A255,'Product Dataset'!A:B,2,FALSE)</f>
        <v>Strider Classic 12 Balance Bike - 2018</v>
      </c>
      <c r="C255">
        <v>857.60469999999998</v>
      </c>
      <c r="D255">
        <v>692.923</v>
      </c>
      <c r="E255">
        <v>19.2</v>
      </c>
    </row>
    <row r="256" spans="1:5" x14ac:dyDescent="0.25">
      <c r="A256">
        <v>219</v>
      </c>
      <c r="B256" t="str">
        <f>VLOOKUP(A256,'Product Dataset'!A:B,2,FALSE)</f>
        <v>Electra Moto 3i - 2018</v>
      </c>
      <c r="C256">
        <v>2771.1567</v>
      </c>
      <c r="D256">
        <v>2239.9650000000001</v>
      </c>
      <c r="E256">
        <v>19.170000000000002</v>
      </c>
    </row>
    <row r="257" spans="1:5" x14ac:dyDescent="0.25">
      <c r="A257">
        <v>129</v>
      </c>
      <c r="B257" t="str">
        <f>VLOOKUP(A257,'Product Dataset'!A:B,2,FALSE)</f>
        <v>Trek X-Caliber 7 - 2018</v>
      </c>
      <c r="C257">
        <v>3983.5567000000001</v>
      </c>
      <c r="D257">
        <v>3219.9650000000001</v>
      </c>
      <c r="E257">
        <v>19.170000000000002</v>
      </c>
    </row>
    <row r="258" spans="1:5" x14ac:dyDescent="0.25">
      <c r="A258">
        <v>286</v>
      </c>
      <c r="B258" t="str">
        <f>VLOOKUP(A258,'Product Dataset'!A:B,2,FALSE)</f>
        <v>Electra Starship 1 16 - 2018</v>
      </c>
      <c r="C258">
        <v>1212.3567</v>
      </c>
      <c r="D258">
        <v>979.96500000000003</v>
      </c>
      <c r="E258">
        <v>19.170000000000002</v>
      </c>
    </row>
    <row r="259" spans="1:5" x14ac:dyDescent="0.25">
      <c r="A259">
        <v>164</v>
      </c>
      <c r="B259" t="str">
        <f>VLOOKUP(A259,'Product Dataset'!A:B,2,FALSE)</f>
        <v>Surly Straggler 650b - 2018</v>
      </c>
      <c r="C259">
        <v>5359.54</v>
      </c>
      <c r="D259">
        <v>4337.2</v>
      </c>
      <c r="E259">
        <v>19.079999999999998</v>
      </c>
    </row>
    <row r="260" spans="1:5" x14ac:dyDescent="0.25">
      <c r="A260">
        <v>163</v>
      </c>
      <c r="B260" t="str">
        <f>VLOOKUP(A260,'Product Dataset'!A:B,2,FALSE)</f>
        <v>Surly Pack Rat - 2018</v>
      </c>
      <c r="C260">
        <v>9335.08</v>
      </c>
      <c r="D260">
        <v>7554.4</v>
      </c>
      <c r="E260">
        <v>19.079999999999998</v>
      </c>
    </row>
    <row r="261" spans="1:5" x14ac:dyDescent="0.25">
      <c r="A261">
        <v>277</v>
      </c>
      <c r="B261" t="str">
        <f>VLOOKUP(A261,'Product Dataset'!A:B,2,FALSE)</f>
        <v>Trek Precaliber 24 21-speed Boy's - 2018</v>
      </c>
      <c r="C261">
        <v>640.08270000000005</v>
      </c>
      <c r="D261">
        <v>517.98599999999999</v>
      </c>
      <c r="E261">
        <v>19.079999999999998</v>
      </c>
    </row>
    <row r="262" spans="1:5" x14ac:dyDescent="0.25">
      <c r="A262">
        <v>131</v>
      </c>
      <c r="B262" t="str">
        <f>VLOOKUP(A262,'Product Dataset'!A:B,2,FALSE)</f>
        <v>Heller Bloodhound Trail - 2018</v>
      </c>
      <c r="C262">
        <v>8992.5400000000009</v>
      </c>
      <c r="D262">
        <v>7277.2</v>
      </c>
      <c r="E262">
        <v>19.079999999999998</v>
      </c>
    </row>
    <row r="263" spans="1:5" x14ac:dyDescent="0.25">
      <c r="A263">
        <v>186</v>
      </c>
      <c r="B263" t="str">
        <f>VLOOKUP(A263,'Product Dataset'!A:B,2,FALSE)</f>
        <v>Trek CrossRip+ - 2018</v>
      </c>
      <c r="C263">
        <v>15524.9655</v>
      </c>
      <c r="D263">
        <v>12599.972</v>
      </c>
      <c r="E263">
        <v>18.84</v>
      </c>
    </row>
    <row r="264" spans="1:5" x14ac:dyDescent="0.25">
      <c r="A264">
        <v>168</v>
      </c>
      <c r="B264" t="str">
        <f>VLOOKUP(A264,'Product Dataset'!A:B,2,FALSE)</f>
        <v>Surly Straggler - 2018</v>
      </c>
      <c r="C264">
        <v>5344.05</v>
      </c>
      <c r="D264">
        <v>4337.2</v>
      </c>
      <c r="E264">
        <v>18.84</v>
      </c>
    </row>
    <row r="265" spans="1:5" x14ac:dyDescent="0.25">
      <c r="A265">
        <v>194</v>
      </c>
      <c r="B265" t="str">
        <f>VLOOKUP(A265,'Product Dataset'!A:B,2,FALSE)</f>
        <v>Trek XM700+ - 2018</v>
      </c>
      <c r="C265">
        <v>24149.931</v>
      </c>
      <c r="D265">
        <v>19599.944</v>
      </c>
      <c r="E265">
        <v>18.84</v>
      </c>
    </row>
    <row r="266" spans="1:5" x14ac:dyDescent="0.25">
      <c r="A266">
        <v>128</v>
      </c>
      <c r="B266" t="str">
        <f>VLOOKUP(A266,'Product Dataset'!A:B,2,FALSE)</f>
        <v>Surly ECR 27.5 - 2018</v>
      </c>
      <c r="C266">
        <v>13103.1</v>
      </c>
      <c r="D266">
        <v>10634.4</v>
      </c>
      <c r="E266">
        <v>18.84</v>
      </c>
    </row>
    <row r="267" spans="1:5" x14ac:dyDescent="0.25">
      <c r="A267">
        <v>283</v>
      </c>
      <c r="B267" t="str">
        <f>VLOOKUP(A267,'Product Dataset'!A:B,2,FALSE)</f>
        <v>Electra Heartchya 1 (20-inch) - Girl's - 2018</v>
      </c>
      <c r="C267">
        <v>1929.5397</v>
      </c>
      <c r="D267">
        <v>1567.951</v>
      </c>
      <c r="E267">
        <v>18.739999999999998</v>
      </c>
    </row>
    <row r="268" spans="1:5" x14ac:dyDescent="0.25">
      <c r="A268">
        <v>225</v>
      </c>
      <c r="B268" t="str">
        <f>VLOOKUP(A268,'Product Dataset'!A:B,2,FALSE)</f>
        <v>Electra Delivery 3i - 2016/2017/2018</v>
      </c>
      <c r="C268">
        <v>4953.5483999999997</v>
      </c>
      <c r="D268">
        <v>4031.9580000000001</v>
      </c>
      <c r="E268">
        <v>18.600000000000001</v>
      </c>
    </row>
    <row r="269" spans="1:5" x14ac:dyDescent="0.25">
      <c r="A269">
        <v>217</v>
      </c>
      <c r="B269" t="str">
        <f>VLOOKUP(A269,'Product Dataset'!A:B,2,FALSE)</f>
        <v>Electra Straight 8 3i - 2018</v>
      </c>
      <c r="C269">
        <v>3121.2656999999999</v>
      </c>
      <c r="D269">
        <v>2547.9720000000002</v>
      </c>
      <c r="E269">
        <v>18.37</v>
      </c>
    </row>
    <row r="270" spans="1:5" x14ac:dyDescent="0.25">
      <c r="A270">
        <v>188</v>
      </c>
      <c r="B270" t="str">
        <f>VLOOKUP(A270,'Product Dataset'!A:B,2,FALSE)</f>
        <v>Trek XM700+ Lowstep - 2018</v>
      </c>
      <c r="C270">
        <v>20964.9401</v>
      </c>
      <c r="D270">
        <v>17149.951000000001</v>
      </c>
      <c r="E270">
        <v>18.2</v>
      </c>
    </row>
    <row r="271" spans="1:5" x14ac:dyDescent="0.25">
      <c r="A271">
        <v>242</v>
      </c>
      <c r="B271" t="str">
        <f>VLOOKUP(A271,'Product Dataset'!A:B,2,FALSE)</f>
        <v>Electra Townie Commute 8D Ladies' - 2018</v>
      </c>
      <c r="C271">
        <v>5389.9229999999998</v>
      </c>
      <c r="D271">
        <v>4409.9369999999999</v>
      </c>
      <c r="E271">
        <v>18.18</v>
      </c>
    </row>
    <row r="272" spans="1:5" x14ac:dyDescent="0.25">
      <c r="A272">
        <v>85</v>
      </c>
      <c r="B272" t="str">
        <f>VLOOKUP(A272,'Product Dataset'!A:B,2,FALSE)</f>
        <v>Haro Downtown 16 - 2017</v>
      </c>
      <c r="C272">
        <v>8464.2435000000005</v>
      </c>
      <c r="D272">
        <v>6929.79</v>
      </c>
      <c r="E272">
        <v>18.13</v>
      </c>
    </row>
    <row r="273" spans="1:5" x14ac:dyDescent="0.25">
      <c r="A273">
        <v>158</v>
      </c>
      <c r="B273" t="str">
        <f>VLOOKUP(A273,'Product Dataset'!A:B,2,FALSE)</f>
        <v>Trek CrossRip 1 - 2018</v>
      </c>
      <c r="C273">
        <v>4089.5574000000001</v>
      </c>
      <c r="D273">
        <v>3359.9650000000001</v>
      </c>
      <c r="E273">
        <v>17.84</v>
      </c>
    </row>
    <row r="274" spans="1:5" x14ac:dyDescent="0.25">
      <c r="A274">
        <v>300</v>
      </c>
      <c r="B274" t="str">
        <f>VLOOKUP(A274,'Product Dataset'!A:B,2,FALSE)</f>
        <v>Electra Townie Balloon 3i EQ Ladies' - 2018</v>
      </c>
      <c r="C274">
        <v>5447.9318999999996</v>
      </c>
      <c r="D274">
        <v>4479.9440000000004</v>
      </c>
      <c r="E274">
        <v>17.77</v>
      </c>
    </row>
    <row r="275" spans="1:5" x14ac:dyDescent="0.25">
      <c r="A275">
        <v>146</v>
      </c>
      <c r="B275" t="str">
        <f>VLOOKUP(A275,'Product Dataset'!A:B,2,FALSE)</f>
        <v>Trek Domane SLR 6 - 2018</v>
      </c>
      <c r="C275">
        <v>8499.9830000000002</v>
      </c>
      <c r="D275">
        <v>6999.9859999999999</v>
      </c>
      <c r="E275">
        <v>17.649999999999999</v>
      </c>
    </row>
    <row r="276" spans="1:5" x14ac:dyDescent="0.25">
      <c r="A276">
        <v>272</v>
      </c>
      <c r="B276" t="str">
        <f>VLOOKUP(A276,'Product Dataset'!A:B,2,FALSE)</f>
        <v>Trek Precaliber 20 6-speed Boy's - 2018</v>
      </c>
      <c r="C276">
        <v>492.983</v>
      </c>
      <c r="D276">
        <v>405.98599999999999</v>
      </c>
      <c r="E276">
        <v>17.649999999999999</v>
      </c>
    </row>
    <row r="277" spans="1:5" x14ac:dyDescent="0.25">
      <c r="A277">
        <v>247</v>
      </c>
      <c r="B277" t="str">
        <f>VLOOKUP(A277,'Product Dataset'!A:B,2,FALSE)</f>
        <v>Electra Townie Original 7D EQ - 2018</v>
      </c>
      <c r="C277">
        <v>1019.9829999999999</v>
      </c>
      <c r="D277">
        <v>839.98599999999999</v>
      </c>
      <c r="E277">
        <v>17.649999999999999</v>
      </c>
    </row>
    <row r="278" spans="1:5" x14ac:dyDescent="0.25">
      <c r="A278">
        <v>274</v>
      </c>
      <c r="B278" t="str">
        <f>VLOOKUP(A278,'Product Dataset'!A:B,2,FALSE)</f>
        <v>Trek Precaliber 20 Boy's - 2018</v>
      </c>
      <c r="C278">
        <v>781.96600000000001</v>
      </c>
      <c r="D278">
        <v>643.97199999999998</v>
      </c>
      <c r="E278">
        <v>17.649999999999999</v>
      </c>
    </row>
    <row r="279" spans="1:5" x14ac:dyDescent="0.25">
      <c r="A279">
        <v>254</v>
      </c>
      <c r="B279" t="str">
        <f>VLOOKUP(A279,'Product Dataset'!A:B,2,FALSE)</f>
        <v>Electra Townie Balloon 3i EQ - 2017/2018</v>
      </c>
      <c r="C279">
        <v>3172.4576999999999</v>
      </c>
      <c r="D279">
        <v>2624.9650000000001</v>
      </c>
      <c r="E279">
        <v>17.260000000000002</v>
      </c>
    </row>
    <row r="280" spans="1:5" x14ac:dyDescent="0.25">
      <c r="A280">
        <v>180</v>
      </c>
      <c r="B280" t="str">
        <f>VLOOKUP(A280,'Product Dataset'!A:B,2,FALSE)</f>
        <v>Trek Domane AL 3 Women's - 2018</v>
      </c>
      <c r="C280">
        <v>6219.1324000000004</v>
      </c>
      <c r="D280">
        <v>5151.9440000000004</v>
      </c>
      <c r="E280">
        <v>17.16</v>
      </c>
    </row>
    <row r="281" spans="1:5" x14ac:dyDescent="0.25">
      <c r="A281">
        <v>208</v>
      </c>
      <c r="B281" t="str">
        <f>VLOOKUP(A281,'Product Dataset'!A:B,2,FALSE)</f>
        <v>Trek Crockett 5 Disc - 2018</v>
      </c>
      <c r="C281">
        <v>4553.9746999999998</v>
      </c>
      <c r="D281">
        <v>3779.9789999999998</v>
      </c>
      <c r="E281">
        <v>17</v>
      </c>
    </row>
    <row r="282" spans="1:5" x14ac:dyDescent="0.25">
      <c r="A282">
        <v>259</v>
      </c>
      <c r="B282" t="str">
        <f>VLOOKUP(A282,'Product Dataset'!A:B,2,FALSE)</f>
        <v>Electra Amsterdam Royal 8i Ladies - 2018</v>
      </c>
      <c r="C282">
        <v>3035.9747000000002</v>
      </c>
      <c r="D282">
        <v>2519.9789999999998</v>
      </c>
      <c r="E282">
        <v>17</v>
      </c>
    </row>
    <row r="283" spans="1:5" x14ac:dyDescent="0.25">
      <c r="A283">
        <v>144</v>
      </c>
      <c r="B283" t="str">
        <f>VLOOKUP(A283,'Product Dataset'!A:B,2,FALSE)</f>
        <v>Trek Domane ALR 4 Disc - 2018</v>
      </c>
      <c r="C283">
        <v>3921.4747000000002</v>
      </c>
      <c r="D283">
        <v>3254.9789999999998</v>
      </c>
      <c r="E283">
        <v>17</v>
      </c>
    </row>
    <row r="284" spans="1:5" x14ac:dyDescent="0.25">
      <c r="A284">
        <v>136</v>
      </c>
      <c r="B284" t="str">
        <f>VLOOKUP(A284,'Product Dataset'!A:B,2,FALSE)</f>
        <v>Trek Procaliber 6 - 2018</v>
      </c>
      <c r="C284">
        <v>4553.9746999999998</v>
      </c>
      <c r="D284">
        <v>3779.9789999999998</v>
      </c>
      <c r="E284">
        <v>17</v>
      </c>
    </row>
    <row r="285" spans="1:5" x14ac:dyDescent="0.25">
      <c r="A285">
        <v>114</v>
      </c>
      <c r="B285" t="str">
        <f>VLOOKUP(A285,'Product Dataset'!A:B,2,FALSE)</f>
        <v>Trek Marlin 6 - 2018</v>
      </c>
      <c r="C285">
        <v>1467.3747000000001</v>
      </c>
      <c r="D285">
        <v>1217.979</v>
      </c>
      <c r="E285">
        <v>17</v>
      </c>
    </row>
    <row r="286" spans="1:5" x14ac:dyDescent="0.25">
      <c r="A286">
        <v>229</v>
      </c>
      <c r="B286" t="str">
        <f>VLOOKUP(A286,'Product Dataset'!A:B,2,FALSE)</f>
        <v>Electra Cruiser Lux 1 - 2016/2018</v>
      </c>
      <c r="C286">
        <v>2175.7494000000002</v>
      </c>
      <c r="D286">
        <v>1805.9580000000001</v>
      </c>
      <c r="E286">
        <v>17</v>
      </c>
    </row>
    <row r="287" spans="1:5" x14ac:dyDescent="0.25">
      <c r="A287">
        <v>241</v>
      </c>
      <c r="B287" t="str">
        <f>VLOOKUP(A287,'Product Dataset'!A:B,2,FALSE)</f>
        <v>Electra Townie Commute 8D - 2018</v>
      </c>
      <c r="C287">
        <v>1897.4747</v>
      </c>
      <c r="D287">
        <v>1574.979</v>
      </c>
      <c r="E287">
        <v>17</v>
      </c>
    </row>
    <row r="288" spans="1:5" x14ac:dyDescent="0.25">
      <c r="A288">
        <v>173</v>
      </c>
      <c r="B288" t="str">
        <f>VLOOKUP(A288,'Product Dataset'!A:B,2,FALSE)</f>
        <v>Trek Domane ALR Frameset - 2018</v>
      </c>
      <c r="C288">
        <v>13439.958000000001</v>
      </c>
      <c r="D288">
        <v>11199.965</v>
      </c>
      <c r="E288">
        <v>16.670000000000002</v>
      </c>
    </row>
    <row r="289" spans="1:5" x14ac:dyDescent="0.25">
      <c r="A289">
        <v>118</v>
      </c>
      <c r="B289" t="str">
        <f>VLOOKUP(A289,'Product Dataset'!A:B,2,FALSE)</f>
        <v>Trek X-Caliber 8 - 2018</v>
      </c>
      <c r="C289">
        <v>2499.9749999999999</v>
      </c>
      <c r="D289">
        <v>2099.9789999999998</v>
      </c>
      <c r="E289">
        <v>16</v>
      </c>
    </row>
    <row r="290" spans="1:5" x14ac:dyDescent="0.25">
      <c r="A290">
        <v>152</v>
      </c>
      <c r="B290" t="str">
        <f>VLOOKUP(A290,'Product Dataset'!A:B,2,FALSE)</f>
        <v>Trek Domane SL 5 Disc Women's - 2018</v>
      </c>
      <c r="C290">
        <v>6249.9750000000004</v>
      </c>
      <c r="D290">
        <v>5249.9790000000003</v>
      </c>
      <c r="E290">
        <v>16</v>
      </c>
    </row>
    <row r="291" spans="1:5" x14ac:dyDescent="0.25">
      <c r="A291">
        <v>311</v>
      </c>
      <c r="B291" t="str">
        <f>VLOOKUP(A291,'Product Dataset'!A:B,2,FALSE)</f>
        <v>Electra Townie Commute 8D - 2018</v>
      </c>
      <c r="C291">
        <v>1874.9749999999999</v>
      </c>
      <c r="D291">
        <v>1574.979</v>
      </c>
      <c r="E291">
        <v>16</v>
      </c>
    </row>
    <row r="292" spans="1:5" x14ac:dyDescent="0.25">
      <c r="A292">
        <v>308</v>
      </c>
      <c r="B292" t="str">
        <f>VLOOKUP(A292,'Product Dataset'!A:B,2,FALSE)</f>
        <v>Electra Townie Balloon 8D EQ Ladies' - 2016/2017/2018</v>
      </c>
      <c r="C292">
        <v>3749.95</v>
      </c>
      <c r="D292">
        <v>3149.9580000000001</v>
      </c>
      <c r="E292">
        <v>16</v>
      </c>
    </row>
    <row r="293" spans="1:5" x14ac:dyDescent="0.25">
      <c r="A293">
        <v>210</v>
      </c>
      <c r="B293" t="str">
        <f>VLOOKUP(A293,'Product Dataset'!A:B,2,FALSE)</f>
        <v>Surly Straggler - 2018</v>
      </c>
      <c r="C293">
        <v>6428.35</v>
      </c>
      <c r="D293">
        <v>5421.5</v>
      </c>
      <c r="E293">
        <v>15.66</v>
      </c>
    </row>
    <row r="294" spans="1:5" x14ac:dyDescent="0.25">
      <c r="A294">
        <v>196</v>
      </c>
      <c r="B294" t="str">
        <f>VLOOKUP(A294,'Product Dataset'!A:B,2,FALSE)</f>
        <v>Trek Verve+ - 2018</v>
      </c>
      <c r="C294">
        <v>9544.9585000000006</v>
      </c>
      <c r="D294">
        <v>8049.9650000000001</v>
      </c>
      <c r="E294">
        <v>15.66</v>
      </c>
    </row>
    <row r="295" spans="1:5" x14ac:dyDescent="0.25">
      <c r="A295">
        <v>238</v>
      </c>
      <c r="B295" t="str">
        <f>VLOOKUP(A295,'Product Dataset'!A:B,2,FALSE)</f>
        <v>Electra Townie Balloon 8D EQ - 2016/2017/2018</v>
      </c>
      <c r="C295">
        <v>2474.9670000000001</v>
      </c>
      <c r="D295">
        <v>2099.9720000000002</v>
      </c>
      <c r="E295">
        <v>15.15</v>
      </c>
    </row>
    <row r="296" spans="1:5" x14ac:dyDescent="0.25">
      <c r="A296">
        <v>184</v>
      </c>
      <c r="B296" t="str">
        <f>VLOOKUP(A296,'Product Dataset'!A:B,2,FALSE)</f>
        <v>Trek Domane SL 6 Disc - 2018</v>
      </c>
      <c r="C296">
        <v>17324.950499999999</v>
      </c>
      <c r="D296">
        <v>14699.958000000001</v>
      </c>
      <c r="E296">
        <v>15.15</v>
      </c>
    </row>
    <row r="297" spans="1:5" x14ac:dyDescent="0.25">
      <c r="A297">
        <v>197</v>
      </c>
      <c r="B297" t="str">
        <f>VLOOKUP(A297,'Product Dataset'!A:B,2,FALSE)</f>
        <v>Trek Verve+ Lowstep - 2018</v>
      </c>
      <c r="C297">
        <v>9429.9590000000007</v>
      </c>
      <c r="D297">
        <v>8049.9650000000001</v>
      </c>
      <c r="E297">
        <v>14.63</v>
      </c>
    </row>
    <row r="298" spans="1:5" x14ac:dyDescent="0.25">
      <c r="A298">
        <v>189</v>
      </c>
      <c r="B298" t="str">
        <f>VLOOKUP(A298,'Product Dataset'!A:B,2,FALSE)</f>
        <v>Trek Lift+ Lowstep - 2018</v>
      </c>
      <c r="C298">
        <v>4479.9840000000004</v>
      </c>
      <c r="D298">
        <v>3919.9859999999999</v>
      </c>
      <c r="E298">
        <v>12.5</v>
      </c>
    </row>
    <row r="299" spans="1:5" x14ac:dyDescent="0.25">
      <c r="A299">
        <v>232</v>
      </c>
      <c r="B299" t="str">
        <f>VLOOKUP(A299,'Product Dataset'!A:B,2,FALSE)</f>
        <v>Electra Cruiser Lux 7D Ladies' - 2018</v>
      </c>
      <c r="C299">
        <v>767.98400000000004</v>
      </c>
      <c r="D299">
        <v>671.98599999999999</v>
      </c>
      <c r="E299">
        <v>12.5</v>
      </c>
    </row>
    <row r="300" spans="1:5" x14ac:dyDescent="0.25">
      <c r="A300">
        <v>120</v>
      </c>
      <c r="B300" t="str">
        <f>VLOOKUP(A300,'Product Dataset'!A:B,2,FALSE)</f>
        <v>Trek Fuel EX 7 29 - 2018</v>
      </c>
      <c r="C300">
        <v>7999.9679999999998</v>
      </c>
      <c r="D300">
        <v>6999.9719999999998</v>
      </c>
      <c r="E300">
        <v>12.5</v>
      </c>
    </row>
    <row r="301" spans="1:5" x14ac:dyDescent="0.25">
      <c r="A301">
        <v>285</v>
      </c>
      <c r="B301" t="str">
        <f>VLOOKUP(A301,'Product Dataset'!A:B,2,FALSE)</f>
        <v>Electra Soft Serve 1 (16-inch) - Girl's - 2018</v>
      </c>
      <c r="C301">
        <v>223.99199999999999</v>
      </c>
      <c r="D301">
        <v>195.99299999999999</v>
      </c>
      <c r="E301">
        <v>12.5</v>
      </c>
    </row>
    <row r="302" spans="1:5" x14ac:dyDescent="0.25">
      <c r="A302">
        <v>174</v>
      </c>
      <c r="B302" t="str">
        <f>VLOOKUP(A302,'Product Dataset'!A:B,2,FALSE)</f>
        <v>Trek Domane SLR Disc Frameset - 2018</v>
      </c>
      <c r="C302">
        <v>2559.9920000000002</v>
      </c>
      <c r="D302">
        <v>2239.9929999999999</v>
      </c>
      <c r="E302">
        <v>12.5</v>
      </c>
    </row>
    <row r="303" spans="1:5" x14ac:dyDescent="0.25">
      <c r="A303">
        <v>296</v>
      </c>
      <c r="B303" t="str">
        <f>VLOOKUP(A303,'Product Dataset'!A:B,2,FALSE)</f>
        <v>Electra Treasure 3i 20 - 2018</v>
      </c>
      <c r="C303">
        <v>295.99200000000002</v>
      </c>
      <c r="D303">
        <v>258.99299999999999</v>
      </c>
      <c r="E303">
        <v>12.5</v>
      </c>
    </row>
    <row r="304" spans="1:5" x14ac:dyDescent="0.25">
      <c r="A304">
        <v>183</v>
      </c>
      <c r="B304" t="str">
        <f>VLOOKUP(A304,'Product Dataset'!A:B,2,FALSE)</f>
        <v>Trek Domane SL 5 Women's - 2018</v>
      </c>
      <c r="C304">
        <v>1759.992</v>
      </c>
      <c r="D304">
        <v>1539.9929999999999</v>
      </c>
      <c r="E304">
        <v>12.5</v>
      </c>
    </row>
    <row r="305" spans="1:5" x14ac:dyDescent="0.25">
      <c r="A305">
        <v>140</v>
      </c>
      <c r="B305" t="str">
        <f>VLOOKUP(A305,'Product Dataset'!A:B,2,FALSE)</f>
        <v>Trek Remedy 9.8 27.5 - 2018</v>
      </c>
      <c r="C305">
        <v>11999.976000000001</v>
      </c>
      <c r="D305">
        <v>10499.978999999999</v>
      </c>
      <c r="E305">
        <v>12.5</v>
      </c>
    </row>
    <row r="306" spans="1:5" x14ac:dyDescent="0.25">
      <c r="A306">
        <v>279</v>
      </c>
      <c r="B306" t="str">
        <f>VLOOKUP(A306,'Product Dataset'!A:B,2,FALSE)</f>
        <v>Trek Precaliber 24 7-speed Girl's - 2018</v>
      </c>
      <c r="C306">
        <v>255.99199999999999</v>
      </c>
      <c r="D306">
        <v>223.99299999999999</v>
      </c>
      <c r="E306">
        <v>12.5</v>
      </c>
    </row>
    <row r="307" spans="1:5" x14ac:dyDescent="0.25">
      <c r="A307">
        <v>299</v>
      </c>
      <c r="B307" t="str">
        <f>VLOOKUP(A307,'Product Dataset'!A:B,2,FALSE)</f>
        <v>Electra Townie Original 21D - 2018</v>
      </c>
      <c r="C307">
        <v>447.99200000000002</v>
      </c>
      <c r="D307">
        <v>391.99299999999999</v>
      </c>
      <c r="E307">
        <v>12.5</v>
      </c>
    </row>
    <row r="308" spans="1:5" x14ac:dyDescent="0.25">
      <c r="A308">
        <v>314</v>
      </c>
      <c r="B308" t="str">
        <f>VLOOKUP(A308,'Product Dataset'!A:B,2,FALSE)</f>
        <v>Electra Townie Original 21D EQ Ladies' - 2018</v>
      </c>
      <c r="C308">
        <v>1087.9839999999999</v>
      </c>
      <c r="D308">
        <v>951.98599999999999</v>
      </c>
      <c r="E308">
        <v>12.5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8"/>
  <sheetViews>
    <sheetView workbookViewId="0">
      <selection activeCell="F7" sqref="F7"/>
    </sheetView>
  </sheetViews>
  <sheetFormatPr defaultRowHeight="15" x14ac:dyDescent="0.25"/>
  <cols>
    <col min="1" max="1" width="10.5703125" bestFit="1" customWidth="1"/>
    <col min="2" max="2" width="4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 t="s">
        <v>2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  <row r="6" spans="1:2" x14ac:dyDescent="0.25">
      <c r="A6">
        <v>6</v>
      </c>
      <c r="B6" t="s">
        <v>6</v>
      </c>
    </row>
    <row r="7" spans="1:2" x14ac:dyDescent="0.25">
      <c r="A7">
        <v>7</v>
      </c>
      <c r="B7" t="s">
        <v>7</v>
      </c>
    </row>
    <row r="8" spans="1:2" x14ac:dyDescent="0.25">
      <c r="A8">
        <v>8</v>
      </c>
      <c r="B8" t="s">
        <v>8</v>
      </c>
    </row>
    <row r="9" spans="1:2" x14ac:dyDescent="0.25">
      <c r="A9">
        <v>9</v>
      </c>
      <c r="B9" t="s">
        <v>9</v>
      </c>
    </row>
    <row r="10" spans="1:2" x14ac:dyDescent="0.25">
      <c r="A10">
        <v>10</v>
      </c>
      <c r="B10" t="s">
        <v>10</v>
      </c>
    </row>
    <row r="11" spans="1:2" x14ac:dyDescent="0.25">
      <c r="A11">
        <v>11</v>
      </c>
      <c r="B11" t="s">
        <v>11</v>
      </c>
    </row>
    <row r="12" spans="1:2" x14ac:dyDescent="0.25">
      <c r="A12">
        <v>12</v>
      </c>
      <c r="B12" t="s">
        <v>12</v>
      </c>
    </row>
    <row r="13" spans="1:2" x14ac:dyDescent="0.25">
      <c r="A13">
        <v>13</v>
      </c>
      <c r="B13" t="s">
        <v>13</v>
      </c>
    </row>
    <row r="14" spans="1:2" x14ac:dyDescent="0.25">
      <c r="A14">
        <v>14</v>
      </c>
      <c r="B14" t="s">
        <v>14</v>
      </c>
    </row>
    <row r="15" spans="1:2" x14ac:dyDescent="0.25">
      <c r="A15">
        <v>15</v>
      </c>
      <c r="B15" t="s">
        <v>15</v>
      </c>
    </row>
    <row r="16" spans="1:2" x14ac:dyDescent="0.25">
      <c r="A16">
        <v>16</v>
      </c>
      <c r="B16" t="s">
        <v>16</v>
      </c>
    </row>
    <row r="17" spans="1:2" x14ac:dyDescent="0.25">
      <c r="A17">
        <v>17</v>
      </c>
      <c r="B17" t="s">
        <v>17</v>
      </c>
    </row>
    <row r="18" spans="1:2" x14ac:dyDescent="0.25">
      <c r="A18">
        <v>18</v>
      </c>
      <c r="B18" t="s">
        <v>18</v>
      </c>
    </row>
    <row r="19" spans="1:2" x14ac:dyDescent="0.25">
      <c r="A19">
        <v>19</v>
      </c>
      <c r="B19" t="s">
        <v>19</v>
      </c>
    </row>
    <row r="20" spans="1:2" x14ac:dyDescent="0.25">
      <c r="A20">
        <v>20</v>
      </c>
      <c r="B20" t="s">
        <v>20</v>
      </c>
    </row>
    <row r="21" spans="1:2" x14ac:dyDescent="0.25">
      <c r="A21">
        <v>21</v>
      </c>
      <c r="B21" t="s">
        <v>13</v>
      </c>
    </row>
    <row r="22" spans="1:2" x14ac:dyDescent="0.25">
      <c r="A22">
        <v>22</v>
      </c>
      <c r="B22" t="s">
        <v>14</v>
      </c>
    </row>
    <row r="23" spans="1:2" x14ac:dyDescent="0.25">
      <c r="A23">
        <v>23</v>
      </c>
      <c r="B23" t="s">
        <v>21</v>
      </c>
    </row>
    <row r="24" spans="1:2" x14ac:dyDescent="0.25">
      <c r="A24">
        <v>24</v>
      </c>
      <c r="B24" t="s">
        <v>12</v>
      </c>
    </row>
    <row r="25" spans="1:2" x14ac:dyDescent="0.25">
      <c r="A25">
        <v>25</v>
      </c>
      <c r="B25" t="s">
        <v>22</v>
      </c>
    </row>
    <row r="26" spans="1:2" x14ac:dyDescent="0.25">
      <c r="A26">
        <v>26</v>
      </c>
      <c r="B26" t="s">
        <v>16</v>
      </c>
    </row>
    <row r="27" spans="1:2" x14ac:dyDescent="0.25">
      <c r="A27">
        <v>27</v>
      </c>
      <c r="B27" t="s">
        <v>23</v>
      </c>
    </row>
    <row r="28" spans="1:2" x14ac:dyDescent="0.25">
      <c r="A28">
        <v>28</v>
      </c>
      <c r="B28" t="s">
        <v>24</v>
      </c>
    </row>
    <row r="29" spans="1:2" x14ac:dyDescent="0.25">
      <c r="A29">
        <v>29</v>
      </c>
      <c r="B29" t="s">
        <v>25</v>
      </c>
    </row>
    <row r="30" spans="1:2" x14ac:dyDescent="0.25">
      <c r="A30">
        <v>30</v>
      </c>
      <c r="B30" t="s">
        <v>26</v>
      </c>
    </row>
    <row r="31" spans="1:2" x14ac:dyDescent="0.25">
      <c r="A31">
        <v>31</v>
      </c>
      <c r="B31" t="s">
        <v>27</v>
      </c>
    </row>
    <row r="32" spans="1:2" x14ac:dyDescent="0.25">
      <c r="A32">
        <v>32</v>
      </c>
      <c r="B32" t="s">
        <v>28</v>
      </c>
    </row>
    <row r="33" spans="1:2" x14ac:dyDescent="0.25">
      <c r="A33">
        <v>33</v>
      </c>
      <c r="B33" t="s">
        <v>29</v>
      </c>
    </row>
    <row r="34" spans="1:2" x14ac:dyDescent="0.25">
      <c r="A34">
        <v>34</v>
      </c>
      <c r="B34" t="s">
        <v>30</v>
      </c>
    </row>
    <row r="35" spans="1:2" x14ac:dyDescent="0.25">
      <c r="A35">
        <v>35</v>
      </c>
      <c r="B35" t="s">
        <v>31</v>
      </c>
    </row>
    <row r="36" spans="1:2" x14ac:dyDescent="0.25">
      <c r="A36">
        <v>36</v>
      </c>
      <c r="B36" t="s">
        <v>32</v>
      </c>
    </row>
    <row r="37" spans="1:2" x14ac:dyDescent="0.25">
      <c r="A37">
        <v>37</v>
      </c>
      <c r="B37" t="s">
        <v>33</v>
      </c>
    </row>
    <row r="38" spans="1:2" x14ac:dyDescent="0.25">
      <c r="A38">
        <v>38</v>
      </c>
      <c r="B38" t="s">
        <v>34</v>
      </c>
    </row>
    <row r="39" spans="1:2" x14ac:dyDescent="0.25">
      <c r="A39">
        <v>39</v>
      </c>
      <c r="B39" t="s">
        <v>35</v>
      </c>
    </row>
    <row r="40" spans="1:2" x14ac:dyDescent="0.25">
      <c r="A40">
        <v>40</v>
      </c>
      <c r="B40" t="s">
        <v>36</v>
      </c>
    </row>
    <row r="41" spans="1:2" x14ac:dyDescent="0.25">
      <c r="A41">
        <v>41</v>
      </c>
      <c r="B41" t="s">
        <v>37</v>
      </c>
    </row>
    <row r="42" spans="1:2" x14ac:dyDescent="0.25">
      <c r="A42">
        <v>42</v>
      </c>
      <c r="B42" t="s">
        <v>38</v>
      </c>
    </row>
    <row r="43" spans="1:2" x14ac:dyDescent="0.25">
      <c r="A43">
        <v>43</v>
      </c>
      <c r="B43" t="s">
        <v>39</v>
      </c>
    </row>
    <row r="44" spans="1:2" x14ac:dyDescent="0.25">
      <c r="A44">
        <v>44</v>
      </c>
      <c r="B44" t="s">
        <v>40</v>
      </c>
    </row>
    <row r="45" spans="1:2" x14ac:dyDescent="0.25">
      <c r="A45">
        <v>45</v>
      </c>
      <c r="B45" t="s">
        <v>41</v>
      </c>
    </row>
    <row r="46" spans="1:2" x14ac:dyDescent="0.25">
      <c r="A46">
        <v>46</v>
      </c>
      <c r="B46" t="s">
        <v>42</v>
      </c>
    </row>
    <row r="47" spans="1:2" x14ac:dyDescent="0.25">
      <c r="A47">
        <v>47</v>
      </c>
      <c r="B47" t="s">
        <v>43</v>
      </c>
    </row>
    <row r="48" spans="1:2" x14ac:dyDescent="0.25">
      <c r="A48">
        <v>48</v>
      </c>
      <c r="B48" t="s">
        <v>44</v>
      </c>
    </row>
    <row r="49" spans="1:2" x14ac:dyDescent="0.25">
      <c r="A49">
        <v>49</v>
      </c>
      <c r="B49" t="s">
        <v>45</v>
      </c>
    </row>
    <row r="50" spans="1:2" x14ac:dyDescent="0.25">
      <c r="A50">
        <v>50</v>
      </c>
      <c r="B50" t="s">
        <v>46</v>
      </c>
    </row>
    <row r="51" spans="1:2" x14ac:dyDescent="0.25">
      <c r="A51">
        <v>51</v>
      </c>
      <c r="B51" t="s">
        <v>47</v>
      </c>
    </row>
    <row r="52" spans="1:2" x14ac:dyDescent="0.25">
      <c r="A52">
        <v>52</v>
      </c>
      <c r="B52" t="s">
        <v>48</v>
      </c>
    </row>
    <row r="53" spans="1:2" x14ac:dyDescent="0.25">
      <c r="A53">
        <v>53</v>
      </c>
      <c r="B53" t="s">
        <v>49</v>
      </c>
    </row>
    <row r="54" spans="1:2" x14ac:dyDescent="0.25">
      <c r="A54">
        <v>54</v>
      </c>
      <c r="B54" t="s">
        <v>50</v>
      </c>
    </row>
    <row r="55" spans="1:2" x14ac:dyDescent="0.25">
      <c r="A55">
        <v>55</v>
      </c>
      <c r="B55" t="s">
        <v>51</v>
      </c>
    </row>
    <row r="56" spans="1:2" x14ac:dyDescent="0.25">
      <c r="A56">
        <v>56</v>
      </c>
      <c r="B56" t="s">
        <v>52</v>
      </c>
    </row>
    <row r="57" spans="1:2" x14ac:dyDescent="0.25">
      <c r="A57">
        <v>57</v>
      </c>
      <c r="B57" t="s">
        <v>53</v>
      </c>
    </row>
    <row r="58" spans="1:2" x14ac:dyDescent="0.25">
      <c r="A58">
        <v>58</v>
      </c>
      <c r="B58" t="s">
        <v>54</v>
      </c>
    </row>
    <row r="59" spans="1:2" x14ac:dyDescent="0.25">
      <c r="A59">
        <v>59</v>
      </c>
      <c r="B59" t="s">
        <v>55</v>
      </c>
    </row>
    <row r="60" spans="1:2" x14ac:dyDescent="0.25">
      <c r="A60">
        <v>60</v>
      </c>
      <c r="B60" t="s">
        <v>56</v>
      </c>
    </row>
    <row r="61" spans="1:2" x14ac:dyDescent="0.25">
      <c r="A61">
        <v>61</v>
      </c>
      <c r="B61" t="s">
        <v>57</v>
      </c>
    </row>
    <row r="62" spans="1:2" x14ac:dyDescent="0.25">
      <c r="A62">
        <v>62</v>
      </c>
      <c r="B62" t="s">
        <v>58</v>
      </c>
    </row>
    <row r="63" spans="1:2" x14ac:dyDescent="0.25">
      <c r="A63">
        <v>63</v>
      </c>
      <c r="B63" t="s">
        <v>59</v>
      </c>
    </row>
    <row r="64" spans="1:2" x14ac:dyDescent="0.25">
      <c r="A64">
        <v>64</v>
      </c>
      <c r="B64" t="s">
        <v>60</v>
      </c>
    </row>
    <row r="65" spans="1:2" x14ac:dyDescent="0.25">
      <c r="A65">
        <v>65</v>
      </c>
      <c r="B65" t="s">
        <v>61</v>
      </c>
    </row>
    <row r="66" spans="1:2" x14ac:dyDescent="0.25">
      <c r="A66">
        <v>66</v>
      </c>
      <c r="B66" t="s">
        <v>62</v>
      </c>
    </row>
    <row r="67" spans="1:2" x14ac:dyDescent="0.25">
      <c r="A67">
        <v>67</v>
      </c>
      <c r="B67" t="s">
        <v>63</v>
      </c>
    </row>
    <row r="68" spans="1:2" x14ac:dyDescent="0.25">
      <c r="A68">
        <v>68</v>
      </c>
      <c r="B68" t="s">
        <v>64</v>
      </c>
    </row>
    <row r="69" spans="1:2" x14ac:dyDescent="0.25">
      <c r="A69">
        <v>69</v>
      </c>
      <c r="B69" t="s">
        <v>65</v>
      </c>
    </row>
    <row r="70" spans="1:2" x14ac:dyDescent="0.25">
      <c r="A70">
        <v>70</v>
      </c>
      <c r="B70" t="s">
        <v>66</v>
      </c>
    </row>
    <row r="71" spans="1:2" x14ac:dyDescent="0.25">
      <c r="A71">
        <v>71</v>
      </c>
      <c r="B71" t="s">
        <v>67</v>
      </c>
    </row>
    <row r="72" spans="1:2" x14ac:dyDescent="0.25">
      <c r="A72">
        <v>72</v>
      </c>
      <c r="B72" t="s">
        <v>68</v>
      </c>
    </row>
    <row r="73" spans="1:2" x14ac:dyDescent="0.25">
      <c r="A73">
        <v>73</v>
      </c>
      <c r="B73" t="s">
        <v>69</v>
      </c>
    </row>
    <row r="74" spans="1:2" x14ac:dyDescent="0.25">
      <c r="A74">
        <v>74</v>
      </c>
      <c r="B74" t="s">
        <v>70</v>
      </c>
    </row>
    <row r="75" spans="1:2" x14ac:dyDescent="0.25">
      <c r="A75">
        <v>75</v>
      </c>
      <c r="B75" t="s">
        <v>71</v>
      </c>
    </row>
    <row r="76" spans="1:2" x14ac:dyDescent="0.25">
      <c r="A76">
        <v>76</v>
      </c>
      <c r="B76" t="s">
        <v>72</v>
      </c>
    </row>
    <row r="77" spans="1:2" x14ac:dyDescent="0.25">
      <c r="A77">
        <v>77</v>
      </c>
      <c r="B77" t="s">
        <v>73</v>
      </c>
    </row>
    <row r="78" spans="1:2" x14ac:dyDescent="0.25">
      <c r="A78">
        <v>78</v>
      </c>
      <c r="B78" t="s">
        <v>74</v>
      </c>
    </row>
    <row r="79" spans="1:2" x14ac:dyDescent="0.25">
      <c r="A79">
        <v>79</v>
      </c>
      <c r="B79" t="s">
        <v>75</v>
      </c>
    </row>
    <row r="80" spans="1:2" x14ac:dyDescent="0.25">
      <c r="A80">
        <v>80</v>
      </c>
      <c r="B80" t="s">
        <v>76</v>
      </c>
    </row>
    <row r="81" spans="1:2" x14ac:dyDescent="0.25">
      <c r="A81">
        <v>81</v>
      </c>
      <c r="B81" t="s">
        <v>77</v>
      </c>
    </row>
    <row r="82" spans="1:2" x14ac:dyDescent="0.25">
      <c r="A82">
        <v>82</v>
      </c>
      <c r="B82" t="s">
        <v>78</v>
      </c>
    </row>
    <row r="83" spans="1:2" x14ac:dyDescent="0.25">
      <c r="A83">
        <v>83</v>
      </c>
      <c r="B83" t="s">
        <v>79</v>
      </c>
    </row>
    <row r="84" spans="1:2" x14ac:dyDescent="0.25">
      <c r="A84">
        <v>84</v>
      </c>
      <c r="B84" t="s">
        <v>80</v>
      </c>
    </row>
    <row r="85" spans="1:2" x14ac:dyDescent="0.25">
      <c r="A85">
        <v>85</v>
      </c>
      <c r="B85" t="s">
        <v>81</v>
      </c>
    </row>
    <row r="86" spans="1:2" x14ac:dyDescent="0.25">
      <c r="A86">
        <v>86</v>
      </c>
      <c r="B86" t="s">
        <v>82</v>
      </c>
    </row>
    <row r="87" spans="1:2" x14ac:dyDescent="0.25">
      <c r="A87">
        <v>87</v>
      </c>
      <c r="B87" t="s">
        <v>83</v>
      </c>
    </row>
    <row r="88" spans="1:2" x14ac:dyDescent="0.25">
      <c r="A88">
        <v>88</v>
      </c>
      <c r="B88" t="s">
        <v>84</v>
      </c>
    </row>
    <row r="89" spans="1:2" x14ac:dyDescent="0.25">
      <c r="A89">
        <v>89</v>
      </c>
      <c r="B89" t="s">
        <v>85</v>
      </c>
    </row>
    <row r="90" spans="1:2" x14ac:dyDescent="0.25">
      <c r="A90">
        <v>90</v>
      </c>
      <c r="B90" t="s">
        <v>86</v>
      </c>
    </row>
    <row r="91" spans="1:2" x14ac:dyDescent="0.25">
      <c r="A91">
        <v>91</v>
      </c>
      <c r="B91" t="s">
        <v>87</v>
      </c>
    </row>
    <row r="92" spans="1:2" x14ac:dyDescent="0.25">
      <c r="A92">
        <v>92</v>
      </c>
      <c r="B92" t="s">
        <v>88</v>
      </c>
    </row>
    <row r="93" spans="1:2" x14ac:dyDescent="0.25">
      <c r="A93">
        <v>93</v>
      </c>
      <c r="B93" t="s">
        <v>89</v>
      </c>
    </row>
    <row r="94" spans="1:2" x14ac:dyDescent="0.25">
      <c r="A94">
        <v>94</v>
      </c>
      <c r="B94" t="s">
        <v>90</v>
      </c>
    </row>
    <row r="95" spans="1:2" x14ac:dyDescent="0.25">
      <c r="A95">
        <v>95</v>
      </c>
      <c r="B95" t="s">
        <v>72</v>
      </c>
    </row>
    <row r="96" spans="1:2" x14ac:dyDescent="0.25">
      <c r="A96">
        <v>96</v>
      </c>
      <c r="B96" t="s">
        <v>91</v>
      </c>
    </row>
    <row r="97" spans="1:2" x14ac:dyDescent="0.25">
      <c r="A97">
        <v>97</v>
      </c>
      <c r="B97" t="s">
        <v>92</v>
      </c>
    </row>
    <row r="98" spans="1:2" x14ac:dyDescent="0.25">
      <c r="A98">
        <v>98</v>
      </c>
      <c r="B98" t="s">
        <v>93</v>
      </c>
    </row>
    <row r="99" spans="1:2" x14ac:dyDescent="0.25">
      <c r="A99">
        <v>99</v>
      </c>
      <c r="B99" t="s">
        <v>94</v>
      </c>
    </row>
    <row r="100" spans="1:2" x14ac:dyDescent="0.25">
      <c r="A100">
        <v>100</v>
      </c>
      <c r="B100" t="s">
        <v>95</v>
      </c>
    </row>
    <row r="101" spans="1:2" x14ac:dyDescent="0.25">
      <c r="A101">
        <v>101</v>
      </c>
      <c r="B101" t="s">
        <v>96</v>
      </c>
    </row>
    <row r="102" spans="1:2" x14ac:dyDescent="0.25">
      <c r="A102">
        <v>102</v>
      </c>
      <c r="B102" t="s">
        <v>60</v>
      </c>
    </row>
    <row r="103" spans="1:2" x14ac:dyDescent="0.25">
      <c r="A103">
        <v>103</v>
      </c>
      <c r="B103" t="s">
        <v>97</v>
      </c>
    </row>
    <row r="104" spans="1:2" x14ac:dyDescent="0.25">
      <c r="A104">
        <v>104</v>
      </c>
      <c r="B104" t="s">
        <v>98</v>
      </c>
    </row>
    <row r="105" spans="1:2" x14ac:dyDescent="0.25">
      <c r="A105">
        <v>105</v>
      </c>
      <c r="B105" t="s">
        <v>99</v>
      </c>
    </row>
    <row r="106" spans="1:2" x14ac:dyDescent="0.25">
      <c r="A106">
        <v>106</v>
      </c>
      <c r="B106" t="s">
        <v>64</v>
      </c>
    </row>
    <row r="107" spans="1:2" x14ac:dyDescent="0.25">
      <c r="A107">
        <v>107</v>
      </c>
      <c r="B107" t="s">
        <v>65</v>
      </c>
    </row>
    <row r="108" spans="1:2" x14ac:dyDescent="0.25">
      <c r="A108">
        <v>108</v>
      </c>
      <c r="B108" t="s">
        <v>100</v>
      </c>
    </row>
    <row r="109" spans="1:2" x14ac:dyDescent="0.25">
      <c r="A109">
        <v>109</v>
      </c>
      <c r="B109" t="s">
        <v>101</v>
      </c>
    </row>
    <row r="110" spans="1:2" x14ac:dyDescent="0.25">
      <c r="A110">
        <v>110</v>
      </c>
      <c r="B110" t="s">
        <v>102</v>
      </c>
    </row>
    <row r="111" spans="1:2" x14ac:dyDescent="0.25">
      <c r="A111">
        <v>111</v>
      </c>
      <c r="B111" t="s">
        <v>103</v>
      </c>
    </row>
    <row r="112" spans="1:2" x14ac:dyDescent="0.25">
      <c r="A112">
        <v>112</v>
      </c>
      <c r="B112" t="s">
        <v>104</v>
      </c>
    </row>
    <row r="113" spans="1:2" x14ac:dyDescent="0.25">
      <c r="A113">
        <v>113</v>
      </c>
      <c r="B113" t="s">
        <v>105</v>
      </c>
    </row>
    <row r="114" spans="1:2" x14ac:dyDescent="0.25">
      <c r="A114">
        <v>114</v>
      </c>
      <c r="B114" t="s">
        <v>106</v>
      </c>
    </row>
    <row r="115" spans="1:2" x14ac:dyDescent="0.25">
      <c r="A115">
        <v>115</v>
      </c>
      <c r="B115" t="s">
        <v>107</v>
      </c>
    </row>
    <row r="116" spans="1:2" x14ac:dyDescent="0.25">
      <c r="A116">
        <v>116</v>
      </c>
      <c r="B116" t="s">
        <v>108</v>
      </c>
    </row>
    <row r="117" spans="1:2" x14ac:dyDescent="0.25">
      <c r="A117">
        <v>117</v>
      </c>
      <c r="B117" t="s">
        <v>109</v>
      </c>
    </row>
    <row r="118" spans="1:2" x14ac:dyDescent="0.25">
      <c r="A118">
        <v>118</v>
      </c>
      <c r="B118" t="s">
        <v>110</v>
      </c>
    </row>
    <row r="119" spans="1:2" x14ac:dyDescent="0.25">
      <c r="A119">
        <v>119</v>
      </c>
      <c r="B119" t="s">
        <v>111</v>
      </c>
    </row>
    <row r="120" spans="1:2" x14ac:dyDescent="0.25">
      <c r="A120">
        <v>120</v>
      </c>
      <c r="B120" t="s">
        <v>112</v>
      </c>
    </row>
    <row r="121" spans="1:2" x14ac:dyDescent="0.25">
      <c r="A121">
        <v>122</v>
      </c>
      <c r="B121" t="s">
        <v>113</v>
      </c>
    </row>
    <row r="122" spans="1:2" x14ac:dyDescent="0.25">
      <c r="A122">
        <v>123</v>
      </c>
      <c r="B122" t="s">
        <v>114</v>
      </c>
    </row>
    <row r="123" spans="1:2" x14ac:dyDescent="0.25">
      <c r="A123">
        <v>124</v>
      </c>
      <c r="B123" t="s">
        <v>115</v>
      </c>
    </row>
    <row r="124" spans="1:2" x14ac:dyDescent="0.25">
      <c r="A124">
        <v>126</v>
      </c>
      <c r="B124" t="s">
        <v>116</v>
      </c>
    </row>
    <row r="125" spans="1:2" x14ac:dyDescent="0.25">
      <c r="A125">
        <v>127</v>
      </c>
      <c r="B125" t="s">
        <v>117</v>
      </c>
    </row>
    <row r="126" spans="1:2" x14ac:dyDescent="0.25">
      <c r="A126">
        <v>128</v>
      </c>
      <c r="B126" t="s">
        <v>118</v>
      </c>
    </row>
    <row r="127" spans="1:2" x14ac:dyDescent="0.25">
      <c r="A127">
        <v>129</v>
      </c>
      <c r="B127" t="s">
        <v>119</v>
      </c>
    </row>
    <row r="128" spans="1:2" x14ac:dyDescent="0.25">
      <c r="A128">
        <v>130</v>
      </c>
      <c r="B128" t="s">
        <v>120</v>
      </c>
    </row>
    <row r="129" spans="1:2" x14ac:dyDescent="0.25">
      <c r="A129">
        <v>131</v>
      </c>
      <c r="B129" t="s">
        <v>121</v>
      </c>
    </row>
    <row r="130" spans="1:2" x14ac:dyDescent="0.25">
      <c r="A130">
        <v>132</v>
      </c>
      <c r="B130" t="s">
        <v>122</v>
      </c>
    </row>
    <row r="131" spans="1:2" x14ac:dyDescent="0.25">
      <c r="A131">
        <v>133</v>
      </c>
      <c r="B131" t="s">
        <v>123</v>
      </c>
    </row>
    <row r="132" spans="1:2" x14ac:dyDescent="0.25">
      <c r="A132">
        <v>134</v>
      </c>
      <c r="B132" t="s">
        <v>124</v>
      </c>
    </row>
    <row r="133" spans="1:2" x14ac:dyDescent="0.25">
      <c r="A133">
        <v>135</v>
      </c>
      <c r="B133" t="s">
        <v>125</v>
      </c>
    </row>
    <row r="134" spans="1:2" x14ac:dyDescent="0.25">
      <c r="A134">
        <v>136</v>
      </c>
      <c r="B134" t="s">
        <v>126</v>
      </c>
    </row>
    <row r="135" spans="1:2" x14ac:dyDescent="0.25">
      <c r="A135">
        <v>137</v>
      </c>
      <c r="B135" t="s">
        <v>127</v>
      </c>
    </row>
    <row r="136" spans="1:2" x14ac:dyDescent="0.25">
      <c r="A136">
        <v>138</v>
      </c>
      <c r="B136" t="s">
        <v>128</v>
      </c>
    </row>
    <row r="137" spans="1:2" x14ac:dyDescent="0.25">
      <c r="A137">
        <v>139</v>
      </c>
      <c r="B137" t="s">
        <v>129</v>
      </c>
    </row>
    <row r="138" spans="1:2" x14ac:dyDescent="0.25">
      <c r="A138">
        <v>140</v>
      </c>
      <c r="B138" t="s">
        <v>130</v>
      </c>
    </row>
    <row r="139" spans="1:2" x14ac:dyDescent="0.25">
      <c r="A139">
        <v>141</v>
      </c>
      <c r="B139" t="s">
        <v>131</v>
      </c>
    </row>
    <row r="140" spans="1:2" x14ac:dyDescent="0.25">
      <c r="A140">
        <v>142</v>
      </c>
      <c r="B140" t="s">
        <v>132</v>
      </c>
    </row>
    <row r="141" spans="1:2" x14ac:dyDescent="0.25">
      <c r="A141">
        <v>143</v>
      </c>
      <c r="B141" t="s">
        <v>133</v>
      </c>
    </row>
    <row r="142" spans="1:2" x14ac:dyDescent="0.25">
      <c r="A142">
        <v>144</v>
      </c>
      <c r="B142" t="s">
        <v>134</v>
      </c>
    </row>
    <row r="143" spans="1:2" x14ac:dyDescent="0.25">
      <c r="A143">
        <v>145</v>
      </c>
      <c r="B143" t="s">
        <v>135</v>
      </c>
    </row>
    <row r="144" spans="1:2" x14ac:dyDescent="0.25">
      <c r="A144">
        <v>146</v>
      </c>
      <c r="B144" t="s">
        <v>136</v>
      </c>
    </row>
    <row r="145" spans="1:2" x14ac:dyDescent="0.25">
      <c r="A145">
        <v>147</v>
      </c>
      <c r="B145" t="s">
        <v>137</v>
      </c>
    </row>
    <row r="146" spans="1:2" x14ac:dyDescent="0.25">
      <c r="A146">
        <v>148</v>
      </c>
      <c r="B146" t="s">
        <v>138</v>
      </c>
    </row>
    <row r="147" spans="1:2" x14ac:dyDescent="0.25">
      <c r="A147">
        <v>149</v>
      </c>
      <c r="B147" t="s">
        <v>139</v>
      </c>
    </row>
    <row r="148" spans="1:2" x14ac:dyDescent="0.25">
      <c r="A148">
        <v>150</v>
      </c>
      <c r="B148" t="s">
        <v>140</v>
      </c>
    </row>
    <row r="149" spans="1:2" x14ac:dyDescent="0.25">
      <c r="A149">
        <v>151</v>
      </c>
      <c r="B149" t="s">
        <v>141</v>
      </c>
    </row>
    <row r="150" spans="1:2" x14ac:dyDescent="0.25">
      <c r="A150">
        <v>152</v>
      </c>
      <c r="B150" t="s">
        <v>142</v>
      </c>
    </row>
    <row r="151" spans="1:2" x14ac:dyDescent="0.25">
      <c r="A151">
        <v>153</v>
      </c>
      <c r="B151" t="s">
        <v>143</v>
      </c>
    </row>
    <row r="152" spans="1:2" x14ac:dyDescent="0.25">
      <c r="A152">
        <v>155</v>
      </c>
      <c r="B152" t="s">
        <v>144</v>
      </c>
    </row>
    <row r="153" spans="1:2" x14ac:dyDescent="0.25">
      <c r="A153">
        <v>156</v>
      </c>
      <c r="B153" t="s">
        <v>145</v>
      </c>
    </row>
    <row r="154" spans="1:2" x14ac:dyDescent="0.25">
      <c r="A154">
        <v>157</v>
      </c>
      <c r="B154" t="s">
        <v>146</v>
      </c>
    </row>
    <row r="155" spans="1:2" x14ac:dyDescent="0.25">
      <c r="A155">
        <v>158</v>
      </c>
      <c r="B155" t="s">
        <v>147</v>
      </c>
    </row>
    <row r="156" spans="1:2" x14ac:dyDescent="0.25">
      <c r="A156">
        <v>159</v>
      </c>
      <c r="B156" t="s">
        <v>148</v>
      </c>
    </row>
    <row r="157" spans="1:2" x14ac:dyDescent="0.25">
      <c r="A157">
        <v>160</v>
      </c>
      <c r="B157" t="s">
        <v>149</v>
      </c>
    </row>
    <row r="158" spans="1:2" x14ac:dyDescent="0.25">
      <c r="A158">
        <v>161</v>
      </c>
      <c r="B158" t="s">
        <v>150</v>
      </c>
    </row>
    <row r="159" spans="1:2" x14ac:dyDescent="0.25">
      <c r="A159">
        <v>162</v>
      </c>
      <c r="B159" t="s">
        <v>151</v>
      </c>
    </row>
    <row r="160" spans="1:2" x14ac:dyDescent="0.25">
      <c r="A160">
        <v>163</v>
      </c>
      <c r="B160" t="s">
        <v>152</v>
      </c>
    </row>
    <row r="161" spans="1:2" x14ac:dyDescent="0.25">
      <c r="A161">
        <v>164</v>
      </c>
      <c r="B161" t="s">
        <v>153</v>
      </c>
    </row>
    <row r="162" spans="1:2" x14ac:dyDescent="0.25">
      <c r="A162">
        <v>165</v>
      </c>
      <c r="B162" t="s">
        <v>154</v>
      </c>
    </row>
    <row r="163" spans="1:2" x14ac:dyDescent="0.25">
      <c r="A163">
        <v>166</v>
      </c>
      <c r="B163" t="s">
        <v>155</v>
      </c>
    </row>
    <row r="164" spans="1:2" x14ac:dyDescent="0.25">
      <c r="A164">
        <v>167</v>
      </c>
      <c r="B164" t="s">
        <v>156</v>
      </c>
    </row>
    <row r="165" spans="1:2" x14ac:dyDescent="0.25">
      <c r="A165">
        <v>168</v>
      </c>
      <c r="B165" t="s">
        <v>157</v>
      </c>
    </row>
    <row r="166" spans="1:2" x14ac:dyDescent="0.25">
      <c r="A166">
        <v>169</v>
      </c>
      <c r="B166" t="s">
        <v>158</v>
      </c>
    </row>
    <row r="167" spans="1:2" x14ac:dyDescent="0.25">
      <c r="A167">
        <v>170</v>
      </c>
      <c r="B167" t="s">
        <v>159</v>
      </c>
    </row>
    <row r="168" spans="1:2" x14ac:dyDescent="0.25">
      <c r="A168">
        <v>171</v>
      </c>
      <c r="B168" t="s">
        <v>160</v>
      </c>
    </row>
    <row r="169" spans="1:2" x14ac:dyDescent="0.25">
      <c r="A169">
        <v>172</v>
      </c>
      <c r="B169" t="s">
        <v>161</v>
      </c>
    </row>
    <row r="170" spans="1:2" x14ac:dyDescent="0.25">
      <c r="A170">
        <v>173</v>
      </c>
      <c r="B170" t="s">
        <v>162</v>
      </c>
    </row>
    <row r="171" spans="1:2" x14ac:dyDescent="0.25">
      <c r="A171">
        <v>174</v>
      </c>
      <c r="B171" t="s">
        <v>163</v>
      </c>
    </row>
    <row r="172" spans="1:2" x14ac:dyDescent="0.25">
      <c r="A172">
        <v>175</v>
      </c>
      <c r="B172" t="s">
        <v>164</v>
      </c>
    </row>
    <row r="173" spans="1:2" x14ac:dyDescent="0.25">
      <c r="A173">
        <v>176</v>
      </c>
      <c r="B173" t="s">
        <v>165</v>
      </c>
    </row>
    <row r="174" spans="1:2" x14ac:dyDescent="0.25">
      <c r="A174">
        <v>177</v>
      </c>
      <c r="B174" t="s">
        <v>166</v>
      </c>
    </row>
    <row r="175" spans="1:2" x14ac:dyDescent="0.25">
      <c r="A175">
        <v>178</v>
      </c>
      <c r="B175" t="s">
        <v>167</v>
      </c>
    </row>
    <row r="176" spans="1:2" x14ac:dyDescent="0.25">
      <c r="A176">
        <v>179</v>
      </c>
      <c r="B176" t="s">
        <v>168</v>
      </c>
    </row>
    <row r="177" spans="1:2" x14ac:dyDescent="0.25">
      <c r="A177">
        <v>180</v>
      </c>
      <c r="B177" t="s">
        <v>169</v>
      </c>
    </row>
    <row r="178" spans="1:2" x14ac:dyDescent="0.25">
      <c r="A178">
        <v>181</v>
      </c>
      <c r="B178" t="s">
        <v>170</v>
      </c>
    </row>
    <row r="179" spans="1:2" x14ac:dyDescent="0.25">
      <c r="A179">
        <v>182</v>
      </c>
      <c r="B179" t="s">
        <v>171</v>
      </c>
    </row>
    <row r="180" spans="1:2" x14ac:dyDescent="0.25">
      <c r="A180">
        <v>183</v>
      </c>
      <c r="B180" t="s">
        <v>172</v>
      </c>
    </row>
    <row r="181" spans="1:2" x14ac:dyDescent="0.25">
      <c r="A181">
        <v>184</v>
      </c>
      <c r="B181" t="s">
        <v>173</v>
      </c>
    </row>
    <row r="182" spans="1:2" x14ac:dyDescent="0.25">
      <c r="A182">
        <v>185</v>
      </c>
      <c r="B182" t="s">
        <v>174</v>
      </c>
    </row>
    <row r="183" spans="1:2" x14ac:dyDescent="0.25">
      <c r="A183">
        <v>186</v>
      </c>
      <c r="B183" t="s">
        <v>175</v>
      </c>
    </row>
    <row r="184" spans="1:2" x14ac:dyDescent="0.25">
      <c r="A184">
        <v>187</v>
      </c>
      <c r="B184" t="s">
        <v>176</v>
      </c>
    </row>
    <row r="185" spans="1:2" x14ac:dyDescent="0.25">
      <c r="A185">
        <v>188</v>
      </c>
      <c r="B185" t="s">
        <v>177</v>
      </c>
    </row>
    <row r="186" spans="1:2" x14ac:dyDescent="0.25">
      <c r="A186">
        <v>189</v>
      </c>
      <c r="B186" t="s">
        <v>178</v>
      </c>
    </row>
    <row r="187" spans="1:2" x14ac:dyDescent="0.25">
      <c r="A187">
        <v>190</v>
      </c>
      <c r="B187" t="s">
        <v>179</v>
      </c>
    </row>
    <row r="188" spans="1:2" x14ac:dyDescent="0.25">
      <c r="A188">
        <v>191</v>
      </c>
      <c r="B188" t="s">
        <v>180</v>
      </c>
    </row>
    <row r="189" spans="1:2" x14ac:dyDescent="0.25">
      <c r="A189">
        <v>192</v>
      </c>
      <c r="B189" t="s">
        <v>181</v>
      </c>
    </row>
    <row r="190" spans="1:2" x14ac:dyDescent="0.25">
      <c r="A190">
        <v>193</v>
      </c>
      <c r="B190" t="s">
        <v>182</v>
      </c>
    </row>
    <row r="191" spans="1:2" x14ac:dyDescent="0.25">
      <c r="A191">
        <v>194</v>
      </c>
      <c r="B191" t="s">
        <v>183</v>
      </c>
    </row>
    <row r="192" spans="1:2" x14ac:dyDescent="0.25">
      <c r="A192">
        <v>196</v>
      </c>
      <c r="B192" t="s">
        <v>184</v>
      </c>
    </row>
    <row r="193" spans="1:2" x14ac:dyDescent="0.25">
      <c r="A193">
        <v>197</v>
      </c>
      <c r="B193" t="s">
        <v>185</v>
      </c>
    </row>
    <row r="194" spans="1:2" x14ac:dyDescent="0.25">
      <c r="A194">
        <v>198</v>
      </c>
      <c r="B194" t="s">
        <v>186</v>
      </c>
    </row>
    <row r="195" spans="1:2" x14ac:dyDescent="0.25">
      <c r="A195">
        <v>199</v>
      </c>
      <c r="B195" t="s">
        <v>187</v>
      </c>
    </row>
    <row r="196" spans="1:2" x14ac:dyDescent="0.25">
      <c r="A196">
        <v>200</v>
      </c>
      <c r="B196" t="s">
        <v>188</v>
      </c>
    </row>
    <row r="197" spans="1:2" x14ac:dyDescent="0.25">
      <c r="A197">
        <v>201</v>
      </c>
      <c r="B197" t="s">
        <v>189</v>
      </c>
    </row>
    <row r="198" spans="1:2" x14ac:dyDescent="0.25">
      <c r="A198">
        <v>202</v>
      </c>
      <c r="B198" t="s">
        <v>190</v>
      </c>
    </row>
    <row r="199" spans="1:2" x14ac:dyDescent="0.25">
      <c r="A199">
        <v>203</v>
      </c>
      <c r="B199" t="s">
        <v>191</v>
      </c>
    </row>
    <row r="200" spans="1:2" x14ac:dyDescent="0.25">
      <c r="A200">
        <v>204</v>
      </c>
      <c r="B200" t="s">
        <v>192</v>
      </c>
    </row>
    <row r="201" spans="1:2" x14ac:dyDescent="0.25">
      <c r="A201">
        <v>205</v>
      </c>
      <c r="B201" t="s">
        <v>193</v>
      </c>
    </row>
    <row r="202" spans="1:2" x14ac:dyDescent="0.25">
      <c r="A202">
        <v>206</v>
      </c>
      <c r="B202" t="s">
        <v>194</v>
      </c>
    </row>
    <row r="203" spans="1:2" x14ac:dyDescent="0.25">
      <c r="A203">
        <v>207</v>
      </c>
      <c r="B203" t="s">
        <v>195</v>
      </c>
    </row>
    <row r="204" spans="1:2" x14ac:dyDescent="0.25">
      <c r="A204">
        <v>208</v>
      </c>
      <c r="B204" t="s">
        <v>196</v>
      </c>
    </row>
    <row r="205" spans="1:2" x14ac:dyDescent="0.25">
      <c r="A205">
        <v>209</v>
      </c>
      <c r="B205" t="s">
        <v>197</v>
      </c>
    </row>
    <row r="206" spans="1:2" x14ac:dyDescent="0.25">
      <c r="A206">
        <v>210</v>
      </c>
      <c r="B206" t="s">
        <v>157</v>
      </c>
    </row>
    <row r="207" spans="1:2" x14ac:dyDescent="0.25">
      <c r="A207">
        <v>211</v>
      </c>
      <c r="B207" t="s">
        <v>153</v>
      </c>
    </row>
    <row r="208" spans="1:2" x14ac:dyDescent="0.25">
      <c r="A208">
        <v>212</v>
      </c>
      <c r="B208" t="s">
        <v>198</v>
      </c>
    </row>
    <row r="209" spans="1:2" x14ac:dyDescent="0.25">
      <c r="A209">
        <v>213</v>
      </c>
      <c r="B209" t="s">
        <v>199</v>
      </c>
    </row>
    <row r="210" spans="1:2" x14ac:dyDescent="0.25">
      <c r="A210">
        <v>214</v>
      </c>
      <c r="B210" t="s">
        <v>200</v>
      </c>
    </row>
    <row r="211" spans="1:2" x14ac:dyDescent="0.25">
      <c r="A211">
        <v>215</v>
      </c>
      <c r="B211" t="s">
        <v>201</v>
      </c>
    </row>
    <row r="212" spans="1:2" x14ac:dyDescent="0.25">
      <c r="A212">
        <v>216</v>
      </c>
      <c r="B212" t="s">
        <v>202</v>
      </c>
    </row>
    <row r="213" spans="1:2" x14ac:dyDescent="0.25">
      <c r="A213">
        <v>217</v>
      </c>
      <c r="B213" t="s">
        <v>203</v>
      </c>
    </row>
    <row r="214" spans="1:2" x14ac:dyDescent="0.25">
      <c r="A214">
        <v>218</v>
      </c>
      <c r="B214" t="s">
        <v>204</v>
      </c>
    </row>
    <row r="215" spans="1:2" x14ac:dyDescent="0.25">
      <c r="A215">
        <v>219</v>
      </c>
      <c r="B215" t="s">
        <v>205</v>
      </c>
    </row>
    <row r="216" spans="1:2" x14ac:dyDescent="0.25">
      <c r="A216">
        <v>220</v>
      </c>
      <c r="B216" t="s">
        <v>206</v>
      </c>
    </row>
    <row r="217" spans="1:2" x14ac:dyDescent="0.25">
      <c r="A217">
        <v>221</v>
      </c>
      <c r="B217" t="s">
        <v>207</v>
      </c>
    </row>
    <row r="218" spans="1:2" x14ac:dyDescent="0.25">
      <c r="A218">
        <v>222</v>
      </c>
      <c r="B218" t="s">
        <v>208</v>
      </c>
    </row>
    <row r="219" spans="1:2" x14ac:dyDescent="0.25">
      <c r="A219">
        <v>223</v>
      </c>
      <c r="B219" t="s">
        <v>209</v>
      </c>
    </row>
    <row r="220" spans="1:2" x14ac:dyDescent="0.25">
      <c r="A220">
        <v>224</v>
      </c>
      <c r="B220" t="s">
        <v>210</v>
      </c>
    </row>
    <row r="221" spans="1:2" x14ac:dyDescent="0.25">
      <c r="A221">
        <v>225</v>
      </c>
      <c r="B221" t="s">
        <v>211</v>
      </c>
    </row>
    <row r="222" spans="1:2" x14ac:dyDescent="0.25">
      <c r="A222">
        <v>226</v>
      </c>
      <c r="B222" t="s">
        <v>212</v>
      </c>
    </row>
    <row r="223" spans="1:2" x14ac:dyDescent="0.25">
      <c r="A223">
        <v>227</v>
      </c>
      <c r="B223" t="s">
        <v>213</v>
      </c>
    </row>
    <row r="224" spans="1:2" x14ac:dyDescent="0.25">
      <c r="A224">
        <v>228</v>
      </c>
      <c r="B224" t="s">
        <v>214</v>
      </c>
    </row>
    <row r="225" spans="1:2" x14ac:dyDescent="0.25">
      <c r="A225">
        <v>229</v>
      </c>
      <c r="B225" t="s">
        <v>215</v>
      </c>
    </row>
    <row r="226" spans="1:2" x14ac:dyDescent="0.25">
      <c r="A226">
        <v>230</v>
      </c>
      <c r="B226" t="s">
        <v>216</v>
      </c>
    </row>
    <row r="227" spans="1:2" x14ac:dyDescent="0.25">
      <c r="A227">
        <v>231</v>
      </c>
      <c r="B227" t="s">
        <v>217</v>
      </c>
    </row>
    <row r="228" spans="1:2" x14ac:dyDescent="0.25">
      <c r="A228">
        <v>232</v>
      </c>
      <c r="B228" t="s">
        <v>218</v>
      </c>
    </row>
    <row r="229" spans="1:2" x14ac:dyDescent="0.25">
      <c r="A229">
        <v>233</v>
      </c>
      <c r="B229" t="s">
        <v>219</v>
      </c>
    </row>
    <row r="230" spans="1:2" x14ac:dyDescent="0.25">
      <c r="A230">
        <v>234</v>
      </c>
      <c r="B230" t="s">
        <v>220</v>
      </c>
    </row>
    <row r="231" spans="1:2" x14ac:dyDescent="0.25">
      <c r="A231">
        <v>235</v>
      </c>
      <c r="B231" t="s">
        <v>221</v>
      </c>
    </row>
    <row r="232" spans="1:2" x14ac:dyDescent="0.25">
      <c r="A232">
        <v>236</v>
      </c>
      <c r="B232" t="s">
        <v>222</v>
      </c>
    </row>
    <row r="233" spans="1:2" x14ac:dyDescent="0.25">
      <c r="A233">
        <v>237</v>
      </c>
      <c r="B233" t="s">
        <v>223</v>
      </c>
    </row>
    <row r="234" spans="1:2" x14ac:dyDescent="0.25">
      <c r="A234">
        <v>238</v>
      </c>
      <c r="B234" t="s">
        <v>224</v>
      </c>
    </row>
    <row r="235" spans="1:2" x14ac:dyDescent="0.25">
      <c r="A235">
        <v>239</v>
      </c>
      <c r="B235" t="s">
        <v>225</v>
      </c>
    </row>
    <row r="236" spans="1:2" x14ac:dyDescent="0.25">
      <c r="A236">
        <v>240</v>
      </c>
      <c r="B236" t="s">
        <v>226</v>
      </c>
    </row>
    <row r="237" spans="1:2" x14ac:dyDescent="0.25">
      <c r="A237">
        <v>241</v>
      </c>
      <c r="B237" t="s">
        <v>227</v>
      </c>
    </row>
    <row r="238" spans="1:2" x14ac:dyDescent="0.25">
      <c r="A238">
        <v>242</v>
      </c>
      <c r="B238" t="s">
        <v>228</v>
      </c>
    </row>
    <row r="239" spans="1:2" x14ac:dyDescent="0.25">
      <c r="A239">
        <v>243</v>
      </c>
      <c r="B239" t="s">
        <v>229</v>
      </c>
    </row>
    <row r="240" spans="1:2" x14ac:dyDescent="0.25">
      <c r="A240">
        <v>244</v>
      </c>
      <c r="B240" t="s">
        <v>230</v>
      </c>
    </row>
    <row r="241" spans="1:2" x14ac:dyDescent="0.25">
      <c r="A241">
        <v>245</v>
      </c>
      <c r="B241" t="s">
        <v>231</v>
      </c>
    </row>
    <row r="242" spans="1:2" x14ac:dyDescent="0.25">
      <c r="A242">
        <v>246</v>
      </c>
      <c r="B242" t="s">
        <v>232</v>
      </c>
    </row>
    <row r="243" spans="1:2" x14ac:dyDescent="0.25">
      <c r="A243">
        <v>247</v>
      </c>
      <c r="B243" t="s">
        <v>233</v>
      </c>
    </row>
    <row r="244" spans="1:2" x14ac:dyDescent="0.25">
      <c r="A244">
        <v>248</v>
      </c>
      <c r="B244" t="s">
        <v>234</v>
      </c>
    </row>
    <row r="245" spans="1:2" x14ac:dyDescent="0.25">
      <c r="A245">
        <v>249</v>
      </c>
      <c r="B245" t="s">
        <v>235</v>
      </c>
    </row>
    <row r="246" spans="1:2" x14ac:dyDescent="0.25">
      <c r="A246">
        <v>250</v>
      </c>
      <c r="B246" t="s">
        <v>181</v>
      </c>
    </row>
    <row r="247" spans="1:2" x14ac:dyDescent="0.25">
      <c r="A247">
        <v>251</v>
      </c>
      <c r="B247" t="s">
        <v>186</v>
      </c>
    </row>
    <row r="248" spans="1:2" x14ac:dyDescent="0.25">
      <c r="A248">
        <v>252</v>
      </c>
      <c r="B248" t="s">
        <v>187</v>
      </c>
    </row>
    <row r="249" spans="1:2" x14ac:dyDescent="0.25">
      <c r="A249">
        <v>253</v>
      </c>
      <c r="B249" t="s">
        <v>236</v>
      </c>
    </row>
    <row r="250" spans="1:2" x14ac:dyDescent="0.25">
      <c r="A250">
        <v>254</v>
      </c>
      <c r="B250" t="s">
        <v>237</v>
      </c>
    </row>
    <row r="251" spans="1:2" x14ac:dyDescent="0.25">
      <c r="A251">
        <v>255</v>
      </c>
      <c r="B251" t="s">
        <v>238</v>
      </c>
    </row>
    <row r="252" spans="1:2" x14ac:dyDescent="0.25">
      <c r="A252">
        <v>256</v>
      </c>
      <c r="B252" t="s">
        <v>239</v>
      </c>
    </row>
    <row r="253" spans="1:2" x14ac:dyDescent="0.25">
      <c r="A253">
        <v>257</v>
      </c>
      <c r="B253" t="s">
        <v>240</v>
      </c>
    </row>
    <row r="254" spans="1:2" x14ac:dyDescent="0.25">
      <c r="A254">
        <v>258</v>
      </c>
      <c r="B254" t="s">
        <v>241</v>
      </c>
    </row>
    <row r="255" spans="1:2" x14ac:dyDescent="0.25">
      <c r="A255">
        <v>259</v>
      </c>
      <c r="B255" t="s">
        <v>242</v>
      </c>
    </row>
    <row r="256" spans="1:2" x14ac:dyDescent="0.25">
      <c r="A256">
        <v>260</v>
      </c>
      <c r="B256" t="s">
        <v>243</v>
      </c>
    </row>
    <row r="257" spans="1:2" x14ac:dyDescent="0.25">
      <c r="A257">
        <v>261</v>
      </c>
      <c r="B257" t="s">
        <v>244</v>
      </c>
    </row>
    <row r="258" spans="1:2" x14ac:dyDescent="0.25">
      <c r="A258">
        <v>262</v>
      </c>
      <c r="B258" t="s">
        <v>245</v>
      </c>
    </row>
    <row r="259" spans="1:2" x14ac:dyDescent="0.25">
      <c r="A259">
        <v>263</v>
      </c>
      <c r="B259" t="s">
        <v>246</v>
      </c>
    </row>
    <row r="260" spans="1:2" x14ac:dyDescent="0.25">
      <c r="A260">
        <v>264</v>
      </c>
      <c r="B260" t="s">
        <v>247</v>
      </c>
    </row>
    <row r="261" spans="1:2" x14ac:dyDescent="0.25">
      <c r="A261">
        <v>265</v>
      </c>
      <c r="B261" t="s">
        <v>248</v>
      </c>
    </row>
    <row r="262" spans="1:2" x14ac:dyDescent="0.25">
      <c r="A262">
        <v>266</v>
      </c>
      <c r="B262" t="s">
        <v>249</v>
      </c>
    </row>
    <row r="263" spans="1:2" x14ac:dyDescent="0.25">
      <c r="A263">
        <v>268</v>
      </c>
      <c r="B263" t="s">
        <v>250</v>
      </c>
    </row>
    <row r="264" spans="1:2" x14ac:dyDescent="0.25">
      <c r="A264">
        <v>269</v>
      </c>
      <c r="B264" t="s">
        <v>251</v>
      </c>
    </row>
    <row r="265" spans="1:2" x14ac:dyDescent="0.25">
      <c r="A265">
        <v>270</v>
      </c>
      <c r="B265" t="s">
        <v>252</v>
      </c>
    </row>
    <row r="266" spans="1:2" x14ac:dyDescent="0.25">
      <c r="A266">
        <v>271</v>
      </c>
      <c r="B266" t="s">
        <v>253</v>
      </c>
    </row>
    <row r="267" spans="1:2" x14ac:dyDescent="0.25">
      <c r="A267">
        <v>272</v>
      </c>
      <c r="B267" t="s">
        <v>254</v>
      </c>
    </row>
    <row r="268" spans="1:2" x14ac:dyDescent="0.25">
      <c r="A268">
        <v>273</v>
      </c>
      <c r="B268" t="s">
        <v>255</v>
      </c>
    </row>
    <row r="269" spans="1:2" x14ac:dyDescent="0.25">
      <c r="A269">
        <v>274</v>
      </c>
      <c r="B269" t="s">
        <v>256</v>
      </c>
    </row>
    <row r="270" spans="1:2" x14ac:dyDescent="0.25">
      <c r="A270">
        <v>275</v>
      </c>
      <c r="B270" t="s">
        <v>257</v>
      </c>
    </row>
    <row r="271" spans="1:2" x14ac:dyDescent="0.25">
      <c r="A271">
        <v>276</v>
      </c>
      <c r="B271" t="s">
        <v>258</v>
      </c>
    </row>
    <row r="272" spans="1:2" x14ac:dyDescent="0.25">
      <c r="A272">
        <v>277</v>
      </c>
      <c r="B272" t="s">
        <v>259</v>
      </c>
    </row>
    <row r="273" spans="1:2" x14ac:dyDescent="0.25">
      <c r="A273">
        <v>278</v>
      </c>
      <c r="B273" t="s">
        <v>260</v>
      </c>
    </row>
    <row r="274" spans="1:2" x14ac:dyDescent="0.25">
      <c r="A274">
        <v>279</v>
      </c>
      <c r="B274" t="s">
        <v>261</v>
      </c>
    </row>
    <row r="275" spans="1:2" x14ac:dyDescent="0.25">
      <c r="A275">
        <v>280</v>
      </c>
      <c r="B275" t="s">
        <v>262</v>
      </c>
    </row>
    <row r="276" spans="1:2" x14ac:dyDescent="0.25">
      <c r="A276">
        <v>281</v>
      </c>
      <c r="B276" t="s">
        <v>213</v>
      </c>
    </row>
    <row r="277" spans="1:2" x14ac:dyDescent="0.25">
      <c r="A277">
        <v>282</v>
      </c>
      <c r="B277" t="s">
        <v>263</v>
      </c>
    </row>
    <row r="278" spans="1:2" x14ac:dyDescent="0.25">
      <c r="A278">
        <v>283</v>
      </c>
      <c r="B278" t="s">
        <v>264</v>
      </c>
    </row>
    <row r="279" spans="1:2" x14ac:dyDescent="0.25">
      <c r="A279">
        <v>285</v>
      </c>
      <c r="B279" t="s">
        <v>265</v>
      </c>
    </row>
    <row r="280" spans="1:2" x14ac:dyDescent="0.25">
      <c r="A280">
        <v>286</v>
      </c>
      <c r="B280" t="s">
        <v>266</v>
      </c>
    </row>
    <row r="281" spans="1:2" x14ac:dyDescent="0.25">
      <c r="A281">
        <v>287</v>
      </c>
      <c r="B281" t="s">
        <v>267</v>
      </c>
    </row>
    <row r="282" spans="1:2" x14ac:dyDescent="0.25">
      <c r="A282">
        <v>288</v>
      </c>
      <c r="B282" t="s">
        <v>268</v>
      </c>
    </row>
    <row r="283" spans="1:2" x14ac:dyDescent="0.25">
      <c r="A283">
        <v>289</v>
      </c>
      <c r="B283" t="s">
        <v>269</v>
      </c>
    </row>
    <row r="284" spans="1:2" x14ac:dyDescent="0.25">
      <c r="A284">
        <v>290</v>
      </c>
      <c r="B284" t="s">
        <v>270</v>
      </c>
    </row>
    <row r="285" spans="1:2" x14ac:dyDescent="0.25">
      <c r="A285">
        <v>292</v>
      </c>
      <c r="B285" t="s">
        <v>271</v>
      </c>
    </row>
    <row r="286" spans="1:2" x14ac:dyDescent="0.25">
      <c r="A286">
        <v>293</v>
      </c>
      <c r="B286" t="s">
        <v>272</v>
      </c>
    </row>
    <row r="287" spans="1:2" x14ac:dyDescent="0.25">
      <c r="A287">
        <v>294</v>
      </c>
      <c r="B287" t="s">
        <v>273</v>
      </c>
    </row>
    <row r="288" spans="1:2" x14ac:dyDescent="0.25">
      <c r="A288">
        <v>295</v>
      </c>
      <c r="B288" t="s">
        <v>274</v>
      </c>
    </row>
    <row r="289" spans="1:2" x14ac:dyDescent="0.25">
      <c r="A289">
        <v>296</v>
      </c>
      <c r="B289" t="s">
        <v>275</v>
      </c>
    </row>
    <row r="290" spans="1:2" x14ac:dyDescent="0.25">
      <c r="A290">
        <v>297</v>
      </c>
      <c r="B290" t="s">
        <v>276</v>
      </c>
    </row>
    <row r="291" spans="1:2" x14ac:dyDescent="0.25">
      <c r="A291">
        <v>298</v>
      </c>
      <c r="B291" t="s">
        <v>277</v>
      </c>
    </row>
    <row r="292" spans="1:2" x14ac:dyDescent="0.25">
      <c r="A292">
        <v>299</v>
      </c>
      <c r="B292" t="s">
        <v>198</v>
      </c>
    </row>
    <row r="293" spans="1:2" x14ac:dyDescent="0.25">
      <c r="A293">
        <v>300</v>
      </c>
      <c r="B293" t="s">
        <v>243</v>
      </c>
    </row>
    <row r="294" spans="1:2" x14ac:dyDescent="0.25">
      <c r="A294">
        <v>301</v>
      </c>
      <c r="B294" t="s">
        <v>244</v>
      </c>
    </row>
    <row r="295" spans="1:2" x14ac:dyDescent="0.25">
      <c r="A295">
        <v>302</v>
      </c>
      <c r="B295" t="s">
        <v>278</v>
      </c>
    </row>
    <row r="296" spans="1:2" x14ac:dyDescent="0.25">
      <c r="A296">
        <v>303</v>
      </c>
      <c r="B296" t="s">
        <v>181</v>
      </c>
    </row>
    <row r="297" spans="1:2" x14ac:dyDescent="0.25">
      <c r="A297">
        <v>304</v>
      </c>
      <c r="B297" t="s">
        <v>212</v>
      </c>
    </row>
    <row r="298" spans="1:2" x14ac:dyDescent="0.25">
      <c r="A298">
        <v>305</v>
      </c>
      <c r="B298" t="s">
        <v>237</v>
      </c>
    </row>
    <row r="299" spans="1:2" x14ac:dyDescent="0.25">
      <c r="A299">
        <v>306</v>
      </c>
      <c r="B299" t="s">
        <v>238</v>
      </c>
    </row>
    <row r="300" spans="1:2" x14ac:dyDescent="0.25">
      <c r="A300">
        <v>307</v>
      </c>
      <c r="B300" t="s">
        <v>224</v>
      </c>
    </row>
    <row r="301" spans="1:2" x14ac:dyDescent="0.25">
      <c r="A301">
        <v>308</v>
      </c>
      <c r="B301" t="s">
        <v>225</v>
      </c>
    </row>
    <row r="302" spans="1:2" x14ac:dyDescent="0.25">
      <c r="A302">
        <v>309</v>
      </c>
      <c r="B302" t="s">
        <v>239</v>
      </c>
    </row>
    <row r="303" spans="1:2" x14ac:dyDescent="0.25">
      <c r="A303">
        <v>310</v>
      </c>
      <c r="B303" t="s">
        <v>226</v>
      </c>
    </row>
    <row r="304" spans="1:2" x14ac:dyDescent="0.25">
      <c r="A304">
        <v>311</v>
      </c>
      <c r="B304" t="s">
        <v>227</v>
      </c>
    </row>
    <row r="305" spans="1:2" x14ac:dyDescent="0.25">
      <c r="A305">
        <v>312</v>
      </c>
      <c r="B305" t="s">
        <v>228</v>
      </c>
    </row>
    <row r="306" spans="1:2" x14ac:dyDescent="0.25">
      <c r="A306">
        <v>313</v>
      </c>
      <c r="B306" t="s">
        <v>279</v>
      </c>
    </row>
    <row r="307" spans="1:2" x14ac:dyDescent="0.25">
      <c r="A307">
        <v>314</v>
      </c>
      <c r="B307" t="s">
        <v>229</v>
      </c>
    </row>
    <row r="308" spans="1:2" x14ac:dyDescent="0.25">
      <c r="A308">
        <v>315</v>
      </c>
      <c r="B30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Product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</cp:lastModifiedBy>
  <dcterms:created xsi:type="dcterms:W3CDTF">2026-01-17T06:03:19Z</dcterms:created>
  <dcterms:modified xsi:type="dcterms:W3CDTF">2026-01-17T12:44:18Z</dcterms:modified>
</cp:coreProperties>
</file>